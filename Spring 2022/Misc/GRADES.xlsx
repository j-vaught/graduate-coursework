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email_sc_edu/Documents/"/>
    </mc:Choice>
  </mc:AlternateContent>
  <xr:revisionPtr revIDLastSave="72" documentId="8_{E6BF365C-103B-4934-B15F-EC58138B2EA3}" xr6:coauthVersionLast="47" xr6:coauthVersionMax="47" xr10:uidLastSave="{BBC837A1-93A2-47DC-84FC-2EF1835DB9FA}"/>
  <bookViews>
    <workbookView xWindow="-120" yWindow="-120" windowWidth="24240" windowHeight="13140" xr2:uid="{FDD82F21-0DEB-4A63-A409-317A2EBE73C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9" i="1" l="1"/>
  <c r="E34" i="1"/>
  <c r="I31" i="1"/>
  <c r="G31" i="1"/>
  <c r="H27" i="1"/>
  <c r="F27" i="1"/>
  <c r="D19" i="1"/>
  <c r="I11" i="1"/>
  <c r="G11" i="1"/>
  <c r="D11" i="1"/>
  <c r="H5" i="1"/>
  <c r="K3" i="1"/>
  <c r="I3" i="1"/>
  <c r="G19" i="1" l="1"/>
</calcChain>
</file>

<file path=xl/sharedStrings.xml><?xml version="1.0" encoding="utf-8"?>
<sst xmlns="http://schemas.openxmlformats.org/spreadsheetml/2006/main" count="54" uniqueCount="43">
  <si>
    <t>EMCH 327</t>
  </si>
  <si>
    <t>A1</t>
  </si>
  <si>
    <t>A2</t>
  </si>
  <si>
    <t>A3</t>
  </si>
  <si>
    <t>M1</t>
  </si>
  <si>
    <t>M2</t>
  </si>
  <si>
    <t>M3</t>
  </si>
  <si>
    <t>EE1</t>
  </si>
  <si>
    <t>F</t>
  </si>
  <si>
    <t>Grade=</t>
  </si>
  <si>
    <t>I want a</t>
  </si>
  <si>
    <t xml:space="preserve">I need a </t>
  </si>
  <si>
    <t>EMCH 308</t>
  </si>
  <si>
    <t>Attendance:</t>
  </si>
  <si>
    <t>Project 1</t>
  </si>
  <si>
    <t>Project 2</t>
  </si>
  <si>
    <t>HW</t>
  </si>
  <si>
    <t>Grade</t>
  </si>
  <si>
    <t>Q(5%)</t>
  </si>
  <si>
    <t>A(20%</t>
  </si>
  <si>
    <t>M(40%</t>
  </si>
  <si>
    <t>P(15%</t>
  </si>
  <si>
    <t>Final(20%</t>
  </si>
  <si>
    <t>I need</t>
  </si>
  <si>
    <t>ELCT 363</t>
  </si>
  <si>
    <t>25hw</t>
  </si>
  <si>
    <t>m25</t>
  </si>
  <si>
    <t>p14</t>
  </si>
  <si>
    <t>b1</t>
  </si>
  <si>
    <t>f35</t>
  </si>
  <si>
    <t>GRade</t>
  </si>
  <si>
    <t>ELCT 221</t>
  </si>
  <si>
    <t>hw25</t>
  </si>
  <si>
    <t>test35</t>
  </si>
  <si>
    <t>p10</t>
  </si>
  <si>
    <t>f30</t>
  </si>
  <si>
    <t>ELCT 361</t>
  </si>
  <si>
    <t>hw10</t>
  </si>
  <si>
    <t>m1(20</t>
  </si>
  <si>
    <t>m2(20</t>
  </si>
  <si>
    <t>q(20</t>
  </si>
  <si>
    <t>f(30</t>
  </si>
  <si>
    <t>25/30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</si>
</sst>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71A8-9EF0-4D4A-8981-7B74EDC5CEE6}">
  <dimension ref="A1:K34"/>
  <sheetViews>
    <sheetView tabSelected="1" workbookViewId="0">
      <selection activeCell="M12" sqref="M12"/>
    </sheetView>
  </sheetViews>
  <sheetFormatPr defaultRowHeight="15" x14ac:dyDescent="0.25"/>
  <cols>
    <col min="8" max="8" width="11" customWidth="1"/>
    <col min="10" max="10" width="8.140625" customWidth="1"/>
    <col min="11" max="11" width="3.28515625" customWidth="1"/>
  </cols>
  <sheetData>
    <row r="1" spans="1:11" x14ac:dyDescent="0.25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>
        <v>90</v>
      </c>
    </row>
    <row r="3" spans="1:11" x14ac:dyDescent="0.25">
      <c r="A3">
        <v>100</v>
      </c>
      <c r="B3">
        <v>99</v>
      </c>
      <c r="C3">
        <v>98</v>
      </c>
      <c r="D3">
        <v>100</v>
      </c>
      <c r="E3">
        <v>100</v>
      </c>
      <c r="F3">
        <v>100</v>
      </c>
      <c r="G3">
        <v>100</v>
      </c>
      <c r="H3">
        <v>50</v>
      </c>
      <c r="I3" s="2">
        <f>(A3+B3+C3)/3*0.18+AVERAGE(D3:F3)*0.42+H3*0.4+G3*0.1</f>
        <v>89.82</v>
      </c>
      <c r="J3" t="s">
        <v>11</v>
      </c>
      <c r="K3" s="2">
        <f>(K2-(AVERAGE(A3:C3)*0.18+AVERAGE(D3:F3)*0.42+G3*0.1))/40*100</f>
        <v>50.450000000000017</v>
      </c>
    </row>
    <row r="4" spans="1:11" x14ac:dyDescent="0.25">
      <c r="B4" s="3" t="s">
        <v>12</v>
      </c>
      <c r="C4" s="3"/>
      <c r="D4" s="3"/>
      <c r="E4" s="3"/>
      <c r="F4" s="3"/>
      <c r="G4" s="3"/>
      <c r="H4" s="3"/>
    </row>
    <row r="5" spans="1:11" x14ac:dyDescent="0.25">
      <c r="B5" t="s">
        <v>13</v>
      </c>
      <c r="C5" t="s">
        <v>4</v>
      </c>
      <c r="D5" t="s">
        <v>14</v>
      </c>
      <c r="E5" t="s">
        <v>15</v>
      </c>
      <c r="F5" t="s">
        <v>16</v>
      </c>
      <c r="G5" t="s">
        <v>17</v>
      </c>
      <c r="H5" s="2">
        <f>B6*0.05+C6*0.2+(D6*0.65+D7*0.35)*0.2+(E6*0.65+E7*0.35)*0.2+AVERAGE(F6:F9)*0.35</f>
        <v>92.162199999999984</v>
      </c>
    </row>
    <row r="6" spans="1:11" x14ac:dyDescent="0.25">
      <c r="B6">
        <v>100</v>
      </c>
      <c r="C6">
        <v>86</v>
      </c>
      <c r="D6">
        <v>98.44</v>
      </c>
      <c r="E6">
        <v>83</v>
      </c>
      <c r="F6">
        <v>98</v>
      </c>
    </row>
    <row r="7" spans="1:11" x14ac:dyDescent="0.25">
      <c r="D7">
        <v>95</v>
      </c>
      <c r="E7">
        <v>95</v>
      </c>
      <c r="F7">
        <v>90</v>
      </c>
    </row>
    <row r="8" spans="1:11" x14ac:dyDescent="0.25">
      <c r="F8">
        <v>90</v>
      </c>
    </row>
    <row r="9" spans="1:11" x14ac:dyDescent="0.25">
      <c r="F9">
        <v>100</v>
      </c>
    </row>
    <row r="10" spans="1:11" x14ac:dyDescent="0.25"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17</v>
      </c>
      <c r="H10" t="s">
        <v>10</v>
      </c>
      <c r="I10" s="2">
        <v>90</v>
      </c>
    </row>
    <row r="11" spans="1:11" x14ac:dyDescent="0.25">
      <c r="B11">
        <v>2</v>
      </c>
      <c r="C11">
        <v>2</v>
      </c>
      <c r="D11">
        <f>73/78*100</f>
        <v>93.589743589743591</v>
      </c>
      <c r="E11">
        <v>3</v>
      </c>
      <c r="F11" s="2">
        <v>56</v>
      </c>
      <c r="G11" s="2">
        <f>AVERAGE(B11:B13)/2*5+(C11+C12+C13+C14+C15+C16)/21*20+SUM(E11:E13)/7*15+AVERAGE(D11:D12)*0.4+F11*0.2</f>
        <v>90.492353479853492</v>
      </c>
      <c r="H11" t="s">
        <v>23</v>
      </c>
      <c r="I11" s="2">
        <f>(I10-(AVERAGE(B11:B13)/2*5+(C11+C12+C13+C14+C15+C16)/21*20+SUM(E11:E13)/7*15+AVERAGE(D11:D12)*0.4))/20*100</f>
        <v>53.538232600732563</v>
      </c>
    </row>
    <row r="12" spans="1:11" x14ac:dyDescent="0.25">
      <c r="B12">
        <v>1.375</v>
      </c>
      <c r="C12">
        <v>3.8</v>
      </c>
      <c r="D12">
        <v>100</v>
      </c>
      <c r="E12">
        <v>3</v>
      </c>
    </row>
    <row r="13" spans="1:11" x14ac:dyDescent="0.25">
      <c r="B13">
        <v>1</v>
      </c>
      <c r="C13">
        <v>3.95</v>
      </c>
      <c r="E13">
        <v>2.5</v>
      </c>
    </row>
    <row r="14" spans="1:11" x14ac:dyDescent="0.25">
      <c r="C14">
        <v>2.9</v>
      </c>
    </row>
    <row r="15" spans="1:11" x14ac:dyDescent="0.25">
      <c r="C15">
        <v>5</v>
      </c>
    </row>
    <row r="16" spans="1:11" x14ac:dyDescent="0.25">
      <c r="C16">
        <v>2</v>
      </c>
    </row>
    <row r="17" spans="1:9" x14ac:dyDescent="0.25">
      <c r="A17" s="3" t="s">
        <v>24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10</v>
      </c>
      <c r="I18" s="2">
        <v>80</v>
      </c>
    </row>
    <row r="19" spans="1:9" x14ac:dyDescent="0.25">
      <c r="B19">
        <v>100</v>
      </c>
      <c r="C19">
        <v>88</v>
      </c>
      <c r="D19">
        <f>27/28*100</f>
        <v>96.428571428571431</v>
      </c>
      <c r="E19">
        <v>100</v>
      </c>
      <c r="F19" s="2">
        <v>85</v>
      </c>
      <c r="G19" s="2">
        <f>AVERAGE(B19:B24)*0.25+C19*0.25+D19*0.14+E19*0.01+F19*0.35</f>
        <v>90</v>
      </c>
      <c r="H19" t="s">
        <v>23</v>
      </c>
      <c r="I19" s="2">
        <f>(I18-(AVERAGE(B19:B24)*0.25+C19*0.25+D19*0.14+E19*0.01))/35*100</f>
        <v>56.428571428571431</v>
      </c>
    </row>
    <row r="20" spans="1:9" x14ac:dyDescent="0.25">
      <c r="B20">
        <v>100</v>
      </c>
    </row>
    <row r="21" spans="1:9" x14ac:dyDescent="0.25">
      <c r="B21">
        <v>100</v>
      </c>
    </row>
    <row r="22" spans="1:9" x14ac:dyDescent="0.25">
      <c r="B22">
        <v>75</v>
      </c>
    </row>
    <row r="23" spans="1:9" x14ac:dyDescent="0.25">
      <c r="B23">
        <v>100</v>
      </c>
    </row>
    <row r="24" spans="1:9" x14ac:dyDescent="0.25">
      <c r="B24" t="s">
        <v>42</v>
      </c>
    </row>
    <row r="25" spans="1:9" x14ac:dyDescent="0.25">
      <c r="B25" s="3" t="s">
        <v>31</v>
      </c>
      <c r="C25" s="3"/>
      <c r="D25" s="3"/>
      <c r="E25" s="3"/>
      <c r="F25" s="3"/>
      <c r="G25" s="3"/>
      <c r="H25" s="3"/>
    </row>
    <row r="26" spans="1:9" x14ac:dyDescent="0.25">
      <c r="B26" t="s">
        <v>32</v>
      </c>
      <c r="C26" t="s">
        <v>33</v>
      </c>
      <c r="D26" t="s">
        <v>34</v>
      </c>
      <c r="E26" t="s">
        <v>35</v>
      </c>
      <c r="F26" t="s">
        <v>17</v>
      </c>
      <c r="G26" t="s">
        <v>10</v>
      </c>
      <c r="H26" s="2">
        <v>90</v>
      </c>
    </row>
    <row r="27" spans="1:9" x14ac:dyDescent="0.25">
      <c r="B27">
        <v>100</v>
      </c>
      <c r="C27">
        <v>100</v>
      </c>
      <c r="D27">
        <v>99</v>
      </c>
      <c r="E27" s="2">
        <v>100</v>
      </c>
      <c r="F27" s="2">
        <f>B27*0.25+C27*0.35+AVERAGE(D27:D28)*0.1+E27*0.3</f>
        <v>99.7</v>
      </c>
      <c r="G27" t="s">
        <v>23</v>
      </c>
      <c r="H27" s="2">
        <f>(H26-(B27*0.25+C27*0.35+AVERAGE(D27:D28)*0.1))/30*100</f>
        <v>67.666666666666657</v>
      </c>
    </row>
    <row r="28" spans="1:9" x14ac:dyDescent="0.25">
      <c r="D28">
        <v>95</v>
      </c>
    </row>
    <row r="29" spans="1:9" x14ac:dyDescent="0.25">
      <c r="B29" s="3" t="s">
        <v>36</v>
      </c>
      <c r="C29" s="3"/>
      <c r="D29" s="3"/>
      <c r="E29" s="3"/>
      <c r="F29" s="3"/>
      <c r="G29" s="3"/>
      <c r="H29" s="3"/>
      <c r="I29" s="3"/>
    </row>
    <row r="30" spans="1:9" x14ac:dyDescent="0.25">
      <c r="B30" t="s">
        <v>37</v>
      </c>
      <c r="C30" t="s">
        <v>38</v>
      </c>
      <c r="D30" t="s">
        <v>39</v>
      </c>
      <c r="E30" t="s">
        <v>40</v>
      </c>
      <c r="F30" t="s">
        <v>41</v>
      </c>
      <c r="G30" t="s">
        <v>17</v>
      </c>
      <c r="H30" t="s">
        <v>10</v>
      </c>
      <c r="I30" s="2">
        <v>75</v>
      </c>
    </row>
    <row r="31" spans="1:9" x14ac:dyDescent="0.25">
      <c r="B31">
        <v>100</v>
      </c>
      <c r="C31">
        <v>70</v>
      </c>
      <c r="D31">
        <v>60</v>
      </c>
      <c r="E31">
        <v>60</v>
      </c>
      <c r="F31" s="2">
        <v>40</v>
      </c>
      <c r="G31" s="2">
        <f>C31*0.2+D31*0.2+B31*0.1+E31*0.2+F31*0.3</f>
        <v>60</v>
      </c>
      <c r="H31" t="s">
        <v>23</v>
      </c>
      <c r="I31" s="2">
        <f>(I30-(C31*0.2+D31*0.2+B31*0.1+E31*0.2))/30*100</f>
        <v>90</v>
      </c>
    </row>
    <row r="34" spans="5:5" x14ac:dyDescent="0.25">
      <c r="E34">
        <f>21/50</f>
        <v>0.42</v>
      </c>
    </row>
  </sheetData>
  <mergeCells count="5">
    <mergeCell ref="B1:K1"/>
    <mergeCell ref="B4:H4"/>
    <mergeCell ref="A17:I17"/>
    <mergeCell ref="B29:I29"/>
    <mergeCell ref="B25:H25"/>
  </mergeCells>
  <hyperlinks>
    <hyperlink ref="B2" r:id="rId1" display="A@" xr:uid="{AF6B0ACF-F3E5-40DF-9C97-6CC6CE3A6A3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2" ma:contentTypeDescription="Create a new document." ma:contentTypeScope="" ma:versionID="06e9a80f57b5e7a8131021e4799536a3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27120e082fd76c320857246eee6cb03c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DE66B1-E8A9-4223-B6E0-021414A3B606}">
  <ds:schemaRefs>
    <ds:schemaRef ds:uri="http://schemas.microsoft.com/office/2006/documentManagement/types"/>
    <ds:schemaRef ds:uri="593646a3-f4b2-4797-891f-a58c41aec49e"/>
    <ds:schemaRef ds:uri="27638313-1e11-4999-9038-bfa2141b3777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0D28A60-DA7F-4195-9E57-271B7F579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7C7F42-AC31-40C4-B26E-1117916F36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Vaught, Jacob</cp:lastModifiedBy>
  <cp:revision/>
  <dcterms:created xsi:type="dcterms:W3CDTF">2022-04-25T12:36:12Z</dcterms:created>
  <dcterms:modified xsi:type="dcterms:W3CDTF">2022-05-02T18:36:34Z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