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email_sc_edu/Documents/CLASS-USC/"/>
    </mc:Choice>
  </mc:AlternateContent>
  <xr:revisionPtr revIDLastSave="0" documentId="8_{5D1E0AF2-ACFA-4974-B047-9784C3AE3469}" xr6:coauthVersionLast="47" xr6:coauthVersionMax="47" xr10:uidLastSave="{00000000-0000-0000-0000-000000000000}"/>
  <bookViews>
    <workbookView xWindow="-120" yWindow="-120" windowWidth="29040" windowHeight="17640" xr2:uid="{9F89FC2F-4FD5-403D-80EB-35544793FA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38" i="1" l="1"/>
  <c r="W38" i="1"/>
  <c r="X37" i="1"/>
  <c r="W37" i="1"/>
  <c r="X36" i="1"/>
  <c r="W36" i="1"/>
  <c r="X35" i="1"/>
  <c r="W35" i="1"/>
  <c r="V26" i="1"/>
  <c r="I6" i="1"/>
  <c r="AT7" i="1"/>
  <c r="AT6" i="1"/>
  <c r="AT5" i="1"/>
  <c r="AT4" i="1"/>
  <c r="AS7" i="1"/>
  <c r="AS6" i="1"/>
  <c r="AS5" i="1"/>
  <c r="AS4" i="1"/>
</calcChain>
</file>

<file path=xl/sharedStrings.xml><?xml version="1.0" encoding="utf-8"?>
<sst xmlns="http://schemas.openxmlformats.org/spreadsheetml/2006/main" count="287" uniqueCount="42">
  <si>
    <t>q1</t>
  </si>
  <si>
    <t>q2</t>
  </si>
  <si>
    <t>q3</t>
  </si>
  <si>
    <t>q4</t>
  </si>
  <si>
    <t>q1*</t>
  </si>
  <si>
    <t>q2*</t>
  </si>
  <si>
    <t>q3*</t>
  </si>
  <si>
    <t>q4*</t>
  </si>
  <si>
    <t>J1</t>
  </si>
  <si>
    <t>K1</t>
  </si>
  <si>
    <t>J2</t>
  </si>
  <si>
    <t>K2</t>
  </si>
  <si>
    <t>J3</t>
  </si>
  <si>
    <t>K3</t>
  </si>
  <si>
    <t>J4</t>
  </si>
  <si>
    <t>K4</t>
  </si>
  <si>
    <t>X</t>
  </si>
  <si>
    <t>A</t>
  </si>
  <si>
    <t>B</t>
  </si>
  <si>
    <t>A*</t>
  </si>
  <si>
    <t>B*</t>
  </si>
  <si>
    <t>Z</t>
  </si>
  <si>
    <t>TA</t>
  </si>
  <si>
    <t>TB</t>
  </si>
  <si>
    <t>SA</t>
  </si>
  <si>
    <t>RA</t>
  </si>
  <si>
    <t>SB</t>
  </si>
  <si>
    <t>RB</t>
  </si>
  <si>
    <t>Q</t>
  </si>
  <si>
    <t>Q*</t>
  </si>
  <si>
    <t>T</t>
  </si>
  <si>
    <t>D</t>
  </si>
  <si>
    <t>JK</t>
  </si>
  <si>
    <t>SR</t>
  </si>
  <si>
    <t>D1</t>
  </si>
  <si>
    <t>D2</t>
  </si>
  <si>
    <t>C</t>
  </si>
  <si>
    <t>0X</t>
  </si>
  <si>
    <t>1X</t>
  </si>
  <si>
    <t>X1</t>
  </si>
  <si>
    <t>X0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</si>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</sst>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2" xfId="0" applyFill="1" applyBorder="1" applyAlignment="1">
      <alignment horizontal="center"/>
    </xf>
    <xf numFmtId="0" fontId="0" fillId="2" borderId="7" xfId="0" applyFill="1" applyBorder="1"/>
    <xf numFmtId="0" fontId="0" fillId="3" borderId="6" xfId="0" applyFill="1" applyBorder="1"/>
    <xf numFmtId="0" fontId="0" fillId="2" borderId="5" xfId="0" applyFill="1" applyBorder="1"/>
    <xf numFmtId="0" fontId="0" fillId="3" borderId="7" xfId="0" applyFill="1" applyBorder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3" xfId="0" applyFill="1" applyBorder="1"/>
    <xf numFmtId="0" fontId="0" fillId="3" borderId="10" xfId="0" applyFill="1" applyBorder="1"/>
    <xf numFmtId="0" fontId="0" fillId="3" borderId="11" xfId="0" applyFill="1" applyBorder="1"/>
    <xf numFmtId="0" fontId="0" fillId="6" borderId="7" xfId="0" applyFill="1" applyBorder="1"/>
    <xf numFmtId="0" fontId="0" fillId="7" borderId="7" xfId="0" applyFill="1" applyBorder="1"/>
    <xf numFmtId="0" fontId="0" fillId="7" borderId="6" xfId="0" applyFill="1" applyBorder="1"/>
    <xf numFmtId="0" fontId="0" fillId="7" borderId="5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11" xfId="0" applyFill="1" applyBorder="1"/>
    <xf numFmtId="0" fontId="0" fillId="4" borderId="4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5" borderId="27" xfId="0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0" fillId="5" borderId="29" xfId="0" applyFill="1" applyBorder="1"/>
    <xf numFmtId="0" fontId="0" fillId="7" borderId="28" xfId="0" applyFill="1" applyBorder="1"/>
    <xf numFmtId="0" fontId="0" fillId="11" borderId="26" xfId="0" applyFill="1" applyBorder="1"/>
    <xf numFmtId="0" fontId="0" fillId="5" borderId="28" xfId="0" applyFill="1" applyBorder="1"/>
    <xf numFmtId="0" fontId="2" fillId="7" borderId="27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0" fillId="11" borderId="28" xfId="0" applyFill="1" applyBorder="1"/>
    <xf numFmtId="0" fontId="0" fillId="11" borderId="29" xfId="0" applyFill="1" applyBorder="1"/>
    <xf numFmtId="0" fontId="0" fillId="5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11" borderId="29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" fillId="11" borderId="28" xfId="0" applyFont="1" applyFill="1" applyBorder="1" applyAlignment="1">
      <alignment horizontal="center" vertical="center"/>
    </xf>
    <xf numFmtId="0" fontId="0" fillId="6" borderId="28" xfId="0" applyFill="1" applyBorder="1"/>
    <xf numFmtId="0" fontId="0" fillId="6" borderId="29" xfId="0" applyFill="1" applyBorder="1"/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11" borderId="20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C1DE-7A2E-4F0B-858D-23DD743D9196}">
  <dimension ref="A2:AT41"/>
  <sheetViews>
    <sheetView tabSelected="1" topLeftCell="B1" zoomScale="160" zoomScaleNormal="160" workbookViewId="0">
      <selection activeCell="C33" sqref="C33:Q41"/>
    </sheetView>
  </sheetViews>
  <sheetFormatPr defaultRowHeight="15"/>
  <cols>
    <col min="1" max="2" width="2.140625" bestFit="1" customWidth="1"/>
    <col min="3" max="5" width="3.28515625" bestFit="1" customWidth="1"/>
    <col min="6" max="8" width="4.140625" bestFit="1" customWidth="1"/>
    <col min="9" max="11" width="3.28515625" bestFit="1" customWidth="1"/>
    <col min="12" max="12" width="2.7109375" bestFit="1" customWidth="1"/>
    <col min="13" max="13" width="3.140625" bestFit="1" customWidth="1"/>
    <col min="14" max="14" width="2.7109375" bestFit="1" customWidth="1"/>
    <col min="15" max="15" width="3.140625" bestFit="1" customWidth="1"/>
    <col min="16" max="16" width="2.7109375" bestFit="1" customWidth="1"/>
    <col min="17" max="17" width="3.140625" bestFit="1" customWidth="1"/>
    <col min="18" max="18" width="2.42578125" bestFit="1" customWidth="1"/>
    <col min="19" max="19" width="3.42578125" bestFit="1" customWidth="1"/>
    <col min="20" max="20" width="2" bestFit="1" customWidth="1"/>
    <col min="21" max="21" width="2.28515625" bestFit="1" customWidth="1"/>
    <col min="22" max="22" width="3.85546875" customWidth="1"/>
    <col min="23" max="27" width="3.140625" bestFit="1" customWidth="1"/>
    <col min="28" max="31" width="4.140625" bestFit="1" customWidth="1"/>
    <col min="32" max="32" width="2.7109375" bestFit="1" customWidth="1"/>
    <col min="33" max="33" width="3.140625" bestFit="1" customWidth="1"/>
    <col min="34" max="34" width="2.7109375" bestFit="1" customWidth="1"/>
    <col min="35" max="35" width="3.140625" bestFit="1" customWidth="1"/>
    <col min="36" max="36" width="2.7109375" bestFit="1" customWidth="1"/>
    <col min="37" max="37" width="3.140625" bestFit="1" customWidth="1"/>
    <col min="38" max="38" width="2.7109375" bestFit="1" customWidth="1"/>
    <col min="39" max="39" width="3.140625" bestFit="1" customWidth="1"/>
    <col min="40" max="40" width="2.85546875" bestFit="1" customWidth="1"/>
    <col min="41" max="41" width="2.5703125" bestFit="1" customWidth="1"/>
    <col min="42" max="42" width="3.42578125" bestFit="1" customWidth="1"/>
    <col min="43" max="43" width="2.28515625" bestFit="1" customWidth="1"/>
    <col min="44" max="44" width="2.42578125" bestFit="1" customWidth="1"/>
    <col min="45" max="46" width="3.42578125" bestFit="1" customWidth="1"/>
  </cols>
  <sheetData>
    <row r="2" spans="1:46" ht="15.75" thickBot="1">
      <c r="X2" s="97" t="s">
        <v>0</v>
      </c>
      <c r="Y2" s="98" t="s">
        <v>1</v>
      </c>
      <c r="Z2" s="135" t="s">
        <v>2</v>
      </c>
      <c r="AA2" s="129" t="s">
        <v>3</v>
      </c>
      <c r="AB2" s="97" t="s">
        <v>4</v>
      </c>
      <c r="AC2" s="121" t="s">
        <v>5</v>
      </c>
      <c r="AD2" s="135" t="s">
        <v>6</v>
      </c>
      <c r="AE2" s="132" t="s">
        <v>7</v>
      </c>
      <c r="AF2" s="102" t="s">
        <v>8</v>
      </c>
      <c r="AG2" s="102" t="s">
        <v>9</v>
      </c>
      <c r="AH2" s="103" t="s">
        <v>10</v>
      </c>
      <c r="AI2" s="104" t="s">
        <v>11</v>
      </c>
      <c r="AJ2" s="105" t="s">
        <v>12</v>
      </c>
      <c r="AK2" s="106" t="s">
        <v>13</v>
      </c>
      <c r="AL2" s="136" t="s">
        <v>14</v>
      </c>
      <c r="AM2" s="137" t="s">
        <v>15</v>
      </c>
    </row>
    <row r="3" spans="1:46">
      <c r="A3" s="42" t="s">
        <v>16</v>
      </c>
      <c r="B3" s="16" t="s">
        <v>17</v>
      </c>
      <c r="C3" s="17" t="s">
        <v>18</v>
      </c>
      <c r="D3" s="18" t="s">
        <v>19</v>
      </c>
      <c r="E3" s="19" t="s">
        <v>20</v>
      </c>
      <c r="F3" s="39" t="s">
        <v>21</v>
      </c>
      <c r="G3" s="35" t="s">
        <v>22</v>
      </c>
      <c r="H3" s="35" t="s">
        <v>23</v>
      </c>
      <c r="I3" s="38" t="s">
        <v>24</v>
      </c>
      <c r="J3" s="36" t="s">
        <v>25</v>
      </c>
      <c r="K3" s="36" t="s">
        <v>26</v>
      </c>
      <c r="L3" s="37" t="s">
        <v>27</v>
      </c>
      <c r="X3" s="123">
        <v>0</v>
      </c>
      <c r="Y3" s="124">
        <v>0</v>
      </c>
      <c r="Z3" s="127">
        <v>0</v>
      </c>
      <c r="AA3" s="130">
        <v>0</v>
      </c>
      <c r="AB3" s="123">
        <v>1</v>
      </c>
      <c r="AC3" s="124">
        <v>1</v>
      </c>
      <c r="AD3" s="127">
        <v>1</v>
      </c>
      <c r="AE3" s="133">
        <v>1</v>
      </c>
      <c r="AF3" s="117">
        <v>1</v>
      </c>
      <c r="AG3" s="107" t="s">
        <v>16</v>
      </c>
      <c r="AH3" s="108">
        <v>1</v>
      </c>
      <c r="AI3" s="109" t="s">
        <v>16</v>
      </c>
      <c r="AJ3" s="110">
        <v>1</v>
      </c>
      <c r="AK3" s="95" t="s">
        <v>16</v>
      </c>
      <c r="AL3" s="138">
        <v>1</v>
      </c>
      <c r="AM3" s="139" t="s">
        <v>16</v>
      </c>
      <c r="AO3" s="4" t="s">
        <v>28</v>
      </c>
      <c r="AP3" s="6" t="s">
        <v>29</v>
      </c>
      <c r="AQ3" s="4" t="s">
        <v>30</v>
      </c>
      <c r="AR3" s="4" t="s">
        <v>31</v>
      </c>
      <c r="AS3" s="42" t="s">
        <v>32</v>
      </c>
      <c r="AT3" s="5" t="s">
        <v>33</v>
      </c>
    </row>
    <row r="4" spans="1:46">
      <c r="A4" s="43">
        <v>0</v>
      </c>
      <c r="B4" s="20">
        <v>0</v>
      </c>
      <c r="C4" s="12">
        <v>0</v>
      </c>
      <c r="D4" s="14">
        <v>1</v>
      </c>
      <c r="E4" s="21">
        <v>0</v>
      </c>
      <c r="F4" s="40">
        <v>0</v>
      </c>
      <c r="G4" s="20">
        <v>1</v>
      </c>
      <c r="H4" s="32">
        <v>0</v>
      </c>
      <c r="I4" s="29">
        <v>1</v>
      </c>
      <c r="J4" s="22">
        <v>0</v>
      </c>
      <c r="K4" s="26">
        <v>0</v>
      </c>
      <c r="L4" s="23" t="s">
        <v>16</v>
      </c>
      <c r="X4" s="123">
        <v>0</v>
      </c>
      <c r="Y4" s="124">
        <v>0</v>
      </c>
      <c r="Z4" s="127">
        <v>0</v>
      </c>
      <c r="AA4" s="130">
        <v>1</v>
      </c>
      <c r="AB4" s="123">
        <v>0</v>
      </c>
      <c r="AC4" s="124">
        <v>0</v>
      </c>
      <c r="AD4" s="127">
        <v>0</v>
      </c>
      <c r="AE4" s="133">
        <v>0</v>
      </c>
      <c r="AF4" s="118">
        <v>0</v>
      </c>
      <c r="AG4" s="107" t="s">
        <v>16</v>
      </c>
      <c r="AH4" s="108">
        <v>0</v>
      </c>
      <c r="AI4" s="109" t="s">
        <v>16</v>
      </c>
      <c r="AJ4" s="110">
        <v>0</v>
      </c>
      <c r="AK4" s="95" t="s">
        <v>16</v>
      </c>
      <c r="AL4" s="138" t="s">
        <v>16</v>
      </c>
      <c r="AM4" s="139">
        <v>1</v>
      </c>
      <c r="AO4" s="7">
        <v>0</v>
      </c>
      <c r="AP4">
        <v>0</v>
      </c>
      <c r="AQ4" s="7">
        <v>0</v>
      </c>
      <c r="AR4" s="7">
        <v>0</v>
      </c>
      <c r="AS4" s="43" t="str">
        <f>"0X"</f>
        <v>0X</v>
      </c>
      <c r="AT4" s="1" t="str">
        <f>"0X"</f>
        <v>0X</v>
      </c>
    </row>
    <row r="5" spans="1:46">
      <c r="A5" s="43">
        <v>0</v>
      </c>
      <c r="B5" s="20">
        <v>0</v>
      </c>
      <c r="C5" s="12">
        <v>1</v>
      </c>
      <c r="D5" s="14">
        <v>0</v>
      </c>
      <c r="E5" s="21">
        <v>0</v>
      </c>
      <c r="F5" s="40">
        <v>0</v>
      </c>
      <c r="G5" s="20">
        <v>0</v>
      </c>
      <c r="H5" s="33">
        <v>1</v>
      </c>
      <c r="I5" s="30">
        <v>0</v>
      </c>
      <c r="J5" s="22" t="s">
        <v>16</v>
      </c>
      <c r="K5" s="27">
        <v>0</v>
      </c>
      <c r="L5" s="23">
        <v>1</v>
      </c>
      <c r="X5" s="123">
        <v>0</v>
      </c>
      <c r="Y5" s="124">
        <v>0</v>
      </c>
      <c r="Z5" s="127">
        <v>1</v>
      </c>
      <c r="AA5" s="130">
        <v>0</v>
      </c>
      <c r="AB5" s="123">
        <v>0</v>
      </c>
      <c r="AC5" s="124">
        <v>0</v>
      </c>
      <c r="AD5" s="127">
        <v>0</v>
      </c>
      <c r="AE5" s="133">
        <v>1</v>
      </c>
      <c r="AF5" s="118">
        <v>0</v>
      </c>
      <c r="AG5" s="107" t="s">
        <v>16</v>
      </c>
      <c r="AH5" s="108">
        <v>0</v>
      </c>
      <c r="AI5" s="109" t="s">
        <v>16</v>
      </c>
      <c r="AJ5" s="110" t="s">
        <v>16</v>
      </c>
      <c r="AK5" s="95">
        <v>1</v>
      </c>
      <c r="AL5" s="138">
        <v>1</v>
      </c>
      <c r="AM5" s="139" t="s">
        <v>16</v>
      </c>
      <c r="AO5" s="7">
        <v>0</v>
      </c>
      <c r="AP5">
        <v>1</v>
      </c>
      <c r="AQ5" s="7">
        <v>1</v>
      </c>
      <c r="AR5" s="7">
        <v>1</v>
      </c>
      <c r="AS5" s="43" t="str">
        <f>"1X"</f>
        <v>1X</v>
      </c>
      <c r="AT5" s="1" t="str">
        <f>"10"</f>
        <v>10</v>
      </c>
    </row>
    <row r="6" spans="1:46">
      <c r="A6" s="43">
        <v>0</v>
      </c>
      <c r="B6" s="20">
        <v>1</v>
      </c>
      <c r="C6" s="12">
        <v>0</v>
      </c>
      <c r="D6" s="14">
        <v>0</v>
      </c>
      <c r="E6" s="21">
        <v>1</v>
      </c>
      <c r="F6" s="40">
        <v>1</v>
      </c>
      <c r="G6" s="20">
        <v>1</v>
      </c>
      <c r="H6" s="33">
        <v>1</v>
      </c>
      <c r="I6" s="30" t="str">
        <f>"0"</f>
        <v>0</v>
      </c>
      <c r="J6" s="22">
        <v>1</v>
      </c>
      <c r="K6" s="27">
        <v>1</v>
      </c>
      <c r="L6" s="23">
        <v>0</v>
      </c>
      <c r="X6" s="123">
        <v>0</v>
      </c>
      <c r="Y6" s="124">
        <v>0</v>
      </c>
      <c r="Z6" s="127">
        <v>1</v>
      </c>
      <c r="AA6" s="130">
        <v>1</v>
      </c>
      <c r="AB6" s="123">
        <v>0</v>
      </c>
      <c r="AC6" s="124">
        <v>0</v>
      </c>
      <c r="AD6" s="127">
        <v>1</v>
      </c>
      <c r="AE6" s="133">
        <v>0</v>
      </c>
      <c r="AF6" s="118">
        <v>0</v>
      </c>
      <c r="AG6" s="107" t="s">
        <v>16</v>
      </c>
      <c r="AH6" s="108">
        <v>0</v>
      </c>
      <c r="AI6" s="109" t="s">
        <v>16</v>
      </c>
      <c r="AJ6" s="110" t="s">
        <v>16</v>
      </c>
      <c r="AK6" s="95">
        <v>0</v>
      </c>
      <c r="AL6" s="138" t="s">
        <v>16</v>
      </c>
      <c r="AM6" s="139">
        <v>1</v>
      </c>
      <c r="AO6" s="7">
        <v>1</v>
      </c>
      <c r="AP6">
        <v>0</v>
      </c>
      <c r="AQ6" s="7">
        <v>1</v>
      </c>
      <c r="AR6" s="7">
        <v>0</v>
      </c>
      <c r="AS6" s="43" t="str">
        <f>"X1"</f>
        <v>X1</v>
      </c>
      <c r="AT6" s="1" t="str">
        <f>"01"</f>
        <v>01</v>
      </c>
    </row>
    <row r="7" spans="1:46">
      <c r="A7" s="43">
        <v>0</v>
      </c>
      <c r="B7" s="20">
        <v>1</v>
      </c>
      <c r="C7" s="12">
        <v>1</v>
      </c>
      <c r="D7" s="14">
        <v>0</v>
      </c>
      <c r="E7" s="21">
        <v>0</v>
      </c>
      <c r="F7" s="40">
        <v>1</v>
      </c>
      <c r="G7" s="20">
        <v>1</v>
      </c>
      <c r="H7" s="33">
        <v>1</v>
      </c>
      <c r="I7" s="30">
        <v>0</v>
      </c>
      <c r="J7" s="22">
        <v>1</v>
      </c>
      <c r="K7" s="27">
        <v>0</v>
      </c>
      <c r="L7" s="23">
        <v>1</v>
      </c>
      <c r="X7" s="123">
        <v>0</v>
      </c>
      <c r="Y7" s="124">
        <v>1</v>
      </c>
      <c r="Z7" s="127">
        <v>0</v>
      </c>
      <c r="AA7" s="130">
        <v>0</v>
      </c>
      <c r="AB7" s="123">
        <v>0</v>
      </c>
      <c r="AC7" s="124">
        <v>0</v>
      </c>
      <c r="AD7" s="127">
        <v>1</v>
      </c>
      <c r="AE7" s="133">
        <v>1</v>
      </c>
      <c r="AF7" s="118">
        <v>0</v>
      </c>
      <c r="AG7" s="107" t="s">
        <v>16</v>
      </c>
      <c r="AH7" s="108" t="s">
        <v>16</v>
      </c>
      <c r="AI7" s="109">
        <v>1</v>
      </c>
      <c r="AJ7" s="110">
        <v>1</v>
      </c>
      <c r="AK7" s="95" t="s">
        <v>16</v>
      </c>
      <c r="AL7" s="138">
        <v>1</v>
      </c>
      <c r="AM7" s="139" t="s">
        <v>16</v>
      </c>
      <c r="AO7" s="8">
        <v>1</v>
      </c>
      <c r="AP7" s="2">
        <v>1</v>
      </c>
      <c r="AQ7" s="8">
        <v>0</v>
      </c>
      <c r="AR7" s="8">
        <v>1</v>
      </c>
      <c r="AS7" s="44" t="str">
        <f>"X0"</f>
        <v>X0</v>
      </c>
      <c r="AT7" s="3" t="str">
        <f>"X0"</f>
        <v>X0</v>
      </c>
    </row>
    <row r="8" spans="1:46">
      <c r="A8" s="43">
        <v>1</v>
      </c>
      <c r="B8" s="20">
        <v>0</v>
      </c>
      <c r="C8" s="12">
        <v>0</v>
      </c>
      <c r="D8" s="14">
        <v>1</v>
      </c>
      <c r="E8" s="21">
        <v>1</v>
      </c>
      <c r="F8" s="40">
        <v>0</v>
      </c>
      <c r="G8" s="20">
        <v>1</v>
      </c>
      <c r="H8" s="33">
        <v>1</v>
      </c>
      <c r="I8" s="30">
        <v>1</v>
      </c>
      <c r="J8" s="22">
        <v>0</v>
      </c>
      <c r="K8" s="27">
        <v>1</v>
      </c>
      <c r="L8" s="23">
        <v>0</v>
      </c>
      <c r="X8" s="123">
        <v>0</v>
      </c>
      <c r="Y8" s="124">
        <v>1</v>
      </c>
      <c r="Z8" s="127">
        <v>0</v>
      </c>
      <c r="AA8" s="130">
        <v>1</v>
      </c>
      <c r="AB8" s="123">
        <v>0</v>
      </c>
      <c r="AC8" s="124">
        <v>1</v>
      </c>
      <c r="AD8" s="127">
        <v>0</v>
      </c>
      <c r="AE8" s="133">
        <v>0</v>
      </c>
      <c r="AF8" s="118">
        <v>0</v>
      </c>
      <c r="AG8" s="107" t="s">
        <v>16</v>
      </c>
      <c r="AH8" s="108" t="s">
        <v>16</v>
      </c>
      <c r="AI8" s="109">
        <v>0</v>
      </c>
      <c r="AJ8" s="110">
        <v>0</v>
      </c>
      <c r="AK8" s="95" t="s">
        <v>16</v>
      </c>
      <c r="AL8" s="138" t="s">
        <v>16</v>
      </c>
      <c r="AM8" s="139">
        <v>1</v>
      </c>
    </row>
    <row r="9" spans="1:46">
      <c r="A9" s="43">
        <v>1</v>
      </c>
      <c r="B9" s="20">
        <v>0</v>
      </c>
      <c r="C9" s="12">
        <v>1</v>
      </c>
      <c r="D9" s="14">
        <v>0</v>
      </c>
      <c r="E9" s="21">
        <v>1</v>
      </c>
      <c r="F9" s="40">
        <v>0</v>
      </c>
      <c r="G9" s="20">
        <v>0</v>
      </c>
      <c r="H9" s="33">
        <v>0</v>
      </c>
      <c r="I9" s="30">
        <v>0</v>
      </c>
      <c r="J9" s="22" t="s">
        <v>16</v>
      </c>
      <c r="K9" s="27" t="s">
        <v>16</v>
      </c>
      <c r="L9" s="23">
        <v>0</v>
      </c>
      <c r="X9" s="123">
        <v>0</v>
      </c>
      <c r="Y9" s="124">
        <v>1</v>
      </c>
      <c r="Z9" s="127">
        <v>1</v>
      </c>
      <c r="AA9" s="130">
        <v>0</v>
      </c>
      <c r="AB9" s="123">
        <v>0</v>
      </c>
      <c r="AC9" s="124">
        <v>1</v>
      </c>
      <c r="AD9" s="127">
        <v>0</v>
      </c>
      <c r="AE9" s="133">
        <v>1</v>
      </c>
      <c r="AF9" s="118">
        <v>0</v>
      </c>
      <c r="AG9" s="107" t="s">
        <v>16</v>
      </c>
      <c r="AH9" s="108" t="s">
        <v>16</v>
      </c>
      <c r="AI9" s="109">
        <v>0</v>
      </c>
      <c r="AJ9" s="110" t="s">
        <v>16</v>
      </c>
      <c r="AK9" s="95">
        <v>1</v>
      </c>
      <c r="AL9" s="138">
        <v>1</v>
      </c>
      <c r="AM9" s="139" t="s">
        <v>16</v>
      </c>
    </row>
    <row r="10" spans="1:46">
      <c r="A10" s="43">
        <v>1</v>
      </c>
      <c r="B10" s="20">
        <v>1</v>
      </c>
      <c r="C10" s="12">
        <v>0</v>
      </c>
      <c r="D10" s="14">
        <v>1</v>
      </c>
      <c r="E10" s="21">
        <v>1</v>
      </c>
      <c r="F10" s="40">
        <v>0</v>
      </c>
      <c r="G10" s="20">
        <v>0</v>
      </c>
      <c r="H10" s="33">
        <v>1</v>
      </c>
      <c r="I10" s="30" t="s">
        <v>16</v>
      </c>
      <c r="J10" s="22">
        <v>0</v>
      </c>
      <c r="K10" s="27">
        <v>1</v>
      </c>
      <c r="L10" s="23">
        <v>0</v>
      </c>
      <c r="X10" s="123">
        <v>0</v>
      </c>
      <c r="Y10" s="124">
        <v>1</v>
      </c>
      <c r="Z10" s="127">
        <v>1</v>
      </c>
      <c r="AA10" s="130">
        <v>1</v>
      </c>
      <c r="AB10" s="123">
        <v>0</v>
      </c>
      <c r="AC10" s="124">
        <v>1</v>
      </c>
      <c r="AD10" s="127">
        <v>1</v>
      </c>
      <c r="AE10" s="133">
        <v>0</v>
      </c>
      <c r="AF10" s="118">
        <v>0</v>
      </c>
      <c r="AG10" s="107" t="s">
        <v>16</v>
      </c>
      <c r="AH10" s="108" t="s">
        <v>16</v>
      </c>
      <c r="AI10" s="109">
        <v>0</v>
      </c>
      <c r="AJ10" s="110" t="s">
        <v>16</v>
      </c>
      <c r="AK10" s="95">
        <v>0</v>
      </c>
      <c r="AL10" s="138" t="s">
        <v>16</v>
      </c>
      <c r="AM10" s="139">
        <v>1</v>
      </c>
    </row>
    <row r="11" spans="1:46">
      <c r="A11" s="44">
        <v>1</v>
      </c>
      <c r="B11" s="9">
        <v>1</v>
      </c>
      <c r="C11" s="11">
        <v>1</v>
      </c>
      <c r="D11" s="13">
        <v>0</v>
      </c>
      <c r="E11" s="10">
        <v>0</v>
      </c>
      <c r="F11" s="41">
        <v>1</v>
      </c>
      <c r="G11" s="9">
        <v>1</v>
      </c>
      <c r="H11" s="34">
        <v>1</v>
      </c>
      <c r="I11" s="31">
        <v>0</v>
      </c>
      <c r="J11" s="15">
        <v>1</v>
      </c>
      <c r="K11" s="28">
        <v>0</v>
      </c>
      <c r="L11" s="24">
        <v>1</v>
      </c>
      <c r="X11" s="123">
        <v>1</v>
      </c>
      <c r="Y11" s="124">
        <v>0</v>
      </c>
      <c r="Z11" s="127">
        <v>0</v>
      </c>
      <c r="AA11" s="130">
        <v>0</v>
      </c>
      <c r="AB11" s="123">
        <v>0</v>
      </c>
      <c r="AC11" s="124">
        <v>1</v>
      </c>
      <c r="AD11" s="127">
        <v>1</v>
      </c>
      <c r="AE11" s="133">
        <v>1</v>
      </c>
      <c r="AF11" s="118" t="s">
        <v>16</v>
      </c>
      <c r="AG11" s="107">
        <v>1</v>
      </c>
      <c r="AH11" s="108">
        <v>1</v>
      </c>
      <c r="AI11" s="109" t="s">
        <v>16</v>
      </c>
      <c r="AJ11" s="110">
        <v>1</v>
      </c>
      <c r="AK11" s="95" t="s">
        <v>16</v>
      </c>
      <c r="AL11" s="138">
        <v>1</v>
      </c>
      <c r="AM11" s="139" t="s">
        <v>16</v>
      </c>
    </row>
    <row r="12" spans="1:46">
      <c r="X12" s="123">
        <v>1</v>
      </c>
      <c r="Y12" s="124">
        <v>0</v>
      </c>
      <c r="Z12" s="127">
        <v>0</v>
      </c>
      <c r="AA12" s="130">
        <v>1</v>
      </c>
      <c r="AB12" s="123">
        <v>1</v>
      </c>
      <c r="AC12" s="124">
        <v>0</v>
      </c>
      <c r="AD12" s="127">
        <v>0</v>
      </c>
      <c r="AE12" s="133">
        <v>0</v>
      </c>
      <c r="AF12" s="118" t="s">
        <v>16</v>
      </c>
      <c r="AG12" s="107">
        <v>0</v>
      </c>
      <c r="AH12" s="108">
        <v>0</v>
      </c>
      <c r="AI12" s="109" t="s">
        <v>16</v>
      </c>
      <c r="AJ12" s="110">
        <v>0</v>
      </c>
      <c r="AK12" s="95" t="s">
        <v>16</v>
      </c>
      <c r="AL12" s="138" t="s">
        <v>16</v>
      </c>
      <c r="AM12" s="139">
        <v>1</v>
      </c>
    </row>
    <row r="13" spans="1:46">
      <c r="A13" s="45"/>
      <c r="B13" s="46" t="s">
        <v>16</v>
      </c>
      <c r="C13" s="47" t="s">
        <v>0</v>
      </c>
      <c r="D13" s="48" t="s">
        <v>1</v>
      </c>
      <c r="E13" s="49" t="s">
        <v>4</v>
      </c>
      <c r="F13" s="50" t="s">
        <v>5</v>
      </c>
      <c r="G13" s="51" t="s">
        <v>21</v>
      </c>
      <c r="H13" s="49" t="s">
        <v>34</v>
      </c>
      <c r="I13" s="48" t="s">
        <v>35</v>
      </c>
      <c r="J13" s="47" t="s">
        <v>8</v>
      </c>
      <c r="K13" s="47" t="s">
        <v>9</v>
      </c>
      <c r="L13" s="50" t="s">
        <v>10</v>
      </c>
      <c r="M13" s="48" t="s">
        <v>11</v>
      </c>
      <c r="X13" s="123">
        <v>1</v>
      </c>
      <c r="Y13" s="124">
        <v>0</v>
      </c>
      <c r="Z13" s="127">
        <v>1</v>
      </c>
      <c r="AA13" s="130">
        <v>0</v>
      </c>
      <c r="AB13" s="123">
        <v>1</v>
      </c>
      <c r="AC13" s="124">
        <v>0</v>
      </c>
      <c r="AD13" s="127">
        <v>0</v>
      </c>
      <c r="AE13" s="133">
        <v>1</v>
      </c>
      <c r="AF13" s="118" t="s">
        <v>16</v>
      </c>
      <c r="AG13" s="107">
        <v>0</v>
      </c>
      <c r="AH13" s="108">
        <v>0</v>
      </c>
      <c r="AI13" s="109" t="s">
        <v>16</v>
      </c>
      <c r="AJ13" s="110" t="s">
        <v>16</v>
      </c>
      <c r="AK13" s="95">
        <v>1</v>
      </c>
      <c r="AL13" s="138">
        <v>1</v>
      </c>
      <c r="AM13" s="139" t="s">
        <v>16</v>
      </c>
    </row>
    <row r="14" spans="1:46">
      <c r="A14" s="45" t="s">
        <v>17</v>
      </c>
      <c r="B14" s="52">
        <v>0</v>
      </c>
      <c r="C14" s="53">
        <v>0</v>
      </c>
      <c r="D14" s="23">
        <v>0</v>
      </c>
      <c r="E14" s="54">
        <v>0</v>
      </c>
      <c r="F14" s="25">
        <v>1</v>
      </c>
      <c r="G14" s="55">
        <v>1</v>
      </c>
      <c r="H14" s="54">
        <v>0</v>
      </c>
      <c r="I14" s="23">
        <v>1</v>
      </c>
      <c r="J14" s="53">
        <v>0</v>
      </c>
      <c r="K14" s="53" t="s">
        <v>16</v>
      </c>
      <c r="L14" s="25">
        <v>1</v>
      </c>
      <c r="M14" s="23" t="s">
        <v>16</v>
      </c>
      <c r="X14" s="123">
        <v>1</v>
      </c>
      <c r="Y14" s="124">
        <v>0</v>
      </c>
      <c r="Z14" s="127">
        <v>1</v>
      </c>
      <c r="AA14" s="130">
        <v>1</v>
      </c>
      <c r="AB14" s="123">
        <v>1</v>
      </c>
      <c r="AC14" s="124">
        <v>0</v>
      </c>
      <c r="AD14" s="127">
        <v>1</v>
      </c>
      <c r="AE14" s="133">
        <v>0</v>
      </c>
      <c r="AF14" s="118" t="s">
        <v>16</v>
      </c>
      <c r="AG14" s="107">
        <v>0</v>
      </c>
      <c r="AH14" s="108">
        <v>0</v>
      </c>
      <c r="AI14" s="109" t="s">
        <v>16</v>
      </c>
      <c r="AJ14" s="110" t="s">
        <v>16</v>
      </c>
      <c r="AK14" s="95">
        <v>0</v>
      </c>
      <c r="AL14" s="138" t="s">
        <v>16</v>
      </c>
      <c r="AM14" s="139">
        <v>1</v>
      </c>
    </row>
    <row r="15" spans="1:46">
      <c r="A15" s="45" t="s">
        <v>18</v>
      </c>
      <c r="B15" s="52">
        <v>0</v>
      </c>
      <c r="C15" s="53">
        <v>1</v>
      </c>
      <c r="D15" s="23">
        <v>1</v>
      </c>
      <c r="E15" s="54">
        <v>0</v>
      </c>
      <c r="F15" s="25">
        <v>0</v>
      </c>
      <c r="G15" s="55">
        <v>1</v>
      </c>
      <c r="H15" s="54">
        <v>0</v>
      </c>
      <c r="I15" s="23">
        <v>0</v>
      </c>
      <c r="J15" s="53" t="s">
        <v>16</v>
      </c>
      <c r="K15" s="53">
        <v>1</v>
      </c>
      <c r="L15" s="25" t="s">
        <v>16</v>
      </c>
      <c r="M15" s="23">
        <v>1</v>
      </c>
      <c r="X15" s="123">
        <v>1</v>
      </c>
      <c r="Y15" s="124">
        <v>1</v>
      </c>
      <c r="Z15" s="127">
        <v>0</v>
      </c>
      <c r="AA15" s="130">
        <v>0</v>
      </c>
      <c r="AB15" s="123">
        <v>1</v>
      </c>
      <c r="AC15" s="124">
        <v>0</v>
      </c>
      <c r="AD15" s="127">
        <v>1</v>
      </c>
      <c r="AE15" s="133">
        <v>1</v>
      </c>
      <c r="AF15" s="118" t="s">
        <v>16</v>
      </c>
      <c r="AG15" s="107">
        <v>0</v>
      </c>
      <c r="AH15" s="108" t="s">
        <v>16</v>
      </c>
      <c r="AI15" s="109">
        <v>1</v>
      </c>
      <c r="AJ15" s="110">
        <v>1</v>
      </c>
      <c r="AK15" s="95" t="s">
        <v>16</v>
      </c>
      <c r="AL15" s="138">
        <v>1</v>
      </c>
      <c r="AM15" s="139" t="s">
        <v>16</v>
      </c>
    </row>
    <row r="16" spans="1:46">
      <c r="A16" s="45" t="s">
        <v>36</v>
      </c>
      <c r="B16" s="52">
        <v>0</v>
      </c>
      <c r="C16" s="53">
        <v>0</v>
      </c>
      <c r="D16" s="23">
        <v>1</v>
      </c>
      <c r="E16" s="54">
        <v>0</v>
      </c>
      <c r="F16" s="25">
        <v>1</v>
      </c>
      <c r="G16" s="55">
        <v>1</v>
      </c>
      <c r="H16" s="54">
        <v>0</v>
      </c>
      <c r="I16" s="23">
        <v>1</v>
      </c>
      <c r="J16" s="53">
        <v>0</v>
      </c>
      <c r="K16" s="53" t="s">
        <v>16</v>
      </c>
      <c r="L16" s="25" t="s">
        <v>16</v>
      </c>
      <c r="M16" s="23">
        <v>0</v>
      </c>
      <c r="X16" s="123">
        <v>1</v>
      </c>
      <c r="Y16" s="124">
        <v>1</v>
      </c>
      <c r="Z16" s="127">
        <v>0</v>
      </c>
      <c r="AA16" s="130">
        <v>1</v>
      </c>
      <c r="AB16" s="123">
        <v>1</v>
      </c>
      <c r="AC16" s="124">
        <v>1</v>
      </c>
      <c r="AD16" s="127">
        <v>0</v>
      </c>
      <c r="AE16" s="133">
        <v>0</v>
      </c>
      <c r="AF16" s="118" t="s">
        <v>16</v>
      </c>
      <c r="AG16" s="107">
        <v>0</v>
      </c>
      <c r="AH16" s="108" t="s">
        <v>16</v>
      </c>
      <c r="AI16" s="109">
        <v>0</v>
      </c>
      <c r="AJ16" s="110">
        <v>0</v>
      </c>
      <c r="AK16" s="95" t="s">
        <v>16</v>
      </c>
      <c r="AL16" s="138" t="s">
        <v>16</v>
      </c>
      <c r="AM16" s="139">
        <v>1</v>
      </c>
    </row>
    <row r="17" spans="1:39">
      <c r="A17" s="56" t="s">
        <v>31</v>
      </c>
      <c r="B17" s="52">
        <v>0</v>
      </c>
      <c r="C17" s="56">
        <v>1</v>
      </c>
      <c r="D17" s="57">
        <v>0</v>
      </c>
      <c r="E17" s="65" t="s">
        <v>16</v>
      </c>
      <c r="F17" s="66" t="s">
        <v>16</v>
      </c>
      <c r="G17" s="67" t="s">
        <v>16</v>
      </c>
      <c r="H17" s="65" t="s">
        <v>16</v>
      </c>
      <c r="I17" s="68" t="s">
        <v>16</v>
      </c>
      <c r="J17" s="66" t="s">
        <v>16</v>
      </c>
      <c r="K17" s="66" t="s">
        <v>16</v>
      </c>
      <c r="L17" s="66" t="s">
        <v>16</v>
      </c>
      <c r="M17" s="68" t="s">
        <v>16</v>
      </c>
      <c r="X17" s="123">
        <v>1</v>
      </c>
      <c r="Y17" s="124">
        <v>1</v>
      </c>
      <c r="Z17" s="127">
        <v>1</v>
      </c>
      <c r="AA17" s="130">
        <v>0</v>
      </c>
      <c r="AB17" s="123">
        <v>1</v>
      </c>
      <c r="AC17" s="124">
        <v>1</v>
      </c>
      <c r="AD17" s="127">
        <v>0</v>
      </c>
      <c r="AE17" s="133">
        <v>1</v>
      </c>
      <c r="AF17" s="118" t="s">
        <v>16</v>
      </c>
      <c r="AG17" s="107">
        <v>0</v>
      </c>
      <c r="AH17" s="108" t="s">
        <v>16</v>
      </c>
      <c r="AI17" s="109">
        <v>0</v>
      </c>
      <c r="AJ17" s="110" t="s">
        <v>16</v>
      </c>
      <c r="AK17" s="95">
        <v>1</v>
      </c>
      <c r="AL17" s="138">
        <v>1</v>
      </c>
      <c r="AM17" s="139" t="s">
        <v>16</v>
      </c>
    </row>
    <row r="18" spans="1:39">
      <c r="A18" s="45" t="s">
        <v>17</v>
      </c>
      <c r="B18" s="52">
        <v>1</v>
      </c>
      <c r="C18" s="53">
        <v>0</v>
      </c>
      <c r="D18" s="23">
        <v>0</v>
      </c>
      <c r="E18" s="54">
        <v>1</v>
      </c>
      <c r="F18" s="25">
        <v>1</v>
      </c>
      <c r="G18" s="55">
        <v>1</v>
      </c>
      <c r="H18" s="54">
        <v>1</v>
      </c>
      <c r="I18" s="23">
        <v>1</v>
      </c>
      <c r="J18" s="53">
        <v>1</v>
      </c>
      <c r="K18" s="53" t="s">
        <v>16</v>
      </c>
      <c r="L18" s="25">
        <v>1</v>
      </c>
      <c r="M18" s="23" t="s">
        <v>16</v>
      </c>
      <c r="X18" s="125">
        <v>1</v>
      </c>
      <c r="Y18" s="126">
        <v>1</v>
      </c>
      <c r="Z18" s="128">
        <v>1</v>
      </c>
      <c r="AA18" s="131">
        <v>1</v>
      </c>
      <c r="AB18" s="125">
        <v>1</v>
      </c>
      <c r="AC18" s="126">
        <v>1</v>
      </c>
      <c r="AD18" s="128">
        <v>1</v>
      </c>
      <c r="AE18" s="134">
        <v>0</v>
      </c>
      <c r="AF18" s="119" t="s">
        <v>16</v>
      </c>
      <c r="AG18" s="112">
        <v>0</v>
      </c>
      <c r="AH18" s="113" t="s">
        <v>16</v>
      </c>
      <c r="AI18" s="114">
        <v>0</v>
      </c>
      <c r="AJ18" s="116" t="s">
        <v>16</v>
      </c>
      <c r="AK18" s="96">
        <v>0</v>
      </c>
      <c r="AL18" s="141" t="s">
        <v>16</v>
      </c>
      <c r="AM18" s="140">
        <v>1</v>
      </c>
    </row>
    <row r="19" spans="1:39">
      <c r="A19" s="45" t="s">
        <v>18</v>
      </c>
      <c r="B19" s="52">
        <v>1</v>
      </c>
      <c r="C19" s="53">
        <v>1</v>
      </c>
      <c r="D19" s="23">
        <v>1</v>
      </c>
      <c r="E19" s="54">
        <v>0</v>
      </c>
      <c r="F19" s="25">
        <v>0</v>
      </c>
      <c r="G19" s="55">
        <v>0</v>
      </c>
      <c r="H19" s="54">
        <v>0</v>
      </c>
      <c r="I19" s="23">
        <v>0</v>
      </c>
      <c r="J19" s="53" t="s">
        <v>16</v>
      </c>
      <c r="K19" s="53">
        <v>1</v>
      </c>
      <c r="L19" s="25" t="s">
        <v>16</v>
      </c>
      <c r="M19" s="23">
        <v>1</v>
      </c>
    </row>
    <row r="20" spans="1:39">
      <c r="A20" s="45" t="s">
        <v>36</v>
      </c>
      <c r="B20" s="52">
        <v>1</v>
      </c>
      <c r="C20" s="53">
        <v>0</v>
      </c>
      <c r="D20" s="23">
        <v>1</v>
      </c>
      <c r="E20" s="54">
        <v>0</v>
      </c>
      <c r="F20" s="25">
        <v>0</v>
      </c>
      <c r="G20" s="55">
        <v>0</v>
      </c>
      <c r="H20" s="54">
        <v>0</v>
      </c>
      <c r="I20" s="23">
        <v>0</v>
      </c>
      <c r="J20" s="53">
        <v>0</v>
      </c>
      <c r="K20" s="53" t="s">
        <v>16</v>
      </c>
      <c r="L20" s="25" t="s">
        <v>16</v>
      </c>
      <c r="M20" s="23">
        <v>1</v>
      </c>
    </row>
    <row r="21" spans="1:39">
      <c r="A21" s="56" t="s">
        <v>31</v>
      </c>
      <c r="B21" s="58">
        <v>1</v>
      </c>
      <c r="C21" s="59">
        <v>1</v>
      </c>
      <c r="D21" s="60">
        <v>1</v>
      </c>
      <c r="E21" s="61" t="s">
        <v>16</v>
      </c>
      <c r="F21" s="62" t="s">
        <v>16</v>
      </c>
      <c r="G21" s="63" t="s">
        <v>16</v>
      </c>
      <c r="H21" s="61" t="s">
        <v>16</v>
      </c>
      <c r="I21" s="64" t="s">
        <v>16</v>
      </c>
      <c r="J21" s="62" t="s">
        <v>16</v>
      </c>
      <c r="K21" s="62" t="s">
        <v>16</v>
      </c>
      <c r="L21" s="62" t="s">
        <v>16</v>
      </c>
      <c r="M21" s="64" t="s">
        <v>16</v>
      </c>
    </row>
    <row r="22" spans="1:39" ht="15.75" thickBot="1"/>
    <row r="23" spans="1:39" ht="12" customHeight="1" thickBot="1">
      <c r="D23" s="69"/>
      <c r="E23" s="70" t="s">
        <v>16</v>
      </c>
      <c r="F23" s="71" t="s">
        <v>0</v>
      </c>
      <c r="G23" s="72" t="s">
        <v>1</v>
      </c>
      <c r="H23" s="71" t="s">
        <v>4</v>
      </c>
      <c r="I23" s="73" t="s">
        <v>5</v>
      </c>
      <c r="J23" s="74" t="s">
        <v>21</v>
      </c>
      <c r="K23" s="71" t="s">
        <v>34</v>
      </c>
      <c r="L23" s="72" t="s">
        <v>35</v>
      </c>
      <c r="M23" s="71" t="s">
        <v>8</v>
      </c>
      <c r="N23" s="71" t="s">
        <v>9</v>
      </c>
      <c r="O23" s="73" t="s">
        <v>10</v>
      </c>
      <c r="P23" s="72" t="s">
        <v>11</v>
      </c>
      <c r="Q23" s="75" t="s">
        <v>28</v>
      </c>
      <c r="R23" s="75" t="s">
        <v>29</v>
      </c>
      <c r="S23" s="75" t="s">
        <v>30</v>
      </c>
      <c r="T23" s="75" t="s">
        <v>31</v>
      </c>
      <c r="U23" s="75" t="s">
        <v>32</v>
      </c>
      <c r="V23" s="75" t="s">
        <v>33</v>
      </c>
    </row>
    <row r="24" spans="1:39" ht="12" customHeight="1">
      <c r="D24" s="76" t="s">
        <v>17</v>
      </c>
      <c r="E24" s="77">
        <v>0</v>
      </c>
      <c r="F24" s="78">
        <v>0</v>
      </c>
      <c r="G24" s="79">
        <v>0</v>
      </c>
      <c r="H24" s="78">
        <v>0</v>
      </c>
      <c r="I24" s="80">
        <v>1</v>
      </c>
      <c r="J24" s="81">
        <v>1</v>
      </c>
      <c r="K24" s="78">
        <v>0</v>
      </c>
      <c r="L24" s="79">
        <v>1</v>
      </c>
      <c r="M24" s="78">
        <v>0</v>
      </c>
      <c r="N24" s="78" t="s">
        <v>16</v>
      </c>
      <c r="O24" s="80">
        <v>1</v>
      </c>
      <c r="P24" s="79" t="s">
        <v>16</v>
      </c>
      <c r="Q24" s="75">
        <v>0</v>
      </c>
      <c r="R24" s="75">
        <v>0</v>
      </c>
      <c r="S24" s="75">
        <v>0</v>
      </c>
      <c r="T24" s="75">
        <v>0</v>
      </c>
      <c r="U24" s="75" t="s">
        <v>37</v>
      </c>
      <c r="V24" s="75" t="s">
        <v>37</v>
      </c>
    </row>
    <row r="25" spans="1:39" ht="12" customHeight="1">
      <c r="D25" s="76" t="s">
        <v>18</v>
      </c>
      <c r="E25" s="77">
        <v>0</v>
      </c>
      <c r="F25" s="78">
        <v>1</v>
      </c>
      <c r="G25" s="79">
        <v>1</v>
      </c>
      <c r="H25" s="78">
        <v>0</v>
      </c>
      <c r="I25" s="80">
        <v>0</v>
      </c>
      <c r="J25" s="81">
        <v>1</v>
      </c>
      <c r="K25" s="78">
        <v>0</v>
      </c>
      <c r="L25" s="79">
        <v>0</v>
      </c>
      <c r="M25" s="78" t="s">
        <v>16</v>
      </c>
      <c r="N25" s="78">
        <v>1</v>
      </c>
      <c r="O25" s="80" t="s">
        <v>16</v>
      </c>
      <c r="P25" s="79">
        <v>1</v>
      </c>
      <c r="Q25" s="75">
        <v>0</v>
      </c>
      <c r="R25" s="75">
        <v>1</v>
      </c>
      <c r="S25" s="75">
        <v>1</v>
      </c>
      <c r="T25" s="75">
        <v>1</v>
      </c>
      <c r="U25" s="75" t="s">
        <v>38</v>
      </c>
      <c r="V25" s="75">
        <v>10</v>
      </c>
    </row>
    <row r="26" spans="1:39" ht="12" customHeight="1">
      <c r="D26" s="76" t="s">
        <v>36</v>
      </c>
      <c r="E26" s="77">
        <v>0</v>
      </c>
      <c r="F26" s="78">
        <v>0</v>
      </c>
      <c r="G26" s="79">
        <v>1</v>
      </c>
      <c r="H26" s="78">
        <v>0</v>
      </c>
      <c r="I26" s="80">
        <v>1</v>
      </c>
      <c r="J26" s="81">
        <v>1</v>
      </c>
      <c r="K26" s="78">
        <v>0</v>
      </c>
      <c r="L26" s="79">
        <v>1</v>
      </c>
      <c r="M26" s="78">
        <v>0</v>
      </c>
      <c r="N26" s="78" t="s">
        <v>16</v>
      </c>
      <c r="O26" s="80" t="s">
        <v>16</v>
      </c>
      <c r="P26" s="79">
        <v>0</v>
      </c>
      <c r="Q26" s="75">
        <v>1</v>
      </c>
      <c r="R26" s="75">
        <v>0</v>
      </c>
      <c r="S26" s="75">
        <v>1</v>
      </c>
      <c r="T26" s="75">
        <v>0</v>
      </c>
      <c r="U26" s="75" t="s">
        <v>39</v>
      </c>
      <c r="V26" s="75" t="str">
        <f>"01"</f>
        <v>01</v>
      </c>
    </row>
    <row r="27" spans="1:39" ht="12" customHeight="1">
      <c r="D27" s="82" t="s">
        <v>31</v>
      </c>
      <c r="E27" s="77">
        <v>0</v>
      </c>
      <c r="F27" s="83">
        <v>1</v>
      </c>
      <c r="G27" s="84">
        <v>0</v>
      </c>
      <c r="H27" s="66" t="s">
        <v>16</v>
      </c>
      <c r="I27" s="66" t="s">
        <v>16</v>
      </c>
      <c r="J27" s="85" t="s">
        <v>16</v>
      </c>
      <c r="K27" s="66" t="s">
        <v>16</v>
      </c>
      <c r="L27" s="86" t="s">
        <v>16</v>
      </c>
      <c r="M27" s="66" t="s">
        <v>16</v>
      </c>
      <c r="N27" s="66" t="s">
        <v>16</v>
      </c>
      <c r="O27" s="66" t="s">
        <v>16</v>
      </c>
      <c r="P27" s="86" t="s">
        <v>16</v>
      </c>
      <c r="Q27" s="75">
        <v>1</v>
      </c>
      <c r="R27" s="75">
        <v>1</v>
      </c>
      <c r="S27" s="75">
        <v>0</v>
      </c>
      <c r="T27" s="75">
        <v>1</v>
      </c>
      <c r="U27" s="75" t="s">
        <v>40</v>
      </c>
      <c r="V27" s="75" t="s">
        <v>40</v>
      </c>
    </row>
    <row r="28" spans="1:39" ht="12" customHeight="1">
      <c r="D28" s="76" t="s">
        <v>17</v>
      </c>
      <c r="E28" s="77">
        <v>1</v>
      </c>
      <c r="F28" s="78">
        <v>0</v>
      </c>
      <c r="G28" s="79">
        <v>0</v>
      </c>
      <c r="H28" s="78">
        <v>1</v>
      </c>
      <c r="I28" s="80">
        <v>1</v>
      </c>
      <c r="J28" s="81">
        <v>1</v>
      </c>
      <c r="K28" s="78">
        <v>1</v>
      </c>
      <c r="L28" s="79">
        <v>1</v>
      </c>
      <c r="M28" s="78">
        <v>1</v>
      </c>
      <c r="N28" s="78" t="s">
        <v>16</v>
      </c>
      <c r="O28" s="80">
        <v>1</v>
      </c>
      <c r="P28" s="79" t="s">
        <v>16</v>
      </c>
      <c r="Q28" s="151"/>
      <c r="R28" s="152"/>
      <c r="S28" s="152"/>
      <c r="T28" s="152"/>
      <c r="U28" s="152"/>
      <c r="V28" s="152"/>
    </row>
    <row r="29" spans="1:39" ht="12" customHeight="1">
      <c r="D29" s="76" t="s">
        <v>18</v>
      </c>
      <c r="E29" s="77">
        <v>1</v>
      </c>
      <c r="F29" s="78">
        <v>1</v>
      </c>
      <c r="G29" s="79">
        <v>1</v>
      </c>
      <c r="H29" s="78">
        <v>0</v>
      </c>
      <c r="I29" s="80">
        <v>0</v>
      </c>
      <c r="J29" s="81">
        <v>0</v>
      </c>
      <c r="K29" s="78">
        <v>0</v>
      </c>
      <c r="L29" s="79">
        <v>0</v>
      </c>
      <c r="M29" s="78" t="s">
        <v>16</v>
      </c>
      <c r="N29" s="78">
        <v>1</v>
      </c>
      <c r="O29" s="80" t="s">
        <v>16</v>
      </c>
      <c r="P29" s="79">
        <v>1</v>
      </c>
      <c r="Q29" s="151"/>
      <c r="R29" s="152"/>
      <c r="S29" s="152"/>
      <c r="T29" s="152"/>
      <c r="U29" s="152"/>
      <c r="V29" s="152"/>
    </row>
    <row r="30" spans="1:39" ht="12" customHeight="1">
      <c r="D30" s="76" t="s">
        <v>36</v>
      </c>
      <c r="E30" s="77">
        <v>1</v>
      </c>
      <c r="F30" s="78">
        <v>0</v>
      </c>
      <c r="G30" s="79">
        <v>1</v>
      </c>
      <c r="H30" s="78">
        <v>0</v>
      </c>
      <c r="I30" s="80">
        <v>0</v>
      </c>
      <c r="J30" s="81">
        <v>0</v>
      </c>
      <c r="K30" s="78">
        <v>0</v>
      </c>
      <c r="L30" s="79">
        <v>0</v>
      </c>
      <c r="M30" s="78">
        <v>0</v>
      </c>
      <c r="N30" s="78" t="s">
        <v>16</v>
      </c>
      <c r="O30" s="80" t="s">
        <v>16</v>
      </c>
      <c r="P30" s="79">
        <v>1</v>
      </c>
      <c r="Q30" s="151"/>
      <c r="R30" s="152"/>
      <c r="S30" s="152"/>
      <c r="T30" s="152"/>
      <c r="U30" s="152"/>
      <c r="V30" s="152"/>
    </row>
    <row r="31" spans="1:39" ht="12" customHeight="1" thickBot="1">
      <c r="D31" s="87" t="s">
        <v>31</v>
      </c>
      <c r="E31" s="88">
        <v>1</v>
      </c>
      <c r="F31" s="89">
        <v>1</v>
      </c>
      <c r="G31" s="90">
        <v>1</v>
      </c>
      <c r="H31" s="91" t="s">
        <v>16</v>
      </c>
      <c r="I31" s="91" t="s">
        <v>16</v>
      </c>
      <c r="J31" s="92" t="s">
        <v>16</v>
      </c>
      <c r="K31" s="91" t="s">
        <v>16</v>
      </c>
      <c r="L31" s="93" t="s">
        <v>16</v>
      </c>
      <c r="M31" s="91" t="s">
        <v>16</v>
      </c>
      <c r="N31" s="91" t="s">
        <v>16</v>
      </c>
      <c r="O31" s="91" t="s">
        <v>16</v>
      </c>
      <c r="P31" s="93" t="s">
        <v>16</v>
      </c>
      <c r="Q31" s="151"/>
      <c r="R31" s="152"/>
      <c r="S31" s="152"/>
      <c r="T31" s="152"/>
      <c r="U31" s="152"/>
      <c r="V31" s="152"/>
    </row>
    <row r="33" spans="3:24" ht="15" customHeight="1" thickBot="1">
      <c r="C33" s="97" t="s">
        <v>0</v>
      </c>
      <c r="D33" s="98" t="s">
        <v>1</v>
      </c>
      <c r="E33" s="120" t="s">
        <v>2</v>
      </c>
      <c r="F33" s="97" t="s">
        <v>4</v>
      </c>
      <c r="G33" s="121" t="s">
        <v>5</v>
      </c>
      <c r="H33" s="122" t="s">
        <v>6</v>
      </c>
      <c r="I33" s="99" t="s">
        <v>34</v>
      </c>
      <c r="J33" s="100" t="s">
        <v>35</v>
      </c>
      <c r="K33" s="101" t="s">
        <v>41</v>
      </c>
      <c r="L33" s="102" t="s">
        <v>8</v>
      </c>
      <c r="M33" s="102" t="s">
        <v>9</v>
      </c>
      <c r="N33" s="103" t="s">
        <v>10</v>
      </c>
      <c r="O33" s="104" t="s">
        <v>11</v>
      </c>
      <c r="P33" s="105" t="s">
        <v>12</v>
      </c>
      <c r="Q33" s="106" t="s">
        <v>13</v>
      </c>
    </row>
    <row r="34" spans="3:24" ht="15" customHeight="1">
      <c r="C34" s="142">
        <v>0</v>
      </c>
      <c r="D34" s="56">
        <v>0</v>
      </c>
      <c r="E34" s="150">
        <v>0</v>
      </c>
      <c r="F34" s="65" t="s">
        <v>16</v>
      </c>
      <c r="G34" s="66" t="s">
        <v>16</v>
      </c>
      <c r="H34" s="86" t="s">
        <v>16</v>
      </c>
      <c r="I34" s="143" t="s">
        <v>16</v>
      </c>
      <c r="J34" s="144" t="s">
        <v>16</v>
      </c>
      <c r="K34" s="145" t="s">
        <v>16</v>
      </c>
      <c r="L34" s="146" t="s">
        <v>16</v>
      </c>
      <c r="M34" s="144" t="s">
        <v>16</v>
      </c>
      <c r="N34" s="145" t="s">
        <v>16</v>
      </c>
      <c r="O34" s="147" t="s">
        <v>16</v>
      </c>
      <c r="P34" s="144" t="s">
        <v>16</v>
      </c>
      <c r="Q34" s="147" t="s">
        <v>16</v>
      </c>
      <c r="S34" s="4" t="s">
        <v>28</v>
      </c>
      <c r="T34" s="6" t="s">
        <v>29</v>
      </c>
      <c r="U34" s="4" t="s">
        <v>30</v>
      </c>
      <c r="V34" s="4" t="s">
        <v>31</v>
      </c>
      <c r="W34" s="42" t="s">
        <v>32</v>
      </c>
      <c r="X34" s="5" t="s">
        <v>33</v>
      </c>
    </row>
    <row r="35" spans="3:24" ht="15" customHeight="1">
      <c r="C35" s="123">
        <v>0</v>
      </c>
      <c r="D35" s="124">
        <v>0</v>
      </c>
      <c r="E35" s="149">
        <v>1</v>
      </c>
      <c r="F35" s="123">
        <v>0</v>
      </c>
      <c r="G35" s="124">
        <v>1</v>
      </c>
      <c r="H35" s="148">
        <v>1</v>
      </c>
      <c r="I35" s="111">
        <v>0</v>
      </c>
      <c r="J35" s="94">
        <v>1</v>
      </c>
      <c r="K35" s="115">
        <v>1</v>
      </c>
      <c r="L35" s="118">
        <v>0</v>
      </c>
      <c r="M35" s="107" t="s">
        <v>16</v>
      </c>
      <c r="N35" s="108">
        <v>1</v>
      </c>
      <c r="O35" s="109" t="s">
        <v>16</v>
      </c>
      <c r="P35" s="110" t="s">
        <v>16</v>
      </c>
      <c r="Q35" s="95">
        <v>0</v>
      </c>
      <c r="S35" s="7">
        <v>0</v>
      </c>
      <c r="T35">
        <v>0</v>
      </c>
      <c r="U35" s="7">
        <v>0</v>
      </c>
      <c r="V35" s="7">
        <v>0</v>
      </c>
      <c r="W35" s="43" t="str">
        <f>"0X"</f>
        <v>0X</v>
      </c>
      <c r="X35" s="1" t="str">
        <f>"0X"</f>
        <v>0X</v>
      </c>
    </row>
    <row r="36" spans="3:24" ht="15" customHeight="1">
      <c r="C36" s="142">
        <v>0</v>
      </c>
      <c r="D36" s="56">
        <v>1</v>
      </c>
      <c r="E36" s="150">
        <v>0</v>
      </c>
      <c r="F36" s="65" t="s">
        <v>16</v>
      </c>
      <c r="G36" s="66" t="s">
        <v>16</v>
      </c>
      <c r="H36" s="86" t="s">
        <v>16</v>
      </c>
      <c r="I36" s="143" t="s">
        <v>16</v>
      </c>
      <c r="J36" s="144" t="s">
        <v>16</v>
      </c>
      <c r="K36" s="145" t="s">
        <v>16</v>
      </c>
      <c r="L36" s="146" t="s">
        <v>16</v>
      </c>
      <c r="M36" s="144" t="s">
        <v>16</v>
      </c>
      <c r="N36" s="145" t="s">
        <v>16</v>
      </c>
      <c r="O36" s="147" t="s">
        <v>16</v>
      </c>
      <c r="P36" s="144" t="s">
        <v>16</v>
      </c>
      <c r="Q36" s="147" t="s">
        <v>16</v>
      </c>
      <c r="S36" s="7">
        <v>0</v>
      </c>
      <c r="T36">
        <v>1</v>
      </c>
      <c r="U36" s="7">
        <v>1</v>
      </c>
      <c r="V36" s="7">
        <v>1</v>
      </c>
      <c r="W36" s="43" t="str">
        <f>"1X"</f>
        <v>1X</v>
      </c>
      <c r="X36" s="1" t="str">
        <f>"10"</f>
        <v>10</v>
      </c>
    </row>
    <row r="37" spans="3:24" ht="15" customHeight="1">
      <c r="C37" s="123">
        <v>0</v>
      </c>
      <c r="D37" s="124">
        <v>1</v>
      </c>
      <c r="E37" s="149">
        <v>1</v>
      </c>
      <c r="F37" s="123">
        <v>1</v>
      </c>
      <c r="G37" s="124">
        <v>0</v>
      </c>
      <c r="H37" s="148">
        <v>0</v>
      </c>
      <c r="I37" s="111">
        <v>1</v>
      </c>
      <c r="J37" s="94">
        <v>0</v>
      </c>
      <c r="K37" s="115">
        <v>0</v>
      </c>
      <c r="L37" s="118">
        <v>1</v>
      </c>
      <c r="M37" s="107" t="s">
        <v>16</v>
      </c>
      <c r="N37" s="108" t="s">
        <v>16</v>
      </c>
      <c r="O37" s="109">
        <v>1</v>
      </c>
      <c r="P37" s="110" t="s">
        <v>16</v>
      </c>
      <c r="Q37" s="95">
        <v>1</v>
      </c>
      <c r="S37" s="7">
        <v>1</v>
      </c>
      <c r="T37">
        <v>0</v>
      </c>
      <c r="U37" s="7">
        <v>1</v>
      </c>
      <c r="V37" s="7">
        <v>0</v>
      </c>
      <c r="W37" s="43" t="str">
        <f>"X1"</f>
        <v>X1</v>
      </c>
      <c r="X37" s="1" t="str">
        <f>"01"</f>
        <v>01</v>
      </c>
    </row>
    <row r="38" spans="3:24">
      <c r="C38" s="123">
        <v>1</v>
      </c>
      <c r="D38" s="124">
        <v>0</v>
      </c>
      <c r="E38" s="149">
        <v>0</v>
      </c>
      <c r="F38" s="123">
        <v>1</v>
      </c>
      <c r="G38" s="124">
        <v>1</v>
      </c>
      <c r="H38" s="148">
        <v>1</v>
      </c>
      <c r="I38" s="111">
        <v>1</v>
      </c>
      <c r="J38" s="94">
        <v>1</v>
      </c>
      <c r="K38" s="115">
        <v>1</v>
      </c>
      <c r="L38" s="118" t="s">
        <v>16</v>
      </c>
      <c r="M38" s="107">
        <v>0</v>
      </c>
      <c r="N38" s="108">
        <v>1</v>
      </c>
      <c r="O38" s="109" t="s">
        <v>16</v>
      </c>
      <c r="P38" s="110">
        <v>1</v>
      </c>
      <c r="Q38" s="95" t="s">
        <v>16</v>
      </c>
      <c r="S38" s="8">
        <v>1</v>
      </c>
      <c r="T38" s="2">
        <v>1</v>
      </c>
      <c r="U38" s="8">
        <v>0</v>
      </c>
      <c r="V38" s="8">
        <v>1</v>
      </c>
      <c r="W38" s="44" t="str">
        <f>"X0"</f>
        <v>X0</v>
      </c>
      <c r="X38" s="3" t="str">
        <f>"X0"</f>
        <v>X0</v>
      </c>
    </row>
    <row r="39" spans="3:24">
      <c r="C39" s="65">
        <v>1</v>
      </c>
      <c r="D39" s="66">
        <v>0</v>
      </c>
      <c r="E39" s="68">
        <v>1</v>
      </c>
      <c r="F39" s="65" t="s">
        <v>16</v>
      </c>
      <c r="G39" s="66" t="s">
        <v>16</v>
      </c>
      <c r="H39" s="86" t="s">
        <v>16</v>
      </c>
      <c r="I39" s="143" t="s">
        <v>16</v>
      </c>
      <c r="J39" s="144" t="s">
        <v>16</v>
      </c>
      <c r="K39" s="145" t="s">
        <v>16</v>
      </c>
      <c r="L39" s="146" t="s">
        <v>16</v>
      </c>
      <c r="M39" s="144" t="s">
        <v>16</v>
      </c>
      <c r="N39" s="145" t="s">
        <v>16</v>
      </c>
      <c r="O39" s="147" t="s">
        <v>16</v>
      </c>
      <c r="P39" s="144" t="s">
        <v>16</v>
      </c>
      <c r="Q39" s="147" t="s">
        <v>16</v>
      </c>
    </row>
    <row r="40" spans="3:24">
      <c r="C40" s="123">
        <v>1</v>
      </c>
      <c r="D40" s="124">
        <v>1</v>
      </c>
      <c r="E40" s="149">
        <v>0</v>
      </c>
      <c r="F40" s="123">
        <v>0</v>
      </c>
      <c r="G40" s="124">
        <v>0</v>
      </c>
      <c r="H40" s="148">
        <v>1</v>
      </c>
      <c r="I40" s="111">
        <v>0</v>
      </c>
      <c r="J40" s="94">
        <v>0</v>
      </c>
      <c r="K40" s="115">
        <v>1</v>
      </c>
      <c r="L40" s="118" t="s">
        <v>16</v>
      </c>
      <c r="M40" s="107">
        <v>1</v>
      </c>
      <c r="N40" s="108" t="s">
        <v>16</v>
      </c>
      <c r="O40" s="109">
        <v>1</v>
      </c>
      <c r="P40" s="110">
        <v>1</v>
      </c>
      <c r="Q40" s="95" t="s">
        <v>16</v>
      </c>
    </row>
    <row r="41" spans="3:24">
      <c r="C41" s="123">
        <v>1</v>
      </c>
      <c r="D41" s="124">
        <v>1</v>
      </c>
      <c r="E41" s="149">
        <v>1</v>
      </c>
      <c r="F41" s="123">
        <v>1</v>
      </c>
      <c r="G41" s="124">
        <v>1</v>
      </c>
      <c r="H41" s="148">
        <v>0</v>
      </c>
      <c r="I41" s="111">
        <v>1</v>
      </c>
      <c r="J41" s="94">
        <v>1</v>
      </c>
      <c r="K41" s="115">
        <v>0</v>
      </c>
      <c r="L41" s="118" t="s">
        <v>16</v>
      </c>
      <c r="M41" s="107">
        <v>0</v>
      </c>
      <c r="N41" s="108" t="s">
        <v>16</v>
      </c>
      <c r="O41" s="109">
        <v>0</v>
      </c>
      <c r="P41" s="110" t="s">
        <v>16</v>
      </c>
      <c r="Q41" s="95">
        <v>1</v>
      </c>
    </row>
  </sheetData>
  <mergeCells count="4">
    <mergeCell ref="Q28:V28"/>
    <mergeCell ref="Q29:V29"/>
    <mergeCell ref="Q30:V30"/>
    <mergeCell ref="Q31:V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2" ma:contentTypeDescription="Create a new document." ma:contentTypeScope="" ma:versionID="06e9a80f57b5e7a8131021e4799536a3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27120e082fd76c320857246eee6cb03c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FAD4FE-1410-4D8C-BFAF-A09582252429}"/>
</file>

<file path=customXml/itemProps2.xml><?xml version="1.0" encoding="utf-8"?>
<ds:datastoreItem xmlns:ds="http://schemas.openxmlformats.org/officeDocument/2006/customXml" ds:itemID="{F4B14384-DC85-424D-AF85-BBBE69D534FB}"/>
</file>

<file path=customXml/itemProps3.xml><?xml version="1.0" encoding="utf-8"?>
<ds:datastoreItem xmlns:ds="http://schemas.openxmlformats.org/officeDocument/2006/customXml" ds:itemID="{016C8DB6-8470-4888-9667-1E9B8EF34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Vaught, Jacob</cp:lastModifiedBy>
  <cp:revision/>
  <dcterms:created xsi:type="dcterms:W3CDTF">2022-04-21T01:14:09Z</dcterms:created>
  <dcterms:modified xsi:type="dcterms:W3CDTF">2022-05-13T00:07:43Z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