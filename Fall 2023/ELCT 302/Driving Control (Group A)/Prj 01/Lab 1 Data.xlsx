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LCT 302\Prj 01\"/>
    </mc:Choice>
  </mc:AlternateContent>
  <xr:revisionPtr revIDLastSave="0" documentId="13_ncr:1_{70D9B70B-A5A9-4BFA-B24E-74D2F5160FD2}" xr6:coauthVersionLast="47" xr6:coauthVersionMax="47" xr10:uidLastSave="{00000000-0000-0000-0000-000000000000}"/>
  <bookViews>
    <workbookView xWindow="-108" yWindow="-108" windowWidth="23256" windowHeight="12456" xr2:uid="{E66E1BE7-C8C0-4113-9118-68213C4B9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K4" i="1"/>
  <c r="K5" i="1"/>
  <c r="K6" i="1"/>
  <c r="K2" i="1"/>
  <c r="H3" i="1"/>
  <c r="H4" i="1"/>
  <c r="H5" i="1"/>
  <c r="H6" i="1"/>
  <c r="H2" i="1"/>
  <c r="J6" i="1"/>
  <c r="L6" i="1" s="1"/>
  <c r="J2" i="1"/>
  <c r="L2" i="1" s="1"/>
  <c r="I3" i="1"/>
  <c r="A11" i="1" s="1"/>
  <c r="J3" i="1"/>
  <c r="L3" i="1" s="1"/>
  <c r="J4" i="1"/>
  <c r="J5" i="1"/>
  <c r="I4" i="1"/>
  <c r="A12" i="1" s="1"/>
  <c r="I5" i="1"/>
  <c r="A13" i="1" s="1"/>
  <c r="I6" i="1"/>
  <c r="A14" i="1" s="1"/>
  <c r="I2" i="1"/>
  <c r="A10" i="1" s="1"/>
  <c r="K3" i="1" l="1"/>
</calcChain>
</file>

<file path=xl/sharedStrings.xml><?xml version="1.0" encoding="utf-8"?>
<sst xmlns="http://schemas.openxmlformats.org/spreadsheetml/2006/main" count="13" uniqueCount="13">
  <si>
    <t>VrefADC</t>
  </si>
  <si>
    <t>Duty Cycle</t>
  </si>
  <si>
    <t>VoutADC</t>
  </si>
  <si>
    <t>RPM</t>
  </si>
  <si>
    <t>Wheel Speed L</t>
  </si>
  <si>
    <t>Motor Speed R</t>
  </si>
  <si>
    <t>Vout L (RMS)</t>
  </si>
  <si>
    <t>Vout R (RMS)</t>
  </si>
  <si>
    <t>Vref (V)</t>
  </si>
  <si>
    <t>Fencoder L (Hz)</t>
  </si>
  <si>
    <t>Fencoder R (Hz)</t>
  </si>
  <si>
    <t>Wheel Speed R</t>
  </si>
  <si>
    <t>Motor Speed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</si>
</sst>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Motor</a:t>
            </a:r>
            <a:r>
              <a:rPr lang="en-US" baseline="0"/>
              <a:t> control and feedback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Wheel Speed Left Motor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Sheet1!$B$2:$B$6</c:f>
              <c:numCache>
                <c:formatCode>General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0.99</c:v>
                </c:pt>
              </c:numCache>
            </c:numRef>
          </c:cat>
          <c:val>
            <c:numRef>
              <c:f>Sheet1!$I$2:$I$6</c:f>
              <c:numCache>
                <c:formatCode>General</c:formatCode>
                <c:ptCount val="5"/>
                <c:pt idx="0">
                  <c:v>36.125</c:v>
                </c:pt>
                <c:pt idx="1">
                  <c:v>42.9375</c:v>
                </c:pt>
                <c:pt idx="2">
                  <c:v>50.375</c:v>
                </c:pt>
                <c:pt idx="3">
                  <c:v>57.875</c:v>
                </c:pt>
                <c:pt idx="4">
                  <c:v>45.25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1A-4F45-A778-523FEBFC36E7}"/>
            </c:ext>
          </c:extLst>
        </c:ser>
        <c:ser>
          <c:idx val="1"/>
          <c:order val="1"/>
          <c:tx>
            <c:v>Wheel Speed Right Motor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Sheet1!$B$2:$B$6</c:f>
              <c:numCache>
                <c:formatCode>General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0.99</c:v>
                </c:pt>
              </c:numCache>
            </c:numRef>
          </c:cat>
          <c:val>
            <c:numRef>
              <c:f>Sheet1!$J$2:$J$6</c:f>
              <c:numCache>
                <c:formatCode>General</c:formatCode>
                <c:ptCount val="5"/>
                <c:pt idx="0">
                  <c:v>36.5625</c:v>
                </c:pt>
                <c:pt idx="1">
                  <c:v>43.6875</c:v>
                </c:pt>
                <c:pt idx="2">
                  <c:v>49.1875</c:v>
                </c:pt>
                <c:pt idx="3">
                  <c:v>57.875</c:v>
                </c:pt>
                <c:pt idx="4">
                  <c:v>46.25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1A-4F45-A778-523FEBFC3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41648"/>
        <c:axId val="333924352"/>
      </c:lineChart>
      <c:catAx>
        <c:axId val="10594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Vref of ADC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24352"/>
        <c:crosses val="autoZero"/>
        <c:auto val="1"/>
        <c:lblAlgn val="ctr"/>
        <c:lblOffset val="100"/>
        <c:noMultiLvlLbl val="0"/>
      </c:catAx>
      <c:valAx>
        <c:axId val="333924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Wheel Speed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4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8</xdr:row>
      <xdr:rowOff>68580</xdr:rowOff>
    </xdr:from>
    <xdr:to>
      <xdr:col>9</xdr:col>
      <xdr:colOff>815340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C7FBFC-2E1B-B55F-178D-C68D9DEDF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5920-8E01-45DE-9D11-B0A80D7FC2DB}">
  <dimension ref="A1:L14"/>
  <sheetViews>
    <sheetView tabSelected="1" workbookViewId="0">
      <selection activeCell="L13" sqref="L13"/>
    </sheetView>
  </sheetViews>
  <sheetFormatPr defaultRowHeight="14.4" x14ac:dyDescent="0.3"/>
  <cols>
    <col min="4" max="4" width="13.77734375" bestFit="1" customWidth="1"/>
    <col min="5" max="5" width="14" bestFit="1" customWidth="1"/>
    <col min="6" max="6" width="11.44140625" bestFit="1" customWidth="1"/>
    <col min="7" max="7" width="11.77734375" bestFit="1" customWidth="1"/>
    <col min="9" max="9" width="13.109375" bestFit="1" customWidth="1"/>
    <col min="10" max="10" width="13.21875" bestFit="1" customWidth="1"/>
    <col min="11" max="12" width="13.21875" customWidth="1"/>
  </cols>
  <sheetData>
    <row r="1" spans="1:12" x14ac:dyDescent="0.3">
      <c r="A1" s="2" t="s">
        <v>8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6</v>
      </c>
      <c r="G1" s="2" t="s">
        <v>7</v>
      </c>
      <c r="H1" s="2" t="s">
        <v>2</v>
      </c>
      <c r="I1" s="2" t="s">
        <v>4</v>
      </c>
      <c r="J1" s="2" t="s">
        <v>11</v>
      </c>
      <c r="K1" s="2" t="s">
        <v>12</v>
      </c>
      <c r="L1" s="2" t="s">
        <v>5</v>
      </c>
    </row>
    <row r="2" spans="1:12" x14ac:dyDescent="0.3">
      <c r="A2" s="2">
        <v>0.66</v>
      </c>
      <c r="B2" s="2">
        <v>0.2</v>
      </c>
      <c r="C2" s="2">
        <v>0.24</v>
      </c>
      <c r="D2" s="3">
        <v>578</v>
      </c>
      <c r="E2" s="3">
        <v>585</v>
      </c>
      <c r="F2" s="2">
        <v>0.66</v>
      </c>
      <c r="G2" s="2">
        <v>0.56999999999999995</v>
      </c>
      <c r="H2" s="2">
        <f>G2/3.3</f>
        <v>0.17272727272727273</v>
      </c>
      <c r="I2" s="2">
        <f>D2/16</f>
        <v>36.125</v>
      </c>
      <c r="J2" s="2">
        <f>E2/16</f>
        <v>36.5625</v>
      </c>
      <c r="K2" s="2">
        <f>I2*7.5</f>
        <v>270.9375</v>
      </c>
      <c r="L2" s="2">
        <f>J2*7.5</f>
        <v>274.21875</v>
      </c>
    </row>
    <row r="3" spans="1:12" x14ac:dyDescent="0.3">
      <c r="A3" s="2">
        <v>1.32</v>
      </c>
      <c r="B3" s="2">
        <v>0.4</v>
      </c>
      <c r="C3" s="2">
        <v>0.44</v>
      </c>
      <c r="D3" s="3">
        <v>687</v>
      </c>
      <c r="E3" s="3">
        <v>699</v>
      </c>
      <c r="F3" s="2">
        <v>1.67</v>
      </c>
      <c r="G3" s="2">
        <v>1.5</v>
      </c>
      <c r="H3" s="2">
        <f t="shared" ref="H3:H6" si="0">G3/3.3</f>
        <v>0.45454545454545459</v>
      </c>
      <c r="I3" s="2">
        <f>D3/16</f>
        <v>42.9375</v>
      </c>
      <c r="J3" s="2">
        <f t="shared" ref="J3:J6" si="1">E3/16</f>
        <v>43.6875</v>
      </c>
      <c r="K3" s="2">
        <f t="shared" ref="K3:K6" si="2">I3*7.5</f>
        <v>322.03125</v>
      </c>
      <c r="L3" s="2">
        <f t="shared" ref="L3:L6" si="3">J3*7.5</f>
        <v>327.65625</v>
      </c>
    </row>
    <row r="4" spans="1:12" x14ac:dyDescent="0.3">
      <c r="A4" s="2">
        <v>1.99</v>
      </c>
      <c r="B4" s="2">
        <v>0.6</v>
      </c>
      <c r="C4" s="2">
        <v>0.63200000000000001</v>
      </c>
      <c r="D4" s="3">
        <v>806</v>
      </c>
      <c r="E4" s="3">
        <v>787</v>
      </c>
      <c r="F4" s="2">
        <v>1.95</v>
      </c>
      <c r="G4" s="2">
        <v>1.79</v>
      </c>
      <c r="H4" s="2">
        <f t="shared" si="0"/>
        <v>0.54242424242424248</v>
      </c>
      <c r="I4" s="2">
        <f>D4/16</f>
        <v>50.375</v>
      </c>
      <c r="J4" s="2">
        <f t="shared" si="1"/>
        <v>49.1875</v>
      </c>
      <c r="K4" s="2">
        <f t="shared" si="2"/>
        <v>377.8125</v>
      </c>
      <c r="L4" s="2">
        <f t="shared" si="3"/>
        <v>368.90625</v>
      </c>
    </row>
    <row r="5" spans="1:12" x14ac:dyDescent="0.3">
      <c r="A5" s="2">
        <v>2.64</v>
      </c>
      <c r="B5" s="2">
        <v>0.8</v>
      </c>
      <c r="C5" s="2">
        <v>0.83</v>
      </c>
      <c r="D5" s="3">
        <v>926</v>
      </c>
      <c r="E5" s="3">
        <v>926</v>
      </c>
      <c r="F5" s="2">
        <v>2.3199999999999998</v>
      </c>
      <c r="G5" s="2">
        <v>1.88</v>
      </c>
      <c r="H5" s="2">
        <f t="shared" si="0"/>
        <v>0.5696969696969697</v>
      </c>
      <c r="I5" s="2">
        <f>D5/16</f>
        <v>57.875</v>
      </c>
      <c r="J5" s="2">
        <f t="shared" si="1"/>
        <v>57.875</v>
      </c>
      <c r="K5" s="2">
        <f t="shared" si="2"/>
        <v>434.0625</v>
      </c>
      <c r="L5" s="2">
        <f t="shared" si="3"/>
        <v>434.0625</v>
      </c>
    </row>
    <row r="6" spans="1:12" x14ac:dyDescent="0.3">
      <c r="A6" s="2">
        <v>3.28</v>
      </c>
      <c r="B6" s="2">
        <v>0.99</v>
      </c>
      <c r="C6" s="2">
        <v>0.96599999999999997</v>
      </c>
      <c r="D6" s="3">
        <v>724</v>
      </c>
      <c r="E6" s="3">
        <v>740</v>
      </c>
      <c r="F6" s="2">
        <v>2.5299999999999998</v>
      </c>
      <c r="G6" s="2">
        <v>1.9</v>
      </c>
      <c r="H6" s="2">
        <f t="shared" si="0"/>
        <v>0.5757575757575758</v>
      </c>
      <c r="I6" s="2">
        <f>D6/16</f>
        <v>45.25</v>
      </c>
      <c r="J6" s="2">
        <f t="shared" si="1"/>
        <v>46.25</v>
      </c>
      <c r="K6" s="2">
        <f t="shared" si="2"/>
        <v>339.375</v>
      </c>
      <c r="L6" s="2">
        <f t="shared" si="3"/>
        <v>346.875</v>
      </c>
    </row>
    <row r="7" spans="1:12" x14ac:dyDescent="0.3">
      <c r="D7" s="1"/>
      <c r="E7" s="1"/>
    </row>
    <row r="9" spans="1:12" x14ac:dyDescent="0.3">
      <c r="A9" t="s">
        <v>3</v>
      </c>
    </row>
    <row r="10" spans="1:12" x14ac:dyDescent="0.3">
      <c r="A10">
        <f>I2*(60/3.14)</f>
        <v>690.28662420382159</v>
      </c>
    </row>
    <row r="11" spans="1:12" x14ac:dyDescent="0.3">
      <c r="A11">
        <f t="shared" ref="A11:A14" si="4">I3*(60/3.14)</f>
        <v>820.46178343949032</v>
      </c>
    </row>
    <row r="12" spans="1:12" x14ac:dyDescent="0.3">
      <c r="A12">
        <f t="shared" si="4"/>
        <v>962.57961783439475</v>
      </c>
    </row>
    <row r="13" spans="1:12" x14ac:dyDescent="0.3">
      <c r="A13">
        <f t="shared" si="4"/>
        <v>1105.8917197452229</v>
      </c>
    </row>
    <row r="14" spans="1:12" x14ac:dyDescent="0.3">
      <c r="A14">
        <f t="shared" si="4"/>
        <v>864.64968152866231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Hudson</dc:creator>
  <cp:lastModifiedBy>Nicholas George</cp:lastModifiedBy>
  <dcterms:created xsi:type="dcterms:W3CDTF">2023-09-23T00:35:42Z</dcterms:created>
  <dcterms:modified xsi:type="dcterms:W3CDTF">2023-10-04T14:42:35Z</dcterms:modified>
</cp:coreProperties>
</file>