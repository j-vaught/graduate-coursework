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ELCT 302/Steering Control (Group B)/"/>
    </mc:Choice>
  </mc:AlternateContent>
  <xr:revisionPtr revIDLastSave="168" documentId="8_{4FACE6BF-6BCD-444A-AFA9-123911AB0A5C}" xr6:coauthVersionLast="47" xr6:coauthVersionMax="47" xr10:uidLastSave="{4E11E29B-838D-48CF-8AC4-EF66BD4B9B90}"/>
  <bookViews>
    <workbookView minimized="1" xWindow="5868" yWindow="180" windowWidth="17280" windowHeight="8880" xr2:uid="{B47D2742-19C8-4D49-A6E3-05454B362C07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G3" i="1"/>
  <c r="G4" i="1"/>
  <c r="G5" i="1"/>
  <c r="G6" i="1"/>
  <c r="G7" i="1"/>
  <c r="G8" i="1"/>
  <c r="G9" i="1"/>
  <c r="G10" i="1"/>
  <c r="G11" i="1"/>
  <c r="G12" i="1"/>
  <c r="G2" i="1"/>
  <c r="F2" i="1"/>
  <c r="A10" i="1"/>
  <c r="A6" i="1"/>
</calcChain>
</file>

<file path=xl/sharedStrings.xml><?xml version="1.0" encoding="utf-8"?>
<sst xmlns="http://schemas.openxmlformats.org/spreadsheetml/2006/main" count="9" uniqueCount="9">
  <si>
    <t>Distance (m from center, left=negative)</t>
  </si>
  <si>
    <t>Left Vout</t>
  </si>
  <si>
    <t>Left Vout ADC</t>
  </si>
  <si>
    <t>Right Vout</t>
  </si>
  <si>
    <t>Right Vout ADC</t>
  </si>
  <si>
    <t>Vout ADC Difference</t>
  </si>
  <si>
    <t>*if pos right (CH2) (A0) is bigger</t>
  </si>
  <si>
    <t>*if neg left (CH1) (A1) is bigger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</si>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</sst>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of Car</a:t>
            </a:r>
            <a:r>
              <a:rPr lang="en-US" baseline="0"/>
              <a:t> to Center of Track vs OUTPUT VOLTAGE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Sheet1!$C$1</c:f>
              <c:strCache>
                <c:ptCount val="1"/>
                <c:pt idx="0">
                  <c:v>Left Vout ADC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-6.3500000000000001E-2</c:v>
                </c:pt>
                <c:pt idx="1">
                  <c:v>-5.0799999999999998E-2</c:v>
                </c:pt>
                <c:pt idx="2">
                  <c:v>-3.8100000000000002E-2</c:v>
                </c:pt>
                <c:pt idx="3">
                  <c:v>-2.5399999999999999E-2</c:v>
                </c:pt>
                <c:pt idx="4">
                  <c:v>-1.2699999999999999E-2</c:v>
                </c:pt>
                <c:pt idx="5">
                  <c:v>0</c:v>
                </c:pt>
                <c:pt idx="6">
                  <c:v>1.2699999999999999E-2</c:v>
                </c:pt>
                <c:pt idx="7">
                  <c:v>2.5399999999999999E-2</c:v>
                </c:pt>
                <c:pt idx="8">
                  <c:v>3.8100000000000002E-2</c:v>
                </c:pt>
                <c:pt idx="9">
                  <c:v>5.0799999999999998E-2</c:v>
                </c:pt>
                <c:pt idx="10">
                  <c:v>6.3500000000000001E-2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0">
                  <c:v>3.26</c:v>
                </c:pt>
                <c:pt idx="1">
                  <c:v>2.89</c:v>
                </c:pt>
                <c:pt idx="2">
                  <c:v>4.5</c:v>
                </c:pt>
                <c:pt idx="3">
                  <c:v>2.1800000000000002</c:v>
                </c:pt>
                <c:pt idx="4">
                  <c:v>3.69</c:v>
                </c:pt>
                <c:pt idx="5">
                  <c:v>3.67</c:v>
                </c:pt>
                <c:pt idx="6">
                  <c:v>2.41</c:v>
                </c:pt>
                <c:pt idx="7">
                  <c:v>2.12</c:v>
                </c:pt>
                <c:pt idx="8">
                  <c:v>3.9</c:v>
                </c:pt>
                <c:pt idx="9">
                  <c:v>3.27</c:v>
                </c:pt>
                <c:pt idx="10">
                  <c:v>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08-4C2E-B38D-E4C00BEB6B00}"/>
            </c:ext>
          </c:extLst>
        </c:ser>
        <c:ser>
          <c:idx val="4"/>
          <c:order val="4"/>
          <c:tx>
            <c:strRef>
              <c:f>Sheet1!$E$1</c:f>
              <c:strCache>
                <c:ptCount val="1"/>
                <c:pt idx="0">
                  <c:v>Right Vout ADC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-6.3500000000000001E-2</c:v>
                </c:pt>
                <c:pt idx="1">
                  <c:v>-5.0799999999999998E-2</c:v>
                </c:pt>
                <c:pt idx="2">
                  <c:v>-3.8100000000000002E-2</c:v>
                </c:pt>
                <c:pt idx="3">
                  <c:v>-2.5399999999999999E-2</c:v>
                </c:pt>
                <c:pt idx="4">
                  <c:v>-1.2699999999999999E-2</c:v>
                </c:pt>
                <c:pt idx="5">
                  <c:v>0</c:v>
                </c:pt>
                <c:pt idx="6">
                  <c:v>1.2699999999999999E-2</c:v>
                </c:pt>
                <c:pt idx="7">
                  <c:v>2.5399999999999999E-2</c:v>
                </c:pt>
                <c:pt idx="8">
                  <c:v>3.8100000000000002E-2</c:v>
                </c:pt>
                <c:pt idx="9">
                  <c:v>5.0799999999999998E-2</c:v>
                </c:pt>
                <c:pt idx="10">
                  <c:v>6.3500000000000001E-2</c:v>
                </c:pt>
              </c:numCache>
            </c:numRef>
          </c:cat>
          <c:val>
            <c:numRef>
              <c:f>Sheet1!$E$2:$E$12</c:f>
              <c:numCache>
                <c:formatCode>General</c:formatCode>
                <c:ptCount val="11"/>
                <c:pt idx="0">
                  <c:v>3.14</c:v>
                </c:pt>
                <c:pt idx="1">
                  <c:v>3.04</c:v>
                </c:pt>
                <c:pt idx="2">
                  <c:v>2.5</c:v>
                </c:pt>
                <c:pt idx="3">
                  <c:v>3.8</c:v>
                </c:pt>
                <c:pt idx="4">
                  <c:v>2.38</c:v>
                </c:pt>
                <c:pt idx="5">
                  <c:v>3.7</c:v>
                </c:pt>
                <c:pt idx="6">
                  <c:v>3.96</c:v>
                </c:pt>
                <c:pt idx="7">
                  <c:v>3.98</c:v>
                </c:pt>
                <c:pt idx="8">
                  <c:v>4.2300000000000004</c:v>
                </c:pt>
                <c:pt idx="9">
                  <c:v>2.8</c:v>
                </c:pt>
                <c:pt idx="10">
                  <c:v>3.2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08-4C2E-B38D-E4C00BEB6B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7725631"/>
        <c:axId val="1506945951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Sheet1!$A$1</c15:sqref>
                        </c15:formulaRef>
                      </c:ext>
                    </c:extLst>
                    <c:strCache>
                      <c:ptCount val="1"/>
                      <c:pt idx="0">
                        <c:v>Distance (m from center, left=negative)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-6.3500000000000001E-2</c:v>
                      </c:pt>
                      <c:pt idx="1">
                        <c:v>-5.0799999999999998E-2</c:v>
                      </c:pt>
                      <c:pt idx="2">
                        <c:v>-3.8100000000000002E-2</c:v>
                      </c:pt>
                      <c:pt idx="3">
                        <c:v>-2.5399999999999999E-2</c:v>
                      </c:pt>
                      <c:pt idx="4">
                        <c:v>-1.2699999999999999E-2</c:v>
                      </c:pt>
                      <c:pt idx="5">
                        <c:v>0</c:v>
                      </c:pt>
                      <c:pt idx="6">
                        <c:v>1.2699999999999999E-2</c:v>
                      </c:pt>
                      <c:pt idx="7">
                        <c:v>2.5399999999999999E-2</c:v>
                      </c:pt>
                      <c:pt idx="8">
                        <c:v>3.8100000000000002E-2</c:v>
                      </c:pt>
                      <c:pt idx="9">
                        <c:v>5.0799999999999998E-2</c:v>
                      </c:pt>
                      <c:pt idx="10">
                        <c:v>6.3500000000000001E-2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-6.3500000000000001E-2</c:v>
                      </c:pt>
                      <c:pt idx="1">
                        <c:v>-5.0799999999999998E-2</c:v>
                      </c:pt>
                      <c:pt idx="2">
                        <c:v>-3.8100000000000002E-2</c:v>
                      </c:pt>
                      <c:pt idx="3">
                        <c:v>-2.5399999999999999E-2</c:v>
                      </c:pt>
                      <c:pt idx="4">
                        <c:v>-1.2699999999999999E-2</c:v>
                      </c:pt>
                      <c:pt idx="5">
                        <c:v>0</c:v>
                      </c:pt>
                      <c:pt idx="6">
                        <c:v>1.2699999999999999E-2</c:v>
                      </c:pt>
                      <c:pt idx="7">
                        <c:v>2.5399999999999999E-2</c:v>
                      </c:pt>
                      <c:pt idx="8">
                        <c:v>3.8100000000000002E-2</c:v>
                      </c:pt>
                      <c:pt idx="9">
                        <c:v>5.0799999999999998E-2</c:v>
                      </c:pt>
                      <c:pt idx="10">
                        <c:v>6.3500000000000001E-2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A08-4C2E-B38D-E4C00BEB6B00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</c15:sqref>
                        </c15:formulaRef>
                      </c:ext>
                    </c:extLst>
                    <c:strCache>
                      <c:ptCount val="1"/>
                      <c:pt idx="0">
                        <c:v>Left Vout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-6.3500000000000001E-2</c:v>
                      </c:pt>
                      <c:pt idx="1">
                        <c:v>-5.0799999999999998E-2</c:v>
                      </c:pt>
                      <c:pt idx="2">
                        <c:v>-3.8100000000000002E-2</c:v>
                      </c:pt>
                      <c:pt idx="3">
                        <c:v>-2.5399999999999999E-2</c:v>
                      </c:pt>
                      <c:pt idx="4">
                        <c:v>-1.2699999999999999E-2</c:v>
                      </c:pt>
                      <c:pt idx="5">
                        <c:v>0</c:v>
                      </c:pt>
                      <c:pt idx="6">
                        <c:v>1.2699999999999999E-2</c:v>
                      </c:pt>
                      <c:pt idx="7">
                        <c:v>2.5399999999999999E-2</c:v>
                      </c:pt>
                      <c:pt idx="8">
                        <c:v>3.8100000000000002E-2</c:v>
                      </c:pt>
                      <c:pt idx="9">
                        <c:v>5.0799999999999998E-2</c:v>
                      </c:pt>
                      <c:pt idx="10">
                        <c:v>6.3500000000000001E-2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Sheet1!$B$2:$B$12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</c:v>
                      </c:pt>
                      <c:pt idx="1">
                        <c:v>0.6</c:v>
                      </c:pt>
                      <c:pt idx="2">
                        <c:v>3</c:v>
                      </c:pt>
                      <c:pt idx="3">
                        <c:v>3</c:v>
                      </c:pt>
                      <c:pt idx="4">
                        <c:v>2.8</c:v>
                      </c:pt>
                      <c:pt idx="5">
                        <c:v>0.5</c:v>
                      </c:pt>
                      <c:pt idx="6">
                        <c:v>0.5</c:v>
                      </c:pt>
                      <c:pt idx="7">
                        <c:v>0.8</c:v>
                      </c:pt>
                      <c:pt idx="8">
                        <c:v>2.5</c:v>
                      </c:pt>
                      <c:pt idx="9">
                        <c:v>0.4</c:v>
                      </c:pt>
                      <c:pt idx="10">
                        <c:v>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A08-4C2E-B38D-E4C00BEB6B00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Sheet1!$D$1</c15:sqref>
                        </c15:formulaRef>
                      </c:ext>
                    </c:extLst>
                    <c:strCache>
                      <c:ptCount val="1"/>
                      <c:pt idx="0">
                        <c:v>Right Vout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Sheet1!$A$2:$A$12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-6.3500000000000001E-2</c:v>
                      </c:pt>
                      <c:pt idx="1">
                        <c:v>-5.0799999999999998E-2</c:v>
                      </c:pt>
                      <c:pt idx="2">
                        <c:v>-3.8100000000000002E-2</c:v>
                      </c:pt>
                      <c:pt idx="3">
                        <c:v>-2.5399999999999999E-2</c:v>
                      </c:pt>
                      <c:pt idx="4">
                        <c:v>-1.2699999999999999E-2</c:v>
                      </c:pt>
                      <c:pt idx="5">
                        <c:v>0</c:v>
                      </c:pt>
                      <c:pt idx="6">
                        <c:v>1.2699999999999999E-2</c:v>
                      </c:pt>
                      <c:pt idx="7">
                        <c:v>2.5399999999999999E-2</c:v>
                      </c:pt>
                      <c:pt idx="8">
                        <c:v>3.8100000000000002E-2</c:v>
                      </c:pt>
                      <c:pt idx="9">
                        <c:v>5.0799999999999998E-2</c:v>
                      </c:pt>
                      <c:pt idx="10">
                        <c:v>6.3500000000000001E-2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Sheet1!$D$2:$D$12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0.65</c:v>
                      </c:pt>
                      <c:pt idx="1">
                        <c:v>0.4</c:v>
                      </c:pt>
                      <c:pt idx="2">
                        <c:v>0.5</c:v>
                      </c:pt>
                      <c:pt idx="3">
                        <c:v>0.7</c:v>
                      </c:pt>
                      <c:pt idx="4">
                        <c:v>0.25</c:v>
                      </c:pt>
                      <c:pt idx="5">
                        <c:v>0.5</c:v>
                      </c:pt>
                      <c:pt idx="6">
                        <c:v>2</c:v>
                      </c:pt>
                      <c:pt idx="7">
                        <c:v>2.8</c:v>
                      </c:pt>
                      <c:pt idx="8">
                        <c:v>3</c:v>
                      </c:pt>
                      <c:pt idx="9">
                        <c:v>0.6</c:v>
                      </c:pt>
                      <c:pt idx="10">
                        <c:v>0.7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A08-4C2E-B38D-E4C00BEB6B00}"/>
                  </c:ext>
                </c:extLst>
              </c15:ser>
            </c15:filteredLineSeries>
          </c:ext>
        </c:extLst>
      </c:lineChart>
      <c:catAx>
        <c:axId val="15877256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06945951"/>
        <c:crosses val="autoZero"/>
        <c:auto val="1"/>
        <c:lblAlgn val="ctr"/>
        <c:lblOffset val="100"/>
        <c:noMultiLvlLbl val="0"/>
      </c:catAx>
      <c:valAx>
        <c:axId val="150694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</a:t>
                </a:r>
                <a:r>
                  <a:rPr lang="en-US" baseline="0"/>
                  <a:t>t Voltage ADC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7725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Distance of Car to Center of Track vs OUTPUT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Vout ADC Difference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-6.3500000000000001E-2</c:v>
                </c:pt>
                <c:pt idx="1">
                  <c:v>-5.0799999999999998E-2</c:v>
                </c:pt>
                <c:pt idx="2">
                  <c:v>-3.8100000000000002E-2</c:v>
                </c:pt>
                <c:pt idx="3">
                  <c:v>-2.5399999999999999E-2</c:v>
                </c:pt>
                <c:pt idx="4">
                  <c:v>-1.2699999999999999E-2</c:v>
                </c:pt>
                <c:pt idx="5">
                  <c:v>0</c:v>
                </c:pt>
                <c:pt idx="6">
                  <c:v>1.2699999999999999E-2</c:v>
                </c:pt>
                <c:pt idx="7">
                  <c:v>2.5399999999999999E-2</c:v>
                </c:pt>
                <c:pt idx="8">
                  <c:v>3.8100000000000002E-2</c:v>
                </c:pt>
                <c:pt idx="9">
                  <c:v>5.0799999999999998E-2</c:v>
                </c:pt>
                <c:pt idx="10">
                  <c:v>6.3500000000000001E-2</c:v>
                </c:pt>
              </c:numCache>
            </c:numRef>
          </c:cat>
          <c:val>
            <c:numRef>
              <c:f>Sheet1!$F$2:$F$13</c:f>
              <c:numCache>
                <c:formatCode>General</c:formatCode>
                <c:ptCount val="12"/>
                <c:pt idx="0">
                  <c:v>-0.11999999999999966</c:v>
                </c:pt>
                <c:pt idx="1">
                  <c:v>0.14999999999999991</c:v>
                </c:pt>
                <c:pt idx="2">
                  <c:v>-2</c:v>
                </c:pt>
                <c:pt idx="3">
                  <c:v>1.6199999999999997</c:v>
                </c:pt>
                <c:pt idx="4">
                  <c:v>-1.31</c:v>
                </c:pt>
                <c:pt idx="5">
                  <c:v>3.0000000000000249E-2</c:v>
                </c:pt>
                <c:pt idx="6">
                  <c:v>1.5499999999999998</c:v>
                </c:pt>
                <c:pt idx="7">
                  <c:v>1.8599999999999999</c:v>
                </c:pt>
                <c:pt idx="8">
                  <c:v>0.33000000000000052</c:v>
                </c:pt>
                <c:pt idx="9">
                  <c:v>-0.4700000000000002</c:v>
                </c:pt>
                <c:pt idx="10">
                  <c:v>0.28000000000000025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06-422B-A5A0-306075569E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0944639"/>
        <c:axId val="1019075535"/>
      </c:lineChart>
      <c:catAx>
        <c:axId val="166094463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(m)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075535"/>
        <c:crosses val="autoZero"/>
        <c:auto val="1"/>
        <c:lblAlgn val="ctr"/>
        <c:lblOffset val="100"/>
        <c:noMultiLvlLbl val="0"/>
      </c:catAx>
      <c:valAx>
        <c:axId val="1019075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</a:t>
                </a:r>
                <a:r>
                  <a:rPr lang="en-US" baseline="0"/>
                  <a:t> Voltage ADC (V)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9446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Distance od Car to Center of Track vs OUTPUT DIFFERENCE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Sheet1!$A$2:$A$12</c:f>
              <c:numCache>
                <c:formatCode>General</c:formatCode>
                <c:ptCount val="11"/>
                <c:pt idx="0">
                  <c:v>-6.3500000000000001E-2</c:v>
                </c:pt>
                <c:pt idx="1">
                  <c:v>-5.0799999999999998E-2</c:v>
                </c:pt>
                <c:pt idx="2">
                  <c:v>-3.8100000000000002E-2</c:v>
                </c:pt>
                <c:pt idx="3">
                  <c:v>-2.5399999999999999E-2</c:v>
                </c:pt>
                <c:pt idx="4">
                  <c:v>-1.2699999999999999E-2</c:v>
                </c:pt>
                <c:pt idx="5">
                  <c:v>0</c:v>
                </c:pt>
                <c:pt idx="6">
                  <c:v>1.2699999999999999E-2</c:v>
                </c:pt>
                <c:pt idx="7">
                  <c:v>2.5399999999999999E-2</c:v>
                </c:pt>
                <c:pt idx="8">
                  <c:v>3.8100000000000002E-2</c:v>
                </c:pt>
                <c:pt idx="9">
                  <c:v>5.0799999999999998E-2</c:v>
                </c:pt>
                <c:pt idx="10">
                  <c:v>6.3500000000000001E-2</c:v>
                </c:pt>
              </c:numCache>
            </c:numRef>
          </c:xVal>
          <c:yVal>
            <c:numRef>
              <c:f>Sheet1!$G$2:$G$12</c:f>
              <c:numCache>
                <c:formatCode>General</c:formatCode>
                <c:ptCount val="11"/>
                <c:pt idx="0">
                  <c:v>5.0000000000000044E-2</c:v>
                </c:pt>
                <c:pt idx="1">
                  <c:v>-0.19999999999999996</c:v>
                </c:pt>
                <c:pt idx="2">
                  <c:v>-2.5</c:v>
                </c:pt>
                <c:pt idx="3">
                  <c:v>-2.2999999999999998</c:v>
                </c:pt>
                <c:pt idx="4">
                  <c:v>-2.5499999999999998</c:v>
                </c:pt>
                <c:pt idx="5">
                  <c:v>0</c:v>
                </c:pt>
                <c:pt idx="6">
                  <c:v>1.5</c:v>
                </c:pt>
                <c:pt idx="7">
                  <c:v>1.9999999999999998</c:v>
                </c:pt>
                <c:pt idx="8">
                  <c:v>0.5</c:v>
                </c:pt>
                <c:pt idx="9">
                  <c:v>0.19999999999999996</c:v>
                </c:pt>
                <c:pt idx="10">
                  <c:v>-0.30000000000000004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E0-4FE8-ADAE-B9F8C4DE5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4323400"/>
        <c:axId val="714323896"/>
      </c:scatterChart>
      <c:valAx>
        <c:axId val="714323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23896"/>
        <c:crosses val="autoZero"/>
        <c:crossBetween val="midCat"/>
      </c:valAx>
      <c:valAx>
        <c:axId val="714323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323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1638300</xdr:colOff>
      <xdr:row>15</xdr:row>
      <xdr:rowOff>81915</xdr:rowOff>
    </xdr:from>
    <xdr:to>
      <xdr:col>5</xdr:col>
      <xdr:colOff>864870</xdr:colOff>
      <xdr:row>30</xdr:row>
      <xdr:rowOff>81915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6C5DEE-66C9-8075-2A91-93100BEB8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179070</xdr:colOff>
      <xdr:row>16</xdr:row>
      <xdr:rowOff>57150</xdr:rowOff>
    </xdr:from>
    <xdr:to>
      <xdr:col>12</xdr:col>
      <xdr:colOff>38100</xdr:colOff>
      <xdr:row>36</xdr:row>
      <xdr:rowOff>127635</xdr:rowOff>
    </xdr:to>
    <xdr:graphicFrame macro="">
      <xdr:nvGraphicFramePr>
        <xdr:cNvPr id="4" name="Chart 6">
          <a:extLst>
            <a:ext uri="{FF2B5EF4-FFF2-40B4-BE49-F238E27FC236}">
              <a16:creationId xmlns:a16="http://schemas.microsoft.com/office/drawing/2014/main" id="{9E590E66-0464-0C34-FC8F-20EE3825331D}"/>
            </a:ext>
            <a:ext uri="{147F2762-F138-4A5C-976F-8EAC2B608ADB}">
              <a16:predDERef xmlns:a16="http://schemas.microsoft.com/office/drawing/2014/main" pred="{296C5DEE-66C9-8075-2A91-93100BEB8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47625</xdr:colOff>
      <xdr:row>2</xdr:row>
      <xdr:rowOff>85725</xdr:rowOff>
    </xdr:from>
    <xdr:to>
      <xdr:col>11</xdr:col>
      <xdr:colOff>95250</xdr:colOff>
      <xdr:row>17</xdr:row>
      <xdr:rowOff>114300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5D9C411E-7F77-F0F6-5BD7-74D3940809E2}"/>
            </a:ext>
            <a:ext uri="{147F2762-F138-4A5C-976F-8EAC2B608ADB}">
              <a16:predDERef xmlns:a16="http://schemas.microsoft.com/office/drawing/2014/main" pred="{9E590E66-0464-0C34-FC8F-20EE38253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3CB54-3A47-4A9F-B59C-E13A60A97E4D}">
  <dimension ref="A1:J15"/>
  <sheetViews>
    <sheetView tabSelected="1" workbookViewId="0">
      <selection activeCell="Q13" sqref="Q13"/>
    </sheetView>
  </sheetViews>
  <sheetFormatPr defaultRowHeight="14.45"/>
  <cols>
    <col min="1" max="1" width="34.42578125" customWidth="1"/>
    <col min="2" max="2" width="8.5703125" bestFit="1" customWidth="1"/>
    <col min="3" max="3" width="12.42578125" bestFit="1" customWidth="1"/>
    <col min="4" max="4" width="9.42578125" bestFit="1" customWidth="1"/>
    <col min="5" max="5" width="13.42578125" bestFit="1" customWidth="1"/>
    <col min="6" max="6" width="17.85546875" customWidth="1"/>
    <col min="10" max="10" width="13.42578125" bestFit="1" customWidth="1"/>
    <col min="12" max="12" width="24.570312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0">
      <c r="A2">
        <v>-6.3500000000000001E-2</v>
      </c>
      <c r="B2">
        <v>0.6</v>
      </c>
      <c r="C2">
        <v>3.26</v>
      </c>
      <c r="D2">
        <v>0.65</v>
      </c>
      <c r="E2">
        <v>3.14</v>
      </c>
      <c r="F2">
        <f>E2-C2</f>
        <v>-0.11999999999999966</v>
      </c>
      <c r="G2">
        <f>D2-B2</f>
        <v>5.0000000000000044E-2</v>
      </c>
      <c r="J2" t="s">
        <v>6</v>
      </c>
    </row>
    <row r="3" spans="1:10">
      <c r="A3">
        <v>-5.0799999999999998E-2</v>
      </c>
      <c r="B3">
        <v>0.6</v>
      </c>
      <c r="C3">
        <v>2.89</v>
      </c>
      <c r="D3">
        <v>0.4</v>
      </c>
      <c r="E3">
        <v>3.04</v>
      </c>
      <c r="F3">
        <f t="shared" ref="F3:F12" si="0">E3-C3</f>
        <v>0.14999999999999991</v>
      </c>
      <c r="G3">
        <f t="shared" ref="G3:G12" si="1">D3-B3</f>
        <v>-0.19999999999999996</v>
      </c>
      <c r="J3" t="s">
        <v>7</v>
      </c>
    </row>
    <row r="4" spans="1:10">
      <c r="A4">
        <v>-3.8100000000000002E-2</v>
      </c>
      <c r="B4">
        <v>3</v>
      </c>
      <c r="C4">
        <v>4.5</v>
      </c>
      <c r="D4">
        <v>0.5</v>
      </c>
      <c r="E4">
        <v>2.5</v>
      </c>
      <c r="F4">
        <f t="shared" si="0"/>
        <v>-2</v>
      </c>
      <c r="G4">
        <f t="shared" si="1"/>
        <v>-2.5</v>
      </c>
    </row>
    <row r="5" spans="1:10">
      <c r="A5">
        <v>-2.5399999999999999E-2</v>
      </c>
      <c r="B5">
        <v>3</v>
      </c>
      <c r="C5">
        <v>2.1800000000000002</v>
      </c>
      <c r="D5">
        <v>0.7</v>
      </c>
      <c r="E5">
        <v>3.8</v>
      </c>
      <c r="F5">
        <f t="shared" si="0"/>
        <v>1.6199999999999997</v>
      </c>
      <c r="G5">
        <f t="shared" si="1"/>
        <v>-2.2999999999999998</v>
      </c>
    </row>
    <row r="6" spans="1:10">
      <c r="A6">
        <f>-0.5*2.54/100</f>
        <v>-1.2699999999999999E-2</v>
      </c>
      <c r="B6">
        <v>2.8</v>
      </c>
      <c r="C6">
        <v>3.69</v>
      </c>
      <c r="D6">
        <v>0.25</v>
      </c>
      <c r="E6">
        <v>2.38</v>
      </c>
      <c r="F6">
        <f t="shared" si="0"/>
        <v>-1.31</v>
      </c>
      <c r="G6">
        <f t="shared" si="1"/>
        <v>-2.5499999999999998</v>
      </c>
    </row>
    <row r="7" spans="1:10">
      <c r="A7">
        <v>0</v>
      </c>
      <c r="B7">
        <v>0.5</v>
      </c>
      <c r="C7">
        <v>3.67</v>
      </c>
      <c r="D7">
        <v>0.5</v>
      </c>
      <c r="E7">
        <v>3.7</v>
      </c>
      <c r="F7">
        <f t="shared" si="0"/>
        <v>3.0000000000000249E-2</v>
      </c>
      <c r="G7">
        <f t="shared" si="1"/>
        <v>0</v>
      </c>
    </row>
    <row r="8" spans="1:10">
      <c r="A8">
        <v>1.2699999999999999E-2</v>
      </c>
      <c r="B8">
        <v>0.5</v>
      </c>
      <c r="C8">
        <v>2.41</v>
      </c>
      <c r="D8">
        <v>2</v>
      </c>
      <c r="E8">
        <v>3.96</v>
      </c>
      <c r="F8">
        <f t="shared" si="0"/>
        <v>1.5499999999999998</v>
      </c>
      <c r="G8">
        <f t="shared" si="1"/>
        <v>1.5</v>
      </c>
    </row>
    <row r="9" spans="1:10">
      <c r="A9">
        <v>2.5399999999999999E-2</v>
      </c>
      <c r="B9">
        <v>0.8</v>
      </c>
      <c r="C9">
        <v>2.12</v>
      </c>
      <c r="D9">
        <v>2.8</v>
      </c>
      <c r="E9">
        <v>3.98</v>
      </c>
      <c r="F9">
        <f t="shared" si="0"/>
        <v>1.8599999999999999</v>
      </c>
      <c r="G9">
        <f t="shared" si="1"/>
        <v>1.9999999999999998</v>
      </c>
    </row>
    <row r="10" spans="1:10">
      <c r="A10">
        <f>1.5*2.54/100</f>
        <v>3.8100000000000002E-2</v>
      </c>
      <c r="B10">
        <v>2.5</v>
      </c>
      <c r="C10">
        <v>3.9</v>
      </c>
      <c r="D10">
        <v>3</v>
      </c>
      <c r="E10">
        <v>4.2300000000000004</v>
      </c>
      <c r="F10">
        <f t="shared" si="0"/>
        <v>0.33000000000000052</v>
      </c>
      <c r="G10">
        <f t="shared" si="1"/>
        <v>0.5</v>
      </c>
    </row>
    <row r="11" spans="1:10">
      <c r="A11">
        <v>5.0799999999999998E-2</v>
      </c>
      <c r="B11">
        <v>0.4</v>
      </c>
      <c r="C11">
        <v>3.27</v>
      </c>
      <c r="D11">
        <v>0.6</v>
      </c>
      <c r="E11">
        <v>2.8</v>
      </c>
      <c r="F11">
        <f t="shared" si="0"/>
        <v>-0.4700000000000002</v>
      </c>
      <c r="G11">
        <f t="shared" si="1"/>
        <v>0.19999999999999996</v>
      </c>
    </row>
    <row r="12" spans="1:10">
      <c r="A12">
        <v>6.3500000000000001E-2</v>
      </c>
      <c r="B12">
        <v>1</v>
      </c>
      <c r="C12">
        <v>2.92</v>
      </c>
      <c r="D12">
        <v>0.7</v>
      </c>
      <c r="E12">
        <v>3.2</v>
      </c>
      <c r="F12">
        <f t="shared" si="0"/>
        <v>0.28000000000000025</v>
      </c>
      <c r="G12">
        <f t="shared" si="1"/>
        <v>-0.30000000000000004</v>
      </c>
    </row>
    <row r="15" spans="1:10">
      <c r="A15" t="s">
        <v>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5224563-BD0E-439C-8E18-4ACC459E94A3}"/>
</file>

<file path=customXml/itemProps2.xml><?xml version="1.0" encoding="utf-8"?>
<ds:datastoreItem xmlns:ds="http://schemas.openxmlformats.org/officeDocument/2006/customXml" ds:itemID="{D4306383-F980-4717-9A6C-D8D9630873D0}"/>
</file>

<file path=customXml/itemProps3.xml><?xml version="1.0" encoding="utf-8"?>
<ds:datastoreItem xmlns:ds="http://schemas.openxmlformats.org/officeDocument/2006/customXml" ds:itemID="{06D1FCF6-45A9-4010-BE54-97A0EFC7B5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Hines, Mady</dc:creator>
  <cp:keywords/>
  <dc:description/>
  <cp:lastModifiedBy>Vaught, Jacob</cp:lastModifiedBy>
  <cp:revision/>
  <dcterms:created xsi:type="dcterms:W3CDTF">2023-09-25T04:59:35Z</dcterms:created>
  <dcterms:modified xsi:type="dcterms:W3CDTF">2023-09-29T04:18:59Z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