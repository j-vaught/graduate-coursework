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sabalows\Documents\EMCH427_428\Fall2024_Artifacts\002\NeedsReport\"/>
    </mc:Choice>
  </mc:AlternateContent>
  <xr:revisionPtr revIDLastSave="0" documentId="13_ncr:1_{D6FE2551-95C5-499D-93F1-86A045849221}" xr6:coauthVersionLast="47" xr6:coauthVersionMax="47" xr10:uidLastSave="{00000000-0000-0000-0000-000000000000}"/>
  <bookViews>
    <workbookView xWindow="-110" yWindow="-110" windowWidth="19420" windowHeight="10420" xr2:uid="{1B1F534D-2971-462D-9DB3-879A15B397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17" i="1"/>
  <c r="D38" i="1" l="1"/>
  <c r="B28" i="1"/>
  <c r="D20" i="1"/>
  <c r="D19" i="1"/>
  <c r="C28" i="1"/>
  <c r="D21" i="1"/>
  <c r="D33" i="1" l="1"/>
  <c r="D31" i="1"/>
  <c r="D25" i="1"/>
  <c r="D24" i="1"/>
  <c r="D27" i="1"/>
  <c r="D12" i="1"/>
  <c r="D11" i="1"/>
  <c r="D7" i="1"/>
  <c r="D18" i="1"/>
  <c r="D22" i="1" l="1"/>
  <c r="D16" i="1"/>
  <c r="D15" i="1"/>
  <c r="D14" i="1"/>
  <c r="D10" i="1"/>
  <c r="D9" i="1"/>
  <c r="D6" i="1"/>
  <c r="D4" i="1"/>
  <c r="D2" i="1"/>
  <c r="D28" i="1" l="1"/>
  <c r="D36" i="1" s="1"/>
  <c r="D40" i="1" s="1"/>
</calcChain>
</file>

<file path=xl/sharedStrings.xml><?xml version="1.0" encoding="utf-8"?>
<sst xmlns="http://schemas.openxmlformats.org/spreadsheetml/2006/main" count="44" uniqueCount="44">
  <si>
    <t>Introduction</t>
  </si>
  <si>
    <t>Factor</t>
  </si>
  <si>
    <t>Score</t>
  </si>
  <si>
    <t>Input</t>
  </si>
  <si>
    <t>Sum</t>
  </si>
  <si>
    <t>Appendix/References</t>
  </si>
  <si>
    <t>Methodology</t>
  </si>
  <si>
    <t>Interpretation of Needs</t>
  </si>
  <si>
    <t>Prioritization of Needs</t>
  </si>
  <si>
    <t>Product Mission</t>
  </si>
  <si>
    <t>Conceptual Quality:  Demonstrates understanding of key principles of the design process performed and the project/product/sponsor, critical and deeper thinking</t>
  </si>
  <si>
    <t>15 pts</t>
  </si>
  <si>
    <t>Data collected is supplied, appears complete, demonstrates more than one contact person and event.  Contains diversity of media in the form(s) of photos, hand written notes, typed up notes, emails, interview notes, names of persons interviewed/observed, record of dates for the different data, etc.</t>
  </si>
  <si>
    <t>Refer to Appendix for raw data (e.g. notes, etc.)</t>
  </si>
  <si>
    <t>The list is comprehensive (no obvious needs missing), and has at least 20</t>
  </si>
  <si>
    <t>The table for Vote 1 is correctly titled and numbered</t>
  </si>
  <si>
    <t>The table for Vote 2 is correctly titled and numbered</t>
  </si>
  <si>
    <t>A statement indicating the above CTQ needs were used to identify the product mission is supplied</t>
  </si>
  <si>
    <t>The product mission statement is supplied, identified as being the product mission statement, and clearly maps directly to the CTQ needs</t>
  </si>
  <si>
    <t>Subtotal:</t>
  </si>
  <si>
    <t>A statement explaining what the outcome of Round 1 voting means is supplied</t>
  </si>
  <si>
    <t>Final Score</t>
  </si>
  <si>
    <t>Lateness deductions: Number of days late</t>
  </si>
  <si>
    <t>Statement of what major subject/theme of the report is supplied (i.e. Identify customer needs and requirements)</t>
  </si>
  <si>
    <t>Statement explaining who is the sponsor/organization and the overall project concept</t>
  </si>
  <si>
    <t>Accurate and COMPREHENSIVE list is supplied identifying who all the stakeholders are, and WHY they have an interest; including identifying direct end-user and project sponsor (ie. The Company, Agency, or individual entrepreur(s)</t>
  </si>
  <si>
    <t>A comprehensive, exhaustive, accurate, and apppropriate list of methods for identifying needs is supplied… i.e. what data you collected to identify the needs, and how you collected that information (observations, visit, interviews, Teams Chat, internet research, etc).  Names amd titles of persons talked to supplied, includingdates of discussion(s)</t>
  </si>
  <si>
    <t>Grammar, spelling and formatting:  No spelling or grammar errors detected, all formatting requirements satisfied (page numbering, title page, figure and table labeling, header, etc.).  No remnant text from template document or other working-document test (e.g. "insert here", etc.)</t>
  </si>
  <si>
    <t>Overall observations of the nature of the project are briefly summarized in a well organized list with relevant information</t>
  </si>
  <si>
    <t xml:space="preserve">The list of Customer Needs and Requirements is NUMBERED and ORGANIZED (i.e. categories/"umbrellas"/"primary needs" are supplied with specific needs listed under them) </t>
  </si>
  <si>
    <t>20 pts</t>
  </si>
  <si>
    <t>A stement explaining that the team then voted with a two-step process to prioritize and rank the needs is supplied</t>
  </si>
  <si>
    <t>An explanation is supplied for how Round 1 voting was conducted with enough detail the reader could reproduce the process</t>
  </si>
  <si>
    <t>An explanation is supplied for how Round 2 voting was conducted with enough detail the reader could reproduce the process (same if the team decided it needed a third round)</t>
  </si>
  <si>
    <t>A brief statement indicating the process outcome(s) is supplied and insightful, such as observations regarding which CTQ needs are especially important and/or why those are especially important</t>
  </si>
  <si>
    <t>Each need on the list is represented by a word or short phrase, followed by a sentence or two explaning the context and nature of that need statement</t>
  </si>
  <si>
    <t>The "affinity diagram" (table of votes and outcome) is supplied for round 1, is done correctly, and appears sensible</t>
  </si>
  <si>
    <t>The "affinity diagram" (table of votes and outcome) is supplied for round 2, is performed sensibly, and results seam reasonable</t>
  </si>
  <si>
    <t>Good!</t>
  </si>
  <si>
    <t>Great!</t>
  </si>
  <si>
    <t>Excellent!</t>
  </si>
  <si>
    <t>Outstanding.  Extra credit for thinking so broadly and deeply on the project</t>
  </si>
  <si>
    <t>Very good and clear, but how/why did you decide to pass forward what you did for each round?  I.e. what was te "cut line" and why</t>
  </si>
  <si>
    <t>Outstanding!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</si>
</sst>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rgb="FF000000"/>
      <name val="Segoe UI"/>
      <family val="2"/>
    </font>
    <font>
      <sz val="11"/>
      <color rgb="FF00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medium">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left" vertical="center" wrapText="1"/>
    </xf>
    <xf numFmtId="0" fontId="0" fillId="2" borderId="0" xfId="0" applyFill="1" applyAlignment="1">
      <alignment wrapText="1"/>
    </xf>
    <xf numFmtId="0" fontId="0" fillId="0" borderId="1" xfId="0" applyBorder="1" applyAlignment="1">
      <alignment horizontal="left" vertical="center" wrapText="1"/>
    </xf>
    <xf numFmtId="0" fontId="0" fillId="0" borderId="1" xfId="0" applyBorder="1"/>
    <xf numFmtId="0" fontId="1" fillId="0" borderId="0" xfId="0" applyFont="1"/>
    <xf numFmtId="0" fontId="1" fillId="2" borderId="0" xfId="0" applyFont="1" applyFill="1" applyAlignment="1">
      <alignment horizontal="left" vertical="center" wrapText="1"/>
    </xf>
    <xf numFmtId="0" fontId="0" fillId="2" borderId="0" xfId="0" applyFill="1"/>
    <xf numFmtId="0" fontId="3" fillId="0" borderId="0" xfId="0" applyFont="1"/>
    <xf numFmtId="0" fontId="1" fillId="0" borderId="0" xfId="0" applyFont="1" applyAlignment="1">
      <alignment horizontal="left" vertical="center" wrapText="1"/>
    </xf>
    <xf numFmtId="0" fontId="1" fillId="3"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Radio" firstButton="1" fmlaLink="$B$3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checked="Checked" lockText="1" noThreeD="1"/>
</file>

<file path=xl/ctrlProps/ctrlProp6.xml><?xml version="1.0" encoding="utf-8"?>
<formControlPr xmlns="http://schemas.microsoft.com/office/spreadsheetml/2009/9/main" objectType="Radio" firstButton="1" fmlaLink="$B$33"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checked="Checked" lockText="1"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G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88900</xdr:colOff>
          <xdr:row>30</xdr:row>
          <xdr:rowOff>25400</xdr:rowOff>
        </xdr:from>
        <xdr:to>
          <xdr:col>0</xdr:col>
          <xdr:colOff>1130300</xdr:colOff>
          <xdr:row>30</xdr:row>
          <xdr:rowOff>254000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1244600</xdr:colOff>
          <xdr:row>30</xdr:row>
          <xdr:rowOff>25400</xdr:rowOff>
        </xdr:from>
        <xdr:to>
          <xdr:col>0</xdr:col>
          <xdr:colOff>2146300</xdr:colOff>
          <xdr:row>30</xdr:row>
          <xdr:rowOff>234950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2012950</xdr:colOff>
          <xdr:row>30</xdr:row>
          <xdr:rowOff>25400</xdr:rowOff>
        </xdr:from>
        <xdr:to>
          <xdr:col>0</xdr:col>
          <xdr:colOff>3302000</xdr:colOff>
          <xdr:row>30</xdr:row>
          <xdr:rowOff>241300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30</xdr:row>
          <xdr:rowOff>25400</xdr:rowOff>
        </xdr:from>
        <xdr:to>
          <xdr:col>0</xdr:col>
          <xdr:colOff>4375150</xdr:colOff>
          <xdr:row>30</xdr:row>
          <xdr:rowOff>234950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4127500</xdr:colOff>
          <xdr:row>30</xdr:row>
          <xdr:rowOff>25400</xdr:rowOff>
        </xdr:from>
        <xdr:to>
          <xdr:col>0</xdr:col>
          <xdr:colOff>5035550</xdr:colOff>
          <xdr:row>30</xdr:row>
          <xdr:rowOff>234950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32</xdr:row>
          <xdr:rowOff>25400</xdr:rowOff>
        </xdr:from>
        <xdr:to>
          <xdr:col>0</xdr:col>
          <xdr:colOff>1130300</xdr:colOff>
          <xdr:row>32</xdr:row>
          <xdr:rowOff>254000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1244600</xdr:colOff>
          <xdr:row>32</xdr:row>
          <xdr:rowOff>25400</xdr:rowOff>
        </xdr:from>
        <xdr:to>
          <xdr:col>0</xdr:col>
          <xdr:colOff>2146300</xdr:colOff>
          <xdr:row>32</xdr:row>
          <xdr:rowOff>234950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2012950</xdr:colOff>
          <xdr:row>32</xdr:row>
          <xdr:rowOff>25400</xdr:rowOff>
        </xdr:from>
        <xdr:to>
          <xdr:col>0</xdr:col>
          <xdr:colOff>3302000</xdr:colOff>
          <xdr:row>32</xdr:row>
          <xdr:rowOff>241300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32</xdr:row>
          <xdr:rowOff>25400</xdr:rowOff>
        </xdr:from>
        <xdr:to>
          <xdr:col>0</xdr:col>
          <xdr:colOff>4375150</xdr:colOff>
          <xdr:row>32</xdr:row>
          <xdr:rowOff>234950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4127500</xdr:colOff>
          <xdr:row>32</xdr:row>
          <xdr:rowOff>25400</xdr:rowOff>
        </xdr:from>
        <xdr:to>
          <xdr:col>0</xdr:col>
          <xdr:colOff>5035550</xdr:colOff>
          <xdr:row>32</xdr:row>
          <xdr:rowOff>234950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30</xdr:row>
          <xdr:rowOff>6350</xdr:rowOff>
        </xdr:from>
        <xdr:to>
          <xdr:col>0</xdr:col>
          <xdr:colOff>5245100</xdr:colOff>
          <xdr:row>30</xdr:row>
          <xdr:rowOff>266700</xdr:rowOff>
        </xdr:to>
        <xdr:sp macro="" textlink="">
          <xdr:nvSpPr>
            <xdr:cNvPr id="1035" name="Group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Group Box 58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50800</xdr:colOff>
          <xdr:row>32</xdr:row>
          <xdr:rowOff>6350</xdr:rowOff>
        </xdr:from>
        <xdr:to>
          <xdr:col>0</xdr:col>
          <xdr:colOff>5321300</xdr:colOff>
          <xdr:row>32</xdr:row>
          <xdr:rowOff>266700</xdr:rowOff>
        </xdr:to>
        <xdr:sp macro="" textlink="">
          <xdr:nvSpPr>
            <xdr:cNvPr id="1036" name="Group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Group Box 59</a:t>
              </a:r>
            </a:p>
          </xdr:txBody>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DDE4-83C9-40F1-88BE-E9E7AB3DE58D}">
  <dimension ref="A1:E40"/>
  <sheetViews>
    <sheetView tabSelected="1" topLeftCell="A29" workbookViewId="0">
      <selection activeCell="E39" sqref="E39"/>
    </sheetView>
  </sheetViews>
  <sheetFormatPr defaultRowHeight="14.5" x14ac:dyDescent="0.35"/>
  <cols>
    <col min="1" max="1" width="79.54296875" customWidth="1"/>
  </cols>
  <sheetData>
    <row r="1" spans="1:5" x14ac:dyDescent="0.35">
      <c r="A1" s="7" t="s">
        <v>0</v>
      </c>
      <c r="B1" s="6" t="s">
        <v>3</v>
      </c>
      <c r="C1" s="6" t="s">
        <v>1</v>
      </c>
      <c r="D1" s="6" t="s">
        <v>2</v>
      </c>
    </row>
    <row r="2" spans="1:5" ht="29" x14ac:dyDescent="0.35">
      <c r="A2" s="2" t="s">
        <v>23</v>
      </c>
      <c r="B2" s="1">
        <v>1</v>
      </c>
      <c r="C2" s="1">
        <v>1</v>
      </c>
      <c r="D2" s="1">
        <f>B2*C2</f>
        <v>1</v>
      </c>
    </row>
    <row r="3" spans="1:5" x14ac:dyDescent="0.35">
      <c r="A3" s="2" t="s">
        <v>24</v>
      </c>
      <c r="B3" s="1">
        <v>1</v>
      </c>
      <c r="C3" s="1">
        <v>2</v>
      </c>
      <c r="D3" s="1">
        <f>B3*C3</f>
        <v>2</v>
      </c>
    </row>
    <row r="4" spans="1:5" ht="43.5" x14ac:dyDescent="0.35">
      <c r="A4" s="2" t="s">
        <v>25</v>
      </c>
      <c r="B4">
        <v>1</v>
      </c>
      <c r="C4">
        <v>4</v>
      </c>
      <c r="D4" s="1">
        <f t="shared" ref="D4:D12" si="0">B4*C4</f>
        <v>4</v>
      </c>
      <c r="E4" t="s">
        <v>40</v>
      </c>
    </row>
    <row r="5" spans="1:5" x14ac:dyDescent="0.35">
      <c r="A5" s="7" t="s">
        <v>6</v>
      </c>
      <c r="B5" s="3"/>
      <c r="C5" s="3"/>
      <c r="D5" s="3"/>
    </row>
    <row r="6" spans="1:5" ht="58" x14ac:dyDescent="0.35">
      <c r="A6" s="1" t="s">
        <v>26</v>
      </c>
      <c r="B6">
        <v>1</v>
      </c>
      <c r="C6">
        <v>4</v>
      </c>
      <c r="D6" s="1">
        <f t="shared" si="0"/>
        <v>4</v>
      </c>
      <c r="E6" t="s">
        <v>39</v>
      </c>
    </row>
    <row r="7" spans="1:5" x14ac:dyDescent="0.35">
      <c r="A7" s="9" t="s">
        <v>13</v>
      </c>
      <c r="B7">
        <v>1</v>
      </c>
      <c r="C7">
        <v>1</v>
      </c>
      <c r="D7" s="1">
        <f t="shared" si="0"/>
        <v>1</v>
      </c>
    </row>
    <row r="8" spans="1:5" x14ac:dyDescent="0.35">
      <c r="A8" s="7" t="s">
        <v>7</v>
      </c>
      <c r="B8" s="3"/>
      <c r="C8" s="3"/>
      <c r="D8" s="3"/>
    </row>
    <row r="9" spans="1:5" ht="29" x14ac:dyDescent="0.35">
      <c r="A9" s="2" t="s">
        <v>28</v>
      </c>
      <c r="B9">
        <v>1</v>
      </c>
      <c r="C9">
        <v>3</v>
      </c>
      <c r="D9" s="1">
        <f t="shared" si="0"/>
        <v>3</v>
      </c>
      <c r="E9" t="s">
        <v>38</v>
      </c>
    </row>
    <row r="10" spans="1:5" ht="29" x14ac:dyDescent="0.35">
      <c r="A10" s="1" t="s">
        <v>29</v>
      </c>
      <c r="B10">
        <v>1</v>
      </c>
      <c r="C10">
        <v>3</v>
      </c>
      <c r="D10" s="1">
        <f t="shared" si="0"/>
        <v>3</v>
      </c>
    </row>
    <row r="11" spans="1:5" ht="29" x14ac:dyDescent="0.35">
      <c r="A11" s="2" t="s">
        <v>35</v>
      </c>
      <c r="B11">
        <v>1</v>
      </c>
      <c r="C11">
        <v>7</v>
      </c>
      <c r="D11" s="1">
        <f t="shared" si="0"/>
        <v>7</v>
      </c>
    </row>
    <row r="12" spans="1:5" x14ac:dyDescent="0.35">
      <c r="A12" s="2" t="s">
        <v>14</v>
      </c>
      <c r="B12">
        <v>1.5</v>
      </c>
      <c r="C12">
        <v>5</v>
      </c>
      <c r="D12" s="1">
        <f t="shared" si="0"/>
        <v>7.5</v>
      </c>
      <c r="E12" t="s">
        <v>41</v>
      </c>
    </row>
    <row r="13" spans="1:5" x14ac:dyDescent="0.35">
      <c r="A13" s="7" t="s">
        <v>8</v>
      </c>
      <c r="B13" s="3"/>
      <c r="C13" s="3"/>
      <c r="D13" s="3"/>
    </row>
    <row r="14" spans="1:5" ht="29" x14ac:dyDescent="0.35">
      <c r="A14" s="2" t="s">
        <v>31</v>
      </c>
      <c r="B14">
        <v>1</v>
      </c>
      <c r="C14">
        <v>1</v>
      </c>
      <c r="D14" s="1">
        <f t="shared" ref="D14:D22" si="1">B14*C14</f>
        <v>1</v>
      </c>
    </row>
    <row r="15" spans="1:5" ht="29" x14ac:dyDescent="0.35">
      <c r="A15" s="2" t="s">
        <v>32</v>
      </c>
      <c r="B15">
        <v>1</v>
      </c>
      <c r="C15">
        <v>3</v>
      </c>
      <c r="D15" s="1">
        <f t="shared" si="1"/>
        <v>3</v>
      </c>
    </row>
    <row r="16" spans="1:5" ht="29" x14ac:dyDescent="0.35">
      <c r="A16" s="2" t="s">
        <v>33</v>
      </c>
      <c r="B16">
        <v>1</v>
      </c>
      <c r="C16">
        <v>3</v>
      </c>
      <c r="D16" s="1">
        <f t="shared" si="1"/>
        <v>3</v>
      </c>
      <c r="E16" t="s">
        <v>42</v>
      </c>
    </row>
    <row r="17" spans="1:5" ht="29" x14ac:dyDescent="0.35">
      <c r="A17" s="2" t="s">
        <v>36</v>
      </c>
      <c r="B17">
        <v>1</v>
      </c>
      <c r="C17">
        <v>5</v>
      </c>
      <c r="D17" s="1">
        <f t="shared" si="1"/>
        <v>5</v>
      </c>
    </row>
    <row r="18" spans="1:5" x14ac:dyDescent="0.35">
      <c r="A18" s="2" t="s">
        <v>15</v>
      </c>
      <c r="B18">
        <v>1</v>
      </c>
      <c r="C18">
        <v>1</v>
      </c>
      <c r="D18" s="1">
        <f t="shared" si="1"/>
        <v>1</v>
      </c>
    </row>
    <row r="19" spans="1:5" x14ac:dyDescent="0.35">
      <c r="A19" s="2" t="s">
        <v>20</v>
      </c>
      <c r="B19">
        <v>1</v>
      </c>
      <c r="C19">
        <v>3</v>
      </c>
      <c r="D19" s="1">
        <f t="shared" si="1"/>
        <v>3</v>
      </c>
    </row>
    <row r="20" spans="1:5" ht="29" x14ac:dyDescent="0.35">
      <c r="A20" s="2" t="s">
        <v>37</v>
      </c>
      <c r="B20">
        <v>1</v>
      </c>
      <c r="C20">
        <v>5</v>
      </c>
      <c r="D20" s="1">
        <f t="shared" si="1"/>
        <v>5</v>
      </c>
    </row>
    <row r="21" spans="1:5" x14ac:dyDescent="0.35">
      <c r="A21" s="2" t="s">
        <v>16</v>
      </c>
      <c r="B21">
        <v>1</v>
      </c>
      <c r="C21">
        <v>1</v>
      </c>
      <c r="D21">
        <f t="shared" si="1"/>
        <v>1</v>
      </c>
    </row>
    <row r="22" spans="1:5" ht="43.5" x14ac:dyDescent="0.35">
      <c r="A22" s="2" t="s">
        <v>34</v>
      </c>
      <c r="B22">
        <v>1</v>
      </c>
      <c r="C22">
        <v>3</v>
      </c>
      <c r="D22">
        <f t="shared" si="1"/>
        <v>3</v>
      </c>
    </row>
    <row r="23" spans="1:5" x14ac:dyDescent="0.35">
      <c r="A23" s="7" t="s">
        <v>9</v>
      </c>
      <c r="B23" s="3"/>
      <c r="C23" s="3"/>
      <c r="D23" s="3"/>
    </row>
    <row r="24" spans="1:5" ht="29" x14ac:dyDescent="0.35">
      <c r="A24" s="2" t="s">
        <v>17</v>
      </c>
      <c r="B24">
        <v>1</v>
      </c>
      <c r="C24">
        <v>2</v>
      </c>
      <c r="D24" s="1">
        <f>B24*C24</f>
        <v>2</v>
      </c>
    </row>
    <row r="25" spans="1:5" ht="29" x14ac:dyDescent="0.35">
      <c r="A25" s="2" t="s">
        <v>18</v>
      </c>
      <c r="B25">
        <v>1</v>
      </c>
      <c r="C25">
        <v>3</v>
      </c>
      <c r="D25" s="1">
        <f>B25*C25</f>
        <v>3</v>
      </c>
    </row>
    <row r="26" spans="1:5" x14ac:dyDescent="0.35">
      <c r="A26" s="7" t="s">
        <v>5</v>
      </c>
      <c r="B26" s="8"/>
      <c r="C26" s="8"/>
      <c r="D26" s="8"/>
    </row>
    <row r="27" spans="1:5" ht="58.5" thickBot="1" x14ac:dyDescent="0.4">
      <c r="A27" s="4" t="s">
        <v>12</v>
      </c>
      <c r="B27" s="5">
        <v>1</v>
      </c>
      <c r="C27" s="5">
        <v>5</v>
      </c>
      <c r="D27" s="5">
        <f>B27*C27</f>
        <v>5</v>
      </c>
    </row>
    <row r="28" spans="1:5" x14ac:dyDescent="0.35">
      <c r="A28" s="10" t="s">
        <v>19</v>
      </c>
      <c r="B28">
        <f>SUM(B2:B27)</f>
        <v>21.5</v>
      </c>
      <c r="C28">
        <f>SUM(C2:C27)</f>
        <v>65</v>
      </c>
      <c r="D28">
        <f>SUM(D2:D27)</f>
        <v>67.5</v>
      </c>
    </row>
    <row r="29" spans="1:5" x14ac:dyDescent="0.35">
      <c r="A29" s="10"/>
    </row>
    <row r="30" spans="1:5" ht="58" x14ac:dyDescent="0.35">
      <c r="A30" s="2" t="s">
        <v>27</v>
      </c>
      <c r="E30" t="s">
        <v>11</v>
      </c>
    </row>
    <row r="31" spans="1:5" ht="23" customHeight="1" x14ac:dyDescent="0.35">
      <c r="B31">
        <v>5</v>
      </c>
      <c r="C31">
        <v>3</v>
      </c>
      <c r="D31">
        <f>B31*C31</f>
        <v>15</v>
      </c>
    </row>
    <row r="32" spans="1:5" ht="29" x14ac:dyDescent="0.35">
      <c r="A32" s="2" t="s">
        <v>10</v>
      </c>
      <c r="E32" t="s">
        <v>30</v>
      </c>
    </row>
    <row r="33" spans="1:5" ht="25.5" customHeight="1" x14ac:dyDescent="0.35">
      <c r="B33">
        <v>5</v>
      </c>
      <c r="C33">
        <v>4</v>
      </c>
      <c r="D33">
        <f>B33*C33</f>
        <v>20</v>
      </c>
    </row>
    <row r="36" spans="1:5" x14ac:dyDescent="0.35">
      <c r="A36" s="6" t="s">
        <v>4</v>
      </c>
      <c r="D36">
        <f t="shared" ref="D36" si="2">SUM(D28:D33)</f>
        <v>102.5</v>
      </c>
    </row>
    <row r="38" spans="1:5" x14ac:dyDescent="0.35">
      <c r="A38" s="12" t="s">
        <v>22</v>
      </c>
      <c r="B38" s="12">
        <v>0</v>
      </c>
      <c r="C38" s="12"/>
      <c r="D38" s="12">
        <f>-10*B38</f>
        <v>0</v>
      </c>
    </row>
    <row r="40" spans="1:5" x14ac:dyDescent="0.35">
      <c r="A40" s="11" t="s">
        <v>21</v>
      </c>
      <c r="B40" s="11"/>
      <c r="C40" s="11"/>
      <c r="D40" s="11">
        <f>D36+D38</f>
        <v>102.5</v>
      </c>
      <c r="E40" t="s">
        <v>43</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0</xdr:col>
                    <xdr:colOff>88900</xdr:colOff>
                    <xdr:row>30</xdr:row>
                    <xdr:rowOff>25400</xdr:rowOff>
                  </from>
                  <to>
                    <xdr:col>0</xdr:col>
                    <xdr:colOff>1130300</xdr:colOff>
                    <xdr:row>30</xdr:row>
                    <xdr:rowOff>254000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0</xdr:col>
                    <xdr:colOff>1244600</xdr:colOff>
                    <xdr:row>30</xdr:row>
                    <xdr:rowOff>25400</xdr:rowOff>
                  </from>
                  <to>
                    <xdr:col>0</xdr:col>
                    <xdr:colOff>2146300</xdr:colOff>
                    <xdr:row>30</xdr:row>
                    <xdr:rowOff>234950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0</xdr:col>
                    <xdr:colOff>2012950</xdr:colOff>
                    <xdr:row>30</xdr:row>
                    <xdr:rowOff>25400</xdr:rowOff>
                  </from>
                  <to>
                    <xdr:col>0</xdr:col>
                    <xdr:colOff>3302000</xdr:colOff>
                    <xdr:row>30</xdr:row>
                    <xdr:rowOff>241300</xdr:rowOff>
                  </to>
                </anchor>
              </controlPr>
            </control>
          </mc:Choice>
        </mc:AlternateContent>
        <mc:AlternateContent xmlns:mc="http://schemas.openxmlformats.org/markup-compatibility/2006">
          <mc:Choice Requires="x14">
            <control shapeId="1028" r:id="rId7" name="Option Button 4">
              <controlPr defaultSize="0" autoFill="0" autoLine="0" autoPict="0">
                <anchor moveWithCells="1">
                  <from>
                    <xdr:col>0</xdr:col>
                    <xdr:colOff>3467100</xdr:colOff>
                    <xdr:row>30</xdr:row>
                    <xdr:rowOff>25400</xdr:rowOff>
                  </from>
                  <to>
                    <xdr:col>0</xdr:col>
                    <xdr:colOff>4375150</xdr:colOff>
                    <xdr:row>30</xdr:row>
                    <xdr:rowOff>234950</xdr:rowOff>
                  </to>
                </anchor>
              </controlPr>
            </control>
          </mc:Choice>
        </mc:AlternateContent>
        <mc:AlternateContent xmlns:mc="http://schemas.openxmlformats.org/markup-compatibility/2006">
          <mc:Choice Requires="x14">
            <control shapeId="1029" r:id="rId8" name="Option Button 5">
              <controlPr defaultSize="0" autoFill="0" autoLine="0" autoPict="0">
                <anchor moveWithCells="1">
                  <from>
                    <xdr:col>0</xdr:col>
                    <xdr:colOff>4127500</xdr:colOff>
                    <xdr:row>30</xdr:row>
                    <xdr:rowOff>25400</xdr:rowOff>
                  </from>
                  <to>
                    <xdr:col>0</xdr:col>
                    <xdr:colOff>5035550</xdr:colOff>
                    <xdr:row>30</xdr:row>
                    <xdr:rowOff>234950</xdr:rowOff>
                  </to>
                </anchor>
              </controlPr>
            </control>
          </mc:Choice>
        </mc:AlternateContent>
        <mc:AlternateContent xmlns:mc="http://schemas.openxmlformats.org/markup-compatibility/2006">
          <mc:Choice Requires="x14">
            <control shapeId="1030" r:id="rId9" name="Option Button 6">
              <controlPr defaultSize="0" autoFill="0" autoLine="0" autoPict="0">
                <anchor moveWithCells="1">
                  <from>
                    <xdr:col>0</xdr:col>
                    <xdr:colOff>88900</xdr:colOff>
                    <xdr:row>32</xdr:row>
                    <xdr:rowOff>25400</xdr:rowOff>
                  </from>
                  <to>
                    <xdr:col>0</xdr:col>
                    <xdr:colOff>1130300</xdr:colOff>
                    <xdr:row>32</xdr:row>
                    <xdr:rowOff>254000</xdr:rowOff>
                  </to>
                </anchor>
              </controlPr>
            </control>
          </mc:Choice>
        </mc:AlternateContent>
        <mc:AlternateContent xmlns:mc="http://schemas.openxmlformats.org/markup-compatibility/2006">
          <mc:Choice Requires="x14">
            <control shapeId="1031" r:id="rId10" name="Option Button 7">
              <controlPr defaultSize="0" autoFill="0" autoLine="0" autoPict="0">
                <anchor moveWithCells="1">
                  <from>
                    <xdr:col>0</xdr:col>
                    <xdr:colOff>1244600</xdr:colOff>
                    <xdr:row>32</xdr:row>
                    <xdr:rowOff>25400</xdr:rowOff>
                  </from>
                  <to>
                    <xdr:col>0</xdr:col>
                    <xdr:colOff>2146300</xdr:colOff>
                    <xdr:row>32</xdr:row>
                    <xdr:rowOff>234950</xdr:rowOff>
                  </to>
                </anchor>
              </controlPr>
            </control>
          </mc:Choice>
        </mc:AlternateContent>
        <mc:AlternateContent xmlns:mc="http://schemas.openxmlformats.org/markup-compatibility/2006">
          <mc:Choice Requires="x14">
            <control shapeId="1032" r:id="rId11" name="Option Button 8">
              <controlPr defaultSize="0" autoFill="0" autoLine="0" autoPict="0">
                <anchor moveWithCells="1">
                  <from>
                    <xdr:col>0</xdr:col>
                    <xdr:colOff>2012950</xdr:colOff>
                    <xdr:row>32</xdr:row>
                    <xdr:rowOff>25400</xdr:rowOff>
                  </from>
                  <to>
                    <xdr:col>0</xdr:col>
                    <xdr:colOff>3302000</xdr:colOff>
                    <xdr:row>32</xdr:row>
                    <xdr:rowOff>241300</xdr:rowOff>
                  </to>
                </anchor>
              </controlPr>
            </control>
          </mc:Choice>
        </mc:AlternateContent>
        <mc:AlternateContent xmlns:mc="http://schemas.openxmlformats.org/markup-compatibility/2006">
          <mc:Choice Requires="x14">
            <control shapeId="1033" r:id="rId12" name="Option Button 9">
              <controlPr defaultSize="0" autoFill="0" autoLine="0" autoPict="0">
                <anchor moveWithCells="1">
                  <from>
                    <xdr:col>0</xdr:col>
                    <xdr:colOff>3467100</xdr:colOff>
                    <xdr:row>32</xdr:row>
                    <xdr:rowOff>25400</xdr:rowOff>
                  </from>
                  <to>
                    <xdr:col>0</xdr:col>
                    <xdr:colOff>4375150</xdr:colOff>
                    <xdr:row>32</xdr:row>
                    <xdr:rowOff>234950</xdr:rowOff>
                  </to>
                </anchor>
              </controlPr>
            </control>
          </mc:Choice>
        </mc:AlternateContent>
        <mc:AlternateContent xmlns:mc="http://schemas.openxmlformats.org/markup-compatibility/2006">
          <mc:Choice Requires="x14">
            <control shapeId="1034" r:id="rId13" name="Option Button 10">
              <controlPr defaultSize="0" autoFill="0" autoLine="0" autoPict="0">
                <anchor moveWithCells="1">
                  <from>
                    <xdr:col>0</xdr:col>
                    <xdr:colOff>4127500</xdr:colOff>
                    <xdr:row>32</xdr:row>
                    <xdr:rowOff>25400</xdr:rowOff>
                  </from>
                  <to>
                    <xdr:col>0</xdr:col>
                    <xdr:colOff>5035550</xdr:colOff>
                    <xdr:row>32</xdr:row>
                    <xdr:rowOff>234950</xdr:rowOff>
                  </to>
                </anchor>
              </controlPr>
            </control>
          </mc:Choice>
        </mc:AlternateContent>
        <mc:AlternateContent xmlns:mc="http://schemas.openxmlformats.org/markup-compatibility/2006">
          <mc:Choice Requires="x14">
            <control shapeId="1035" r:id="rId14" name="Group Box 11">
              <controlPr defaultSize="0" autoFill="0" autoPict="0">
                <anchor moveWithCells="1">
                  <from>
                    <xdr:col>0</xdr:col>
                    <xdr:colOff>69850</xdr:colOff>
                    <xdr:row>30</xdr:row>
                    <xdr:rowOff>6350</xdr:rowOff>
                  </from>
                  <to>
                    <xdr:col>0</xdr:col>
                    <xdr:colOff>5245100</xdr:colOff>
                    <xdr:row>30</xdr:row>
                    <xdr:rowOff>266700</xdr:rowOff>
                  </to>
                </anchor>
              </controlPr>
            </control>
          </mc:Choice>
        </mc:AlternateContent>
        <mc:AlternateContent xmlns:mc="http://schemas.openxmlformats.org/markup-compatibility/2006">
          <mc:Choice Requires="x14">
            <control shapeId="1036" r:id="rId15" name="Group Box 12">
              <controlPr defaultSize="0" autoFill="0" autoPict="0">
                <anchor moveWithCells="1">
                  <from>
                    <xdr:col>0</xdr:col>
                    <xdr:colOff>50800</xdr:colOff>
                    <xdr:row>32</xdr:row>
                    <xdr:rowOff>6350</xdr:rowOff>
                  </from>
                  <to>
                    <xdr:col>0</xdr:col>
                    <xdr:colOff>5321300</xdr:colOff>
                    <xdr:row>32</xdr:row>
                    <xdr:rowOff>266700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Sabalowsky, Andrew</dc:creator>
  <cp:lastModifiedBy>Sabalowsky, Andrew</cp:lastModifiedBy>
  <dcterms:created xsi:type="dcterms:W3CDTF">2023-01-30T15:07:52Z</dcterms:created>
  <dcterms:modified xsi:type="dcterms:W3CDTF">2024-10-11T11:25:22Z</dcterms:modified>
</cp:coreProperties>
</file>