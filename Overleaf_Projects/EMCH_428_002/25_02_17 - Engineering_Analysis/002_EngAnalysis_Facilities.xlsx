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emailsc-my.sharepoint.com/personal/sabalows_mailbox_sc_edu/Documents/Documents/EMCH427_428/Spring2025_Artifacts/002/EngAnalysisREPORT/"/>
    </mc:Choice>
  </mc:AlternateContent>
  <xr:revisionPtr revIDLastSave="0" documentId="8_{D9CFE93C-89D9-40D8-9D9D-62B7F20C40B8}" xr6:coauthVersionLast="47" xr6:coauthVersionMax="47" xr10:uidLastSave="{00000000-0000-0000-0000-000000000000}"/>
  <bookViews>
    <workbookView xWindow="-108" yWindow="-108" windowWidth="23256" windowHeight="12456" xr2:uid="{F80322D3-AA61-408D-9E63-BDF1F74E5C88}"/>
  </bookViews>
  <sheets>
    <sheet name="Faciliti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1" l="1"/>
  <c r="B33" i="1"/>
  <c r="D32" i="1"/>
  <c r="D31" i="1"/>
  <c r="D29" i="1"/>
  <c r="D28" i="1"/>
  <c r="D27" i="1"/>
  <c r="D25" i="1"/>
  <c r="D24" i="1"/>
  <c r="D23" i="1"/>
  <c r="D22" i="1"/>
  <c r="D21" i="1"/>
  <c r="D20" i="1"/>
  <c r="D18" i="1"/>
  <c r="D17" i="1"/>
  <c r="D16" i="1"/>
  <c r="D15" i="1"/>
  <c r="D14" i="1"/>
  <c r="D13" i="1"/>
  <c r="D12" i="1"/>
  <c r="D11" i="1"/>
  <c r="D10" i="1"/>
  <c r="D9" i="1"/>
  <c r="D7" i="1"/>
  <c r="D6" i="1"/>
  <c r="D5" i="1"/>
  <c r="D4" i="1"/>
  <c r="D3" i="1"/>
  <c r="D2" i="1"/>
  <c r="D33" i="1" s="1"/>
</calcChain>
</file>

<file path=xl/sharedStrings.xml><?xml version="1.0" encoding="utf-8"?>
<sst xmlns="http://schemas.openxmlformats.org/spreadsheetml/2006/main" count="40" uniqueCount="40">
  <si>
    <t>Introduction</t>
  </si>
  <si>
    <t>Input</t>
  </si>
  <si>
    <t>Factor</t>
  </si>
  <si>
    <t>Score</t>
  </si>
  <si>
    <t>Statement of what major subject/theme of the report is</t>
  </si>
  <si>
    <t>eng analyses to ensure does not fail</t>
  </si>
  <si>
    <t>Statement listing potential product failures supplied</t>
  </si>
  <si>
    <t>Method for identifying potential product failures is stated (E.g. FMEA or Fault Tree Analysis)</t>
  </si>
  <si>
    <t>careful about language… are these truly "expected" failures? Hope not!  Perhaps "potential or anticipated"</t>
  </si>
  <si>
    <t>Relevant figure for above approach supplied</t>
  </si>
  <si>
    <t>Statement of main approaches to required analyses supplied</t>
  </si>
  <si>
    <t>Statement of key outcomes, observations, optimizations, and/or recommendations supplied</t>
  </si>
  <si>
    <t>Analyses performed: For each of analyses performed</t>
  </si>
  <si>
    <t>Qualitative explanation of the context (scenario) of concern is supplied</t>
  </si>
  <si>
    <t>Statement of the relevant theory/type of analysis performed supplied</t>
  </si>
  <si>
    <t>Reference where the theory for the analysis can be found is stated (e.g. text book, scientific article, relevant RELIABLE internet source)</t>
  </si>
  <si>
    <t>all looks good, buut you need to cite the references for the theory where the equations appear in report, and need to cite where you got the inputs (e.g. PVC properties, etc)</t>
  </si>
  <si>
    <t>Correct theoretical equation (where calcaulations required) is supplied</t>
  </si>
  <si>
    <t>All equations are numbered sequentially in order of appearance</t>
  </si>
  <si>
    <t>All variables in the equation are defined (i.e. what does the symbol mean)</t>
  </si>
  <si>
    <t>All variable units are supplied</t>
  </si>
  <si>
    <t>Assumptions and conditions for each scenario analyzed is qualitatively explained</t>
  </si>
  <si>
    <t>Corresponding variables, with numeric values and units is supplied for above stated conditions</t>
  </si>
  <si>
    <t>The relevant free body diagram, circuit diagram, or other relevant visual aid is supplied to show assumptions, loadings, and other conditions</t>
  </si>
  <si>
    <t>Results (For each analysis performed)</t>
  </si>
  <si>
    <t>Discussion states numeric output/outcome (calculated final resultant force, safety factor, flux, etc.)</t>
  </si>
  <si>
    <t>Relevant output is supplied (sample calculation with numbers substituted, table of results, FEA or CFD model output, 2-D graph of curves, etc.)</t>
  </si>
  <si>
    <t>Above output has a unique number (if equation, figure or table), and appropriate title</t>
  </si>
  <si>
    <t>Explanation of the meaning/significance of the outcome supplied (e.g. if it will fail or not, safety factor, etc.)</t>
  </si>
  <si>
    <t>Recommendation is supplied (product fine as is, specific change suggested, material selection, justification for decision/recommendation, "further studey recommended with grater time/resources/etc.)</t>
  </si>
  <si>
    <t>Optimization and/or multiple condtions analyzed where appropriate to explore</t>
  </si>
  <si>
    <t>Conclusions/Recommendations</t>
  </si>
  <si>
    <t>Statement of failure modes of concern that were investigated is supplied</t>
  </si>
  <si>
    <t>Statement of product's anticipated prognosis (will it fail? Is it safe?) supplied</t>
  </si>
  <si>
    <t>Stement of critical outcomes/recommendations/justification of decisions summarized</t>
  </si>
  <si>
    <t>Appendix</t>
  </si>
  <si>
    <t>Bibliographic information of any references used supplied</t>
  </si>
  <si>
    <t>All looks very good, but no appendix supplied</t>
  </si>
  <si>
    <t>Extra simulations, calcuations, outputs performed but not incliuded in body of report supplied</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</si>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</sst>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right/>
      <top/>
      <bottom style="medium">
        <color indexed="64"/>
      </bottom>
      <diagonal/>
    </border>
  </borders>
  <cellStyleXfs count="1">
    <xf numFmtId="0" fontId="0" fillId="0" borderId="0"/>
  </cellStyleXfs>
  <cellXfs count="9">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0" fillId="0" borderId="0" xfId="0" applyAlignment="1">
      <alignment vertical="center" wrapText="1"/>
    </xf>
    <xf numFmtId="0" fontId="0" fillId="2" borderId="0" xfId="0" applyFill="1" applyAlignment="1">
      <alignment wrapText="1"/>
    </xf>
    <xf numFmtId="0" fontId="0" fillId="0" borderId="1" xfId="0" applyBorder="1" applyAlignment="1">
      <alignment horizontal="left" vertical="center" wrapText="1"/>
    </xf>
    <xf numFmtId="0" fontId="0" fillId="0" borderId="1" xfId="0"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5E159-7394-420A-8CC9-9C8EF8F17F73}">
  <dimension ref="A1:E33"/>
  <sheetViews>
    <sheetView tabSelected="1" topLeftCell="A12" zoomScaleNormal="100" workbookViewId="0">
      <selection activeCell="E32" sqref="E32"/>
    </sheetView>
  </sheetViews>
  <sheetFormatPr defaultRowHeight="14.4" x14ac:dyDescent="0.3"/>
  <cols>
    <col min="1" max="1" width="79.5546875" customWidth="1"/>
  </cols>
  <sheetData>
    <row r="1" spans="1:5" x14ac:dyDescent="0.3">
      <c r="A1" s="1" t="s">
        <v>0</v>
      </c>
      <c r="B1" t="s">
        <v>1</v>
      </c>
      <c r="C1" t="s">
        <v>2</v>
      </c>
      <c r="D1" t="s">
        <v>3</v>
      </c>
    </row>
    <row r="2" spans="1:5" x14ac:dyDescent="0.3">
      <c r="A2" s="2" t="s">
        <v>4</v>
      </c>
      <c r="B2" s="3">
        <v>0.5</v>
      </c>
      <c r="C2" s="3">
        <v>1</v>
      </c>
      <c r="D2" s="3">
        <f>B2*C2</f>
        <v>0.5</v>
      </c>
      <c r="E2" t="s">
        <v>5</v>
      </c>
    </row>
    <row r="3" spans="1:5" x14ac:dyDescent="0.3">
      <c r="A3" s="2" t="s">
        <v>6</v>
      </c>
      <c r="B3">
        <v>1</v>
      </c>
      <c r="C3">
        <v>2</v>
      </c>
      <c r="D3" s="3">
        <f t="shared" ref="D3:D25" si="0">B3*C3</f>
        <v>2</v>
      </c>
    </row>
    <row r="4" spans="1:5" x14ac:dyDescent="0.3">
      <c r="A4" s="2" t="s">
        <v>7</v>
      </c>
      <c r="B4">
        <v>1</v>
      </c>
      <c r="C4">
        <v>1</v>
      </c>
      <c r="D4" s="3">
        <f t="shared" si="0"/>
        <v>1</v>
      </c>
      <c r="E4" t="s">
        <v>8</v>
      </c>
    </row>
    <row r="5" spans="1:5" x14ac:dyDescent="0.3">
      <c r="A5" s="2" t="s">
        <v>9</v>
      </c>
      <c r="B5" s="4">
        <v>1</v>
      </c>
      <c r="C5" s="4">
        <v>2</v>
      </c>
      <c r="D5" s="3">
        <f t="shared" si="0"/>
        <v>2</v>
      </c>
    </row>
    <row r="6" spans="1:5" x14ac:dyDescent="0.3">
      <c r="A6" s="2" t="s">
        <v>10</v>
      </c>
      <c r="B6">
        <v>1</v>
      </c>
      <c r="C6">
        <v>2</v>
      </c>
      <c r="D6" s="3">
        <f t="shared" si="0"/>
        <v>2</v>
      </c>
    </row>
    <row r="7" spans="1:5" x14ac:dyDescent="0.3">
      <c r="A7" s="2" t="s">
        <v>11</v>
      </c>
      <c r="B7">
        <v>1</v>
      </c>
      <c r="C7">
        <v>1</v>
      </c>
      <c r="D7" s="3">
        <f t="shared" si="0"/>
        <v>1</v>
      </c>
    </row>
    <row r="8" spans="1:5" x14ac:dyDescent="0.3">
      <c r="A8" s="1" t="s">
        <v>12</v>
      </c>
      <c r="B8" s="5"/>
      <c r="C8" s="5"/>
      <c r="D8" s="5"/>
    </row>
    <row r="9" spans="1:5" x14ac:dyDescent="0.3">
      <c r="A9" s="2" t="s">
        <v>13</v>
      </c>
      <c r="B9">
        <v>1</v>
      </c>
      <c r="C9">
        <v>5</v>
      </c>
      <c r="D9" s="3">
        <f t="shared" si="0"/>
        <v>5</v>
      </c>
    </row>
    <row r="10" spans="1:5" x14ac:dyDescent="0.3">
      <c r="A10" s="2" t="s">
        <v>14</v>
      </c>
      <c r="B10">
        <v>1</v>
      </c>
      <c r="C10">
        <v>5</v>
      </c>
      <c r="D10" s="3">
        <f t="shared" si="0"/>
        <v>5</v>
      </c>
    </row>
    <row r="11" spans="1:5" ht="28.8" x14ac:dyDescent="0.3">
      <c r="A11" s="2" t="s">
        <v>15</v>
      </c>
      <c r="B11">
        <v>0.7</v>
      </c>
      <c r="C11">
        <v>4</v>
      </c>
      <c r="D11" s="3">
        <f t="shared" si="0"/>
        <v>2.8</v>
      </c>
      <c r="E11" t="s">
        <v>16</v>
      </c>
    </row>
    <row r="12" spans="1:5" x14ac:dyDescent="0.3">
      <c r="A12" s="2" t="s">
        <v>17</v>
      </c>
      <c r="B12" s="3">
        <v>1</v>
      </c>
      <c r="C12" s="3">
        <v>5</v>
      </c>
      <c r="D12" s="3">
        <f t="shared" si="0"/>
        <v>5</v>
      </c>
    </row>
    <row r="13" spans="1:5" x14ac:dyDescent="0.3">
      <c r="A13" s="2" t="s">
        <v>18</v>
      </c>
      <c r="B13">
        <v>1</v>
      </c>
      <c r="C13">
        <v>4</v>
      </c>
      <c r="D13" s="3">
        <f t="shared" si="0"/>
        <v>4</v>
      </c>
    </row>
    <row r="14" spans="1:5" x14ac:dyDescent="0.3">
      <c r="A14" s="2" t="s">
        <v>19</v>
      </c>
      <c r="B14">
        <v>1</v>
      </c>
      <c r="C14">
        <v>5</v>
      </c>
      <c r="D14" s="3">
        <f t="shared" si="0"/>
        <v>5</v>
      </c>
    </row>
    <row r="15" spans="1:5" x14ac:dyDescent="0.3">
      <c r="A15" s="2" t="s">
        <v>20</v>
      </c>
      <c r="B15">
        <v>1</v>
      </c>
      <c r="C15">
        <v>5</v>
      </c>
      <c r="D15" s="3">
        <f t="shared" si="0"/>
        <v>5</v>
      </c>
    </row>
    <row r="16" spans="1:5" x14ac:dyDescent="0.3">
      <c r="A16" s="2" t="s">
        <v>21</v>
      </c>
      <c r="B16">
        <v>1</v>
      </c>
      <c r="C16">
        <v>5</v>
      </c>
      <c r="D16" s="3">
        <f t="shared" si="0"/>
        <v>5</v>
      </c>
    </row>
    <row r="17" spans="1:5" x14ac:dyDescent="0.3">
      <c r="A17" s="2" t="s">
        <v>22</v>
      </c>
      <c r="B17">
        <v>1</v>
      </c>
      <c r="C17">
        <v>5</v>
      </c>
      <c r="D17" s="3">
        <f t="shared" si="0"/>
        <v>5</v>
      </c>
    </row>
    <row r="18" spans="1:5" ht="28.8" x14ac:dyDescent="0.3">
      <c r="A18" s="2" t="s">
        <v>23</v>
      </c>
      <c r="B18">
        <v>1</v>
      </c>
      <c r="C18">
        <v>5</v>
      </c>
      <c r="D18" s="3">
        <f t="shared" si="0"/>
        <v>5</v>
      </c>
    </row>
    <row r="19" spans="1:5" x14ac:dyDescent="0.3">
      <c r="A19" s="1" t="s">
        <v>24</v>
      </c>
      <c r="B19" s="5"/>
      <c r="C19" s="5"/>
      <c r="D19" s="5"/>
    </row>
    <row r="20" spans="1:5" ht="28.8" x14ac:dyDescent="0.3">
      <c r="A20" s="2" t="s">
        <v>25</v>
      </c>
      <c r="B20">
        <v>1</v>
      </c>
      <c r="C20">
        <v>5</v>
      </c>
      <c r="D20" s="3">
        <f t="shared" si="0"/>
        <v>5</v>
      </c>
    </row>
    <row r="21" spans="1:5" ht="28.8" x14ac:dyDescent="0.3">
      <c r="A21" s="2" t="s">
        <v>26</v>
      </c>
      <c r="B21">
        <v>1</v>
      </c>
      <c r="C21">
        <v>5</v>
      </c>
      <c r="D21" s="3">
        <f t="shared" si="0"/>
        <v>5</v>
      </c>
    </row>
    <row r="22" spans="1:5" x14ac:dyDescent="0.3">
      <c r="A22" s="2" t="s">
        <v>27</v>
      </c>
      <c r="B22">
        <v>1</v>
      </c>
      <c r="C22">
        <v>5</v>
      </c>
      <c r="D22" s="3">
        <f t="shared" si="0"/>
        <v>5</v>
      </c>
    </row>
    <row r="23" spans="1:5" ht="28.8" x14ac:dyDescent="0.3">
      <c r="A23" s="2" t="s">
        <v>28</v>
      </c>
      <c r="B23">
        <v>1</v>
      </c>
      <c r="C23">
        <v>5</v>
      </c>
      <c r="D23" s="3">
        <f t="shared" si="0"/>
        <v>5</v>
      </c>
    </row>
    <row r="24" spans="1:5" ht="43.2" x14ac:dyDescent="0.3">
      <c r="A24" s="2" t="s">
        <v>29</v>
      </c>
      <c r="B24">
        <v>1</v>
      </c>
      <c r="C24">
        <v>5</v>
      </c>
      <c r="D24" s="3">
        <f t="shared" si="0"/>
        <v>5</v>
      </c>
    </row>
    <row r="25" spans="1:5" x14ac:dyDescent="0.3">
      <c r="A25" s="2" t="s">
        <v>30</v>
      </c>
      <c r="B25">
        <v>1</v>
      </c>
      <c r="C25">
        <v>5</v>
      </c>
      <c r="D25" s="3">
        <f t="shared" si="0"/>
        <v>5</v>
      </c>
    </row>
    <row r="26" spans="1:5" x14ac:dyDescent="0.3">
      <c r="A26" s="1" t="s">
        <v>31</v>
      </c>
      <c r="B26" s="5"/>
      <c r="C26" s="5"/>
      <c r="D26" s="5"/>
    </row>
    <row r="27" spans="1:5" x14ac:dyDescent="0.3">
      <c r="A27" s="2" t="s">
        <v>32</v>
      </c>
      <c r="B27">
        <v>1</v>
      </c>
      <c r="C27">
        <v>3</v>
      </c>
      <c r="D27" s="3">
        <f>B27*C27</f>
        <v>3</v>
      </c>
    </row>
    <row r="28" spans="1:5" x14ac:dyDescent="0.3">
      <c r="A28" s="2" t="s">
        <v>33</v>
      </c>
      <c r="B28">
        <v>1</v>
      </c>
      <c r="C28">
        <v>3</v>
      </c>
      <c r="D28" s="3">
        <f>B28*C28</f>
        <v>3</v>
      </c>
    </row>
    <row r="29" spans="1:5" x14ac:dyDescent="0.3">
      <c r="A29" s="2" t="s">
        <v>34</v>
      </c>
      <c r="B29">
        <v>1</v>
      </c>
      <c r="C29">
        <v>3</v>
      </c>
      <c r="D29" s="3">
        <f>B29*C29</f>
        <v>3</v>
      </c>
    </row>
    <row r="30" spans="1:5" x14ac:dyDescent="0.3">
      <c r="A30" s="1" t="s">
        <v>35</v>
      </c>
      <c r="B30" s="5"/>
      <c r="C30" s="5"/>
      <c r="D30" s="5"/>
    </row>
    <row r="31" spans="1:5" x14ac:dyDescent="0.3">
      <c r="A31" s="2" t="s">
        <v>36</v>
      </c>
      <c r="B31">
        <v>0</v>
      </c>
      <c r="C31">
        <v>2</v>
      </c>
      <c r="D31" s="3">
        <f>B31*C31</f>
        <v>0</v>
      </c>
      <c r="E31" t="s">
        <v>37</v>
      </c>
    </row>
    <row r="32" spans="1:5" ht="15" thickBot="1" x14ac:dyDescent="0.35">
      <c r="A32" s="6" t="s">
        <v>38</v>
      </c>
      <c r="B32" s="7">
        <v>0</v>
      </c>
      <c r="C32" s="7">
        <v>2</v>
      </c>
      <c r="D32" s="7">
        <f>B32*C32</f>
        <v>0</v>
      </c>
    </row>
    <row r="33" spans="1:4" x14ac:dyDescent="0.3">
      <c r="A33" s="8" t="s">
        <v>39</v>
      </c>
      <c r="B33">
        <f>SUM(B2:B32)</f>
        <v>24.2</v>
      </c>
      <c r="C33">
        <f>SUM(C2:C32)</f>
        <v>100</v>
      </c>
      <c r="D33">
        <f>SUM(D2:D32)</f>
        <v>94.3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Sabalowsky, Andrew</dc:creator>
  <cp:lastModifiedBy>Sabalowsky, Andrew</cp:lastModifiedBy>
  <dcterms:created xsi:type="dcterms:W3CDTF">2025-03-07T17:44:01Z</dcterms:created>
  <dcterms:modified xsi:type="dcterms:W3CDTF">2025-03-07T17:44:23Z</dcterms:modified>
</cp:coreProperties>
</file>