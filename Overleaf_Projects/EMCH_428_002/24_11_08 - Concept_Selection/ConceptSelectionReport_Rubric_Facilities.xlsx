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emailsc-my.sharepoint.com/personal/sabalows_mailbox_sc_edu/Documents/Documents/EMCH427_428/Fall2024_Artifacts/002/ConceptSelectionReport/"/>
    </mc:Choice>
  </mc:AlternateContent>
  <xr:revisionPtr revIDLastSave="11" documentId="8_{A206EAB6-9DCA-424F-B83A-255E049C181C}" xr6:coauthVersionLast="47" xr6:coauthVersionMax="47" xr10:uidLastSave="{873EC6C1-4D15-48F0-9BA6-346CCD027F74}"/>
  <bookViews>
    <workbookView xWindow="-108" yWindow="-108" windowWidth="23256" windowHeight="12456" xr2:uid="{1B1F534D-2971-462D-9DB3-879A15B397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16" i="1"/>
  <c r="D9" i="1"/>
  <c r="D8" i="1"/>
  <c r="D7" i="1"/>
  <c r="D15" i="1"/>
  <c r="D36" i="1" l="1"/>
  <c r="B26" i="1"/>
  <c r="D23" i="1"/>
  <c r="C26" i="1"/>
  <c r="D31" i="1" l="1"/>
  <c r="D29" i="1"/>
  <c r="D25" i="1"/>
  <c r="D17" i="1"/>
  <c r="D14" i="1"/>
  <c r="D10" i="1"/>
  <c r="D22" i="1"/>
  <c r="D21" i="1" l="1"/>
  <c r="D20" i="1"/>
  <c r="D19" i="1"/>
  <c r="D13" i="1"/>
  <c r="D12" i="1"/>
  <c r="D5" i="1"/>
  <c r="D3" i="1"/>
  <c r="D2" i="1"/>
  <c r="D26" i="1" l="1"/>
  <c r="D34" i="1" s="1"/>
  <c r="D38" i="1" s="1"/>
</calcChain>
</file>

<file path=xl/sharedStrings.xml><?xml version="1.0" encoding="utf-8"?>
<sst xmlns="http://schemas.openxmlformats.org/spreadsheetml/2006/main" count="42" uniqueCount="42">
  <si>
    <t>Introduction</t>
  </si>
  <si>
    <t>Factor</t>
  </si>
  <si>
    <t>Score</t>
  </si>
  <si>
    <t>Input</t>
  </si>
  <si>
    <t>Sum</t>
  </si>
  <si>
    <t>Appendix/References</t>
  </si>
  <si>
    <t>Conceptual Quality:  Demonstrates understanding of key principles of the design process performed and the project/product/sponsor, critical and deeper thinking</t>
  </si>
  <si>
    <t>50 pts total</t>
  </si>
  <si>
    <t>Grammar, spelling and formatting:  Written all in passive voice, no spelling or grammar errors detected, all formatting requirements satisfied (page numbering, title page, figure and table labeling, header, etc.)</t>
  </si>
  <si>
    <t>35 pts</t>
  </si>
  <si>
    <t>15 pts</t>
  </si>
  <si>
    <t>Subtotal:</t>
  </si>
  <si>
    <t>Final Score</t>
  </si>
  <si>
    <t>Lateness deductions: Number of days late</t>
  </si>
  <si>
    <t xml:space="preserve">Statement of what major subject/theme of the report is (i.e. that you are down-selecting the previous concepts to best one). </t>
  </si>
  <si>
    <t>Statement explaining approach (matrix based) and why you are doing it that way.</t>
  </si>
  <si>
    <t>Concept Screening</t>
  </si>
  <si>
    <t>Concept Ranking</t>
  </si>
  <si>
    <t>The  ranking process is clearly and concisely explained (including what the weight factors are, how they were decided, rating scores, etc.).</t>
  </si>
  <si>
    <t>The concept screening table is appropriately numbered and titled. (This should be Table 1)</t>
  </si>
  <si>
    <t xml:space="preserve">The outcome is explained clearly and concisely so that the reader understands which concepts are to be evaluated more closely, what refinements or hybridizations on paper are carried forward in the next assessment, and what key factors contributed to those concepts rating higher. </t>
  </si>
  <si>
    <t>Determination of the weight factors is explained</t>
  </si>
  <si>
    <t>Any research or calculations conducted to assist with scoring have been explained and are referred to in the appendix</t>
  </si>
  <si>
    <t>The final selected concept is stated, and a clear explanation of why it is deemed the superior concept is supplied (what key drivers made it the winner?... Not just "cuz it got the most points")</t>
  </si>
  <si>
    <t>Final Concept</t>
  </si>
  <si>
    <t>A statement is supplied explaining which concept is the final recommendation</t>
  </si>
  <si>
    <t>A figure of the final concept is supplied and appropriately numbered and titled</t>
  </si>
  <si>
    <t>The figure(s) has suffient detail to illustrate that all functions are included and how the prodcut will work/function</t>
  </si>
  <si>
    <t>A brief explanation of how it satisfies all the functions (i.e. what technologies it uses) is supplied, along with a brief explanation of the product/procss flow</t>
  </si>
  <si>
    <t>References for information collected is supplied, as well as any calculations/estimates made toward guiding the team on how to score concepts</t>
  </si>
  <si>
    <t>The concept ranking table is appropriately numbered and titled. (This should be Table 2)</t>
  </si>
  <si>
    <t>The screening/selection criteria are sensible and sufficiently through</t>
  </si>
  <si>
    <t>The Ranking table (Table 2) is supplied, has all the elements, and a reasonable number of selection criteria, and all numbers seem sensible</t>
  </si>
  <si>
    <t>Methodology: The Concept Screening process is clearly and concisely explained (including selection criteria, what the symbols mean, calculated scores, etc.)</t>
  </si>
  <si>
    <t>Rationale: explanation of why first screening is well and correctly explained</t>
  </si>
  <si>
    <t>The concept screening table is displayed, including a REFERENCE/BASELINE concept., and performed correctly.</t>
  </si>
  <si>
    <t>A statement is supplied explaining any anticipated challenges, the design's strengths, potential weaknesses (and strategies to ameliorate)</t>
  </si>
  <si>
    <t>This section good</t>
  </si>
  <si>
    <t>Too vague. What within the "user experience"? Time efficiency, esy to understand, not too many actions, not too compliated, not too much force required, ergonomic, etc.?  Different designs might hae different strengths and weaknesses within the different categories of "user experience"</t>
  </si>
  <si>
    <t>Not seeeing a reference concept, but I see you mentioned above current system is the refernce</t>
  </si>
  <si>
    <t>As above, not  enough criteria. Otherwsise seems to mostly done well… But which is the final concept?? They can't all be "yes's"  Table should make it clear which is the preferred concept</t>
  </si>
  <si>
    <t>not enough detail.  What kind of pump, vavles, storage tan? How will they come together and function as a system?  Are elements literally going to be stacked on top of each other as figure suggests?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</si>
</sst>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00000"/>
      <name val="Segoe UI"/>
      <family val="2"/>
    </font>
    <font>
      <sz val="11"/>
      <color rgb="FF00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applyAlignment="1">
      <alignment horizontal="left" vertical="center" wrapText="1"/>
    </xf>
    <xf numFmtId="0" fontId="0" fillId="0" borderId="1" xfId="0" applyBorder="1"/>
    <xf numFmtId="0" fontId="1" fillId="0" borderId="0" xfId="0" applyFont="1"/>
    <xf numFmtId="0" fontId="1" fillId="2" borderId="0" xfId="0" applyFont="1" applyFill="1" applyAlignment="1">
      <alignment horizontal="left" vertical="center" wrapText="1"/>
    </xf>
    <xf numFmtId="0" fontId="0" fillId="2" borderId="0" xfId="0" applyFill="1"/>
    <xf numFmtId="0" fontId="1" fillId="0" borderId="0" xfId="0" applyFont="1" applyAlignment="1">
      <alignment horizontal="left" vertical="center" wrapText="1"/>
    </xf>
    <xf numFmtId="0" fontId="1" fillId="3" borderId="0" xfId="0" applyFont="1" applyFill="1"/>
    <xf numFmtId="0" fontId="0" fillId="4" borderId="0" xfId="0" applyFill="1"/>
    <xf numFmtId="0" fontId="3" fillId="0" borderId="0" xfId="0" applyFont="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2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lockText="1" noThreeD="1"/>
</file>

<file path=xl/ctrlProps/ctrlProp6.xml><?xml version="1.0" encoding="utf-8"?>
<formControlPr xmlns="http://schemas.microsoft.com/office/spreadsheetml/2009/9/main" objectType="Radio" firstButton="1" fmlaLink="$B$31"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lockText="1"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28</xdr:row>
          <xdr:rowOff>22860</xdr:rowOff>
        </xdr:from>
        <xdr:to>
          <xdr:col>0</xdr:col>
          <xdr:colOff>1127760</xdr:colOff>
          <xdr:row>28</xdr:row>
          <xdr:rowOff>251460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28</xdr:row>
          <xdr:rowOff>22860</xdr:rowOff>
        </xdr:from>
        <xdr:to>
          <xdr:col>0</xdr:col>
          <xdr:colOff>2148840</xdr:colOff>
          <xdr:row>28</xdr:row>
          <xdr:rowOff>236220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28</xdr:row>
          <xdr:rowOff>22860</xdr:rowOff>
        </xdr:from>
        <xdr:to>
          <xdr:col>0</xdr:col>
          <xdr:colOff>3299460</xdr:colOff>
          <xdr:row>28</xdr:row>
          <xdr:rowOff>243840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28</xdr:row>
          <xdr:rowOff>22860</xdr:rowOff>
        </xdr:from>
        <xdr:to>
          <xdr:col>0</xdr:col>
          <xdr:colOff>4373880</xdr:colOff>
          <xdr:row>28</xdr:row>
          <xdr:rowOff>236220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28</xdr:row>
          <xdr:rowOff>22860</xdr:rowOff>
        </xdr:from>
        <xdr:to>
          <xdr:col>0</xdr:col>
          <xdr:colOff>5036820</xdr:colOff>
          <xdr:row>28</xdr:row>
          <xdr:rowOff>236220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30</xdr:row>
          <xdr:rowOff>22860</xdr:rowOff>
        </xdr:from>
        <xdr:to>
          <xdr:col>0</xdr:col>
          <xdr:colOff>1127760</xdr:colOff>
          <xdr:row>30</xdr:row>
          <xdr:rowOff>251460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30</xdr:row>
          <xdr:rowOff>22860</xdr:rowOff>
        </xdr:from>
        <xdr:to>
          <xdr:col>0</xdr:col>
          <xdr:colOff>2148840</xdr:colOff>
          <xdr:row>30</xdr:row>
          <xdr:rowOff>236220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30</xdr:row>
          <xdr:rowOff>22860</xdr:rowOff>
        </xdr:from>
        <xdr:to>
          <xdr:col>0</xdr:col>
          <xdr:colOff>3299460</xdr:colOff>
          <xdr:row>30</xdr:row>
          <xdr:rowOff>243840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30</xdr:row>
          <xdr:rowOff>22860</xdr:rowOff>
        </xdr:from>
        <xdr:to>
          <xdr:col>0</xdr:col>
          <xdr:colOff>4373880</xdr:colOff>
          <xdr:row>30</xdr:row>
          <xdr:rowOff>236220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30</xdr:row>
          <xdr:rowOff>22860</xdr:rowOff>
        </xdr:from>
        <xdr:to>
          <xdr:col>0</xdr:col>
          <xdr:colOff>5036820</xdr:colOff>
          <xdr:row>30</xdr:row>
          <xdr:rowOff>236220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68580</xdr:colOff>
          <xdr:row>28</xdr:row>
          <xdr:rowOff>7620</xdr:rowOff>
        </xdr:from>
        <xdr:to>
          <xdr:col>0</xdr:col>
          <xdr:colOff>5242560</xdr:colOff>
          <xdr:row>28</xdr:row>
          <xdr:rowOff>266700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xdr:colOff>
          <xdr:row>30</xdr:row>
          <xdr:rowOff>7620</xdr:rowOff>
        </xdr:from>
        <xdr:to>
          <xdr:col>0</xdr:col>
          <xdr:colOff>5318760</xdr:colOff>
          <xdr:row>30</xdr:row>
          <xdr:rowOff>266700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59</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DDE4-83C9-40F1-88BE-E9E7AB3DE58D}">
  <sheetPr>
    <tabColor rgb="FFFFFF00"/>
  </sheetPr>
  <dimension ref="A1:E38"/>
  <sheetViews>
    <sheetView tabSelected="1" topLeftCell="A22" workbookViewId="0">
      <selection activeCell="B23" sqref="B23"/>
    </sheetView>
  </sheetViews>
  <sheetFormatPr defaultRowHeight="14.4" x14ac:dyDescent="0.3"/>
  <cols>
    <col min="1" max="1" width="79.5546875" customWidth="1"/>
  </cols>
  <sheetData>
    <row r="1" spans="1:5" x14ac:dyDescent="0.3">
      <c r="A1" s="7" t="s">
        <v>0</v>
      </c>
      <c r="B1" s="6" t="s">
        <v>3</v>
      </c>
      <c r="C1" s="6" t="s">
        <v>1</v>
      </c>
      <c r="D1" s="6" t="s">
        <v>2</v>
      </c>
    </row>
    <row r="2" spans="1:5" ht="28.8" x14ac:dyDescent="0.3">
      <c r="A2" s="2" t="s">
        <v>14</v>
      </c>
      <c r="B2" s="1">
        <v>1</v>
      </c>
      <c r="C2" s="1">
        <v>2</v>
      </c>
      <c r="D2" s="1">
        <f>B2*C2</f>
        <v>2</v>
      </c>
    </row>
    <row r="3" spans="1:5" x14ac:dyDescent="0.3">
      <c r="A3" s="2" t="s">
        <v>15</v>
      </c>
      <c r="B3">
        <v>1</v>
      </c>
      <c r="C3">
        <v>2</v>
      </c>
      <c r="D3" s="1">
        <f t="shared" ref="D3:D17" si="0">B3*C3</f>
        <v>2</v>
      </c>
    </row>
    <row r="4" spans="1:5" x14ac:dyDescent="0.3">
      <c r="A4" s="7" t="s">
        <v>16</v>
      </c>
      <c r="B4" s="3"/>
      <c r="C4" s="3"/>
      <c r="D4" s="3"/>
    </row>
    <row r="5" spans="1:5" ht="28.8" x14ac:dyDescent="0.3">
      <c r="A5" s="1" t="s">
        <v>33</v>
      </c>
      <c r="B5" s="13">
        <v>1</v>
      </c>
      <c r="C5">
        <v>3</v>
      </c>
      <c r="D5" s="1">
        <f t="shared" si="0"/>
        <v>3</v>
      </c>
    </row>
    <row r="6" spans="1:5" x14ac:dyDescent="0.3">
      <c r="A6" s="1" t="s">
        <v>34</v>
      </c>
      <c r="B6">
        <v>1</v>
      </c>
      <c r="C6">
        <v>2</v>
      </c>
      <c r="D6" s="1">
        <f t="shared" si="0"/>
        <v>2</v>
      </c>
    </row>
    <row r="7" spans="1:5" x14ac:dyDescent="0.3">
      <c r="A7" s="1" t="s">
        <v>31</v>
      </c>
      <c r="B7">
        <v>0.7</v>
      </c>
      <c r="C7">
        <v>3</v>
      </c>
      <c r="D7" s="1">
        <f t="shared" si="0"/>
        <v>2.0999999999999996</v>
      </c>
      <c r="E7" t="s">
        <v>38</v>
      </c>
    </row>
    <row r="8" spans="1:5" ht="28.8" x14ac:dyDescent="0.3">
      <c r="A8" s="1" t="s">
        <v>35</v>
      </c>
      <c r="B8">
        <v>1</v>
      </c>
      <c r="C8">
        <v>4</v>
      </c>
      <c r="D8" s="1">
        <f t="shared" si="0"/>
        <v>4</v>
      </c>
      <c r="E8" t="s">
        <v>39</v>
      </c>
    </row>
    <row r="9" spans="1:5" ht="13.95" customHeight="1" x14ac:dyDescent="0.3">
      <c r="A9" s="1" t="s">
        <v>19</v>
      </c>
      <c r="B9">
        <v>1</v>
      </c>
      <c r="C9">
        <v>1</v>
      </c>
      <c r="D9" s="1">
        <f t="shared" si="0"/>
        <v>1</v>
      </c>
    </row>
    <row r="10" spans="1:5" ht="41.55" customHeight="1" x14ac:dyDescent="0.3">
      <c r="A10" s="12" t="s">
        <v>20</v>
      </c>
      <c r="B10">
        <v>1</v>
      </c>
      <c r="C10">
        <v>3</v>
      </c>
      <c r="D10" s="1">
        <f t="shared" si="0"/>
        <v>3</v>
      </c>
    </row>
    <row r="11" spans="1:5" x14ac:dyDescent="0.3">
      <c r="A11" s="7" t="s">
        <v>17</v>
      </c>
      <c r="B11" s="3"/>
      <c r="C11" s="3"/>
      <c r="D11" s="3"/>
    </row>
    <row r="12" spans="1:5" ht="28.8" x14ac:dyDescent="0.3">
      <c r="A12" s="2" t="s">
        <v>18</v>
      </c>
      <c r="B12">
        <v>1</v>
      </c>
      <c r="C12">
        <v>3</v>
      </c>
      <c r="D12" s="1">
        <f t="shared" si="0"/>
        <v>3</v>
      </c>
    </row>
    <row r="13" spans="1:5" x14ac:dyDescent="0.3">
      <c r="A13" s="1" t="s">
        <v>21</v>
      </c>
      <c r="B13">
        <v>1</v>
      </c>
      <c r="C13">
        <v>2</v>
      </c>
      <c r="D13" s="1">
        <f t="shared" si="0"/>
        <v>2</v>
      </c>
    </row>
    <row r="14" spans="1:5" ht="28.8" x14ac:dyDescent="0.3">
      <c r="A14" s="2" t="s">
        <v>22</v>
      </c>
      <c r="B14">
        <v>1</v>
      </c>
      <c r="C14">
        <v>2</v>
      </c>
      <c r="D14" s="1">
        <f t="shared" si="0"/>
        <v>2</v>
      </c>
    </row>
    <row r="15" spans="1:5" ht="28.8" x14ac:dyDescent="0.3">
      <c r="A15" s="2" t="s">
        <v>32</v>
      </c>
      <c r="B15">
        <v>0.7</v>
      </c>
      <c r="C15">
        <v>4</v>
      </c>
      <c r="D15" s="1">
        <f t="shared" si="0"/>
        <v>2.8</v>
      </c>
      <c r="E15" t="s">
        <v>40</v>
      </c>
    </row>
    <row r="16" spans="1:5" x14ac:dyDescent="0.3">
      <c r="A16" s="1" t="s">
        <v>30</v>
      </c>
      <c r="B16">
        <v>1</v>
      </c>
      <c r="C16">
        <v>1</v>
      </c>
      <c r="D16" s="1">
        <f t="shared" si="0"/>
        <v>1</v>
      </c>
    </row>
    <row r="17" spans="1:5" ht="43.2" x14ac:dyDescent="0.3">
      <c r="A17" s="2" t="s">
        <v>23</v>
      </c>
      <c r="B17">
        <v>1</v>
      </c>
      <c r="C17">
        <v>3</v>
      </c>
      <c r="D17" s="1">
        <f t="shared" si="0"/>
        <v>3</v>
      </c>
    </row>
    <row r="18" spans="1:5" x14ac:dyDescent="0.3">
      <c r="A18" s="7" t="s">
        <v>24</v>
      </c>
      <c r="B18" s="3"/>
      <c r="C18" s="3"/>
      <c r="D18" s="3"/>
    </row>
    <row r="19" spans="1:5" x14ac:dyDescent="0.3">
      <c r="A19" s="2" t="s">
        <v>25</v>
      </c>
      <c r="B19">
        <v>1</v>
      </c>
      <c r="C19">
        <v>1</v>
      </c>
      <c r="D19" s="1">
        <f t="shared" ref="D19:D23" si="1">B19*C19</f>
        <v>1</v>
      </c>
    </row>
    <row r="20" spans="1:5" ht="28.8" x14ac:dyDescent="0.3">
      <c r="A20" s="2" t="s">
        <v>28</v>
      </c>
      <c r="B20">
        <v>1</v>
      </c>
      <c r="C20">
        <v>3</v>
      </c>
      <c r="D20" s="1">
        <f t="shared" si="1"/>
        <v>3</v>
      </c>
    </row>
    <row r="21" spans="1:5" x14ac:dyDescent="0.3">
      <c r="A21" s="2" t="s">
        <v>26</v>
      </c>
      <c r="B21">
        <v>1</v>
      </c>
      <c r="C21">
        <v>2</v>
      </c>
      <c r="D21" s="1">
        <f t="shared" si="1"/>
        <v>2</v>
      </c>
    </row>
    <row r="22" spans="1:5" ht="28.8" x14ac:dyDescent="0.3">
      <c r="A22" s="2" t="s">
        <v>27</v>
      </c>
      <c r="B22">
        <v>0.8</v>
      </c>
      <c r="C22">
        <v>3</v>
      </c>
      <c r="D22" s="1">
        <f t="shared" si="1"/>
        <v>2.4000000000000004</v>
      </c>
      <c r="E22" t="s">
        <v>41</v>
      </c>
    </row>
    <row r="23" spans="1:5" ht="28.8" x14ac:dyDescent="0.3">
      <c r="A23" s="2" t="s">
        <v>36</v>
      </c>
      <c r="B23">
        <v>1</v>
      </c>
      <c r="C23">
        <v>4</v>
      </c>
      <c r="D23" s="1">
        <f t="shared" si="1"/>
        <v>4</v>
      </c>
      <c r="E23" t="s">
        <v>37</v>
      </c>
    </row>
    <row r="24" spans="1:5" x14ac:dyDescent="0.3">
      <c r="A24" s="7" t="s">
        <v>5</v>
      </c>
      <c r="B24" s="8"/>
      <c r="C24" s="8"/>
      <c r="D24" s="8"/>
    </row>
    <row r="25" spans="1:5" ht="29.4" thickBot="1" x14ac:dyDescent="0.35">
      <c r="A25" s="4" t="s">
        <v>29</v>
      </c>
      <c r="B25" s="5">
        <v>1</v>
      </c>
      <c r="C25" s="5">
        <v>2</v>
      </c>
      <c r="D25" s="5">
        <f>B25*C25</f>
        <v>2</v>
      </c>
      <c r="E25" t="s">
        <v>7</v>
      </c>
    </row>
    <row r="26" spans="1:5" x14ac:dyDescent="0.3">
      <c r="A26" s="9" t="s">
        <v>11</v>
      </c>
      <c r="B26">
        <f>SUM(B2:B25)</f>
        <v>19.2</v>
      </c>
      <c r="C26">
        <f>SUM(C2:C25)</f>
        <v>50</v>
      </c>
      <c r="D26">
        <f>SUM(D2:D25)</f>
        <v>47.300000000000004</v>
      </c>
    </row>
    <row r="27" spans="1:5" x14ac:dyDescent="0.3">
      <c r="A27" s="9"/>
    </row>
    <row r="28" spans="1:5" ht="43.2" x14ac:dyDescent="0.3">
      <c r="A28" s="2" t="s">
        <v>8</v>
      </c>
      <c r="E28" t="s">
        <v>10</v>
      </c>
    </row>
    <row r="29" spans="1:5" ht="22.95" customHeight="1" x14ac:dyDescent="0.3">
      <c r="B29">
        <v>5</v>
      </c>
      <c r="C29">
        <v>3</v>
      </c>
      <c r="D29">
        <f>B29*C29</f>
        <v>15</v>
      </c>
    </row>
    <row r="30" spans="1:5" ht="28.8" x14ac:dyDescent="0.3">
      <c r="A30" s="2" t="s">
        <v>6</v>
      </c>
      <c r="E30" t="s">
        <v>9</v>
      </c>
    </row>
    <row r="31" spans="1:5" ht="25.5" customHeight="1" x14ac:dyDescent="0.3">
      <c r="B31">
        <v>5</v>
      </c>
      <c r="C31">
        <v>7</v>
      </c>
      <c r="D31">
        <f>B31*C31</f>
        <v>35</v>
      </c>
    </row>
    <row r="34" spans="1:4" x14ac:dyDescent="0.3">
      <c r="A34" s="6" t="s">
        <v>4</v>
      </c>
      <c r="D34">
        <f t="shared" ref="D34" si="2">SUM(D26:D31)</f>
        <v>97.300000000000011</v>
      </c>
    </row>
    <row r="36" spans="1:4" x14ac:dyDescent="0.3">
      <c r="A36" s="11" t="s">
        <v>13</v>
      </c>
      <c r="B36" s="11">
        <v>0</v>
      </c>
      <c r="C36" s="11"/>
      <c r="D36" s="11">
        <f>-10*B36</f>
        <v>0</v>
      </c>
    </row>
    <row r="38" spans="1:4" x14ac:dyDescent="0.3">
      <c r="A38" s="10" t="s">
        <v>12</v>
      </c>
      <c r="B38" s="10"/>
      <c r="C38" s="10"/>
      <c r="D38" s="10">
        <f>D34+D36</f>
        <v>97.300000000000011</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91440</xdr:colOff>
                    <xdr:row>28</xdr:row>
                    <xdr:rowOff>22860</xdr:rowOff>
                  </from>
                  <to>
                    <xdr:col>0</xdr:col>
                    <xdr:colOff>1127760</xdr:colOff>
                    <xdr:row>28</xdr:row>
                    <xdr:rowOff>251460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1242060</xdr:colOff>
                    <xdr:row>28</xdr:row>
                    <xdr:rowOff>22860</xdr:rowOff>
                  </from>
                  <to>
                    <xdr:col>0</xdr:col>
                    <xdr:colOff>2148840</xdr:colOff>
                    <xdr:row>28</xdr:row>
                    <xdr:rowOff>236220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0</xdr:col>
                    <xdr:colOff>2011680</xdr:colOff>
                    <xdr:row>28</xdr:row>
                    <xdr:rowOff>22860</xdr:rowOff>
                  </from>
                  <to>
                    <xdr:col>0</xdr:col>
                    <xdr:colOff>3299460</xdr:colOff>
                    <xdr:row>28</xdr:row>
                    <xdr:rowOff>243840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0</xdr:col>
                    <xdr:colOff>3467100</xdr:colOff>
                    <xdr:row>28</xdr:row>
                    <xdr:rowOff>22860</xdr:rowOff>
                  </from>
                  <to>
                    <xdr:col>0</xdr:col>
                    <xdr:colOff>4373880</xdr:colOff>
                    <xdr:row>28</xdr:row>
                    <xdr:rowOff>236220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0</xdr:col>
                    <xdr:colOff>4130040</xdr:colOff>
                    <xdr:row>28</xdr:row>
                    <xdr:rowOff>22860</xdr:rowOff>
                  </from>
                  <to>
                    <xdr:col>0</xdr:col>
                    <xdr:colOff>5036820</xdr:colOff>
                    <xdr:row>28</xdr:row>
                    <xdr:rowOff>236220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0</xdr:col>
                    <xdr:colOff>91440</xdr:colOff>
                    <xdr:row>30</xdr:row>
                    <xdr:rowOff>22860</xdr:rowOff>
                  </from>
                  <to>
                    <xdr:col>0</xdr:col>
                    <xdr:colOff>1127760</xdr:colOff>
                    <xdr:row>30</xdr:row>
                    <xdr:rowOff>251460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0</xdr:col>
                    <xdr:colOff>1242060</xdr:colOff>
                    <xdr:row>30</xdr:row>
                    <xdr:rowOff>22860</xdr:rowOff>
                  </from>
                  <to>
                    <xdr:col>0</xdr:col>
                    <xdr:colOff>2148840</xdr:colOff>
                    <xdr:row>30</xdr:row>
                    <xdr:rowOff>236220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0</xdr:col>
                    <xdr:colOff>2011680</xdr:colOff>
                    <xdr:row>30</xdr:row>
                    <xdr:rowOff>22860</xdr:rowOff>
                  </from>
                  <to>
                    <xdr:col>0</xdr:col>
                    <xdr:colOff>3299460</xdr:colOff>
                    <xdr:row>30</xdr:row>
                    <xdr:rowOff>243840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0</xdr:col>
                    <xdr:colOff>3467100</xdr:colOff>
                    <xdr:row>30</xdr:row>
                    <xdr:rowOff>22860</xdr:rowOff>
                  </from>
                  <to>
                    <xdr:col>0</xdr:col>
                    <xdr:colOff>4373880</xdr:colOff>
                    <xdr:row>30</xdr:row>
                    <xdr:rowOff>236220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0</xdr:col>
                    <xdr:colOff>4130040</xdr:colOff>
                    <xdr:row>30</xdr:row>
                    <xdr:rowOff>22860</xdr:rowOff>
                  </from>
                  <to>
                    <xdr:col>0</xdr:col>
                    <xdr:colOff>5036820</xdr:colOff>
                    <xdr:row>30</xdr:row>
                    <xdr:rowOff>236220</xdr:rowOff>
                  </to>
                </anchor>
              </controlPr>
            </control>
          </mc:Choice>
        </mc:AlternateContent>
        <mc:AlternateContent xmlns:mc="http://schemas.openxmlformats.org/markup-compatibility/2006">
          <mc:Choice Requires="x14">
            <control shapeId="1035" r:id="rId14" name="Group Box 11">
              <controlPr defaultSize="0" autoFill="0" autoPict="0">
                <anchor moveWithCells="1">
                  <from>
                    <xdr:col>0</xdr:col>
                    <xdr:colOff>68580</xdr:colOff>
                    <xdr:row>28</xdr:row>
                    <xdr:rowOff>7620</xdr:rowOff>
                  </from>
                  <to>
                    <xdr:col>0</xdr:col>
                    <xdr:colOff>5242560</xdr:colOff>
                    <xdr:row>28</xdr:row>
                    <xdr:rowOff>266700</xdr:rowOff>
                  </to>
                </anchor>
              </controlPr>
            </control>
          </mc:Choice>
        </mc:AlternateContent>
        <mc:AlternateContent xmlns:mc="http://schemas.openxmlformats.org/markup-compatibility/2006">
          <mc:Choice Requires="x14">
            <control shapeId="1036" r:id="rId15" name="Group Box 12">
              <controlPr defaultSize="0" autoFill="0" autoPict="0">
                <anchor moveWithCells="1">
                  <from>
                    <xdr:col>0</xdr:col>
                    <xdr:colOff>53340</xdr:colOff>
                    <xdr:row>30</xdr:row>
                    <xdr:rowOff>7620</xdr:rowOff>
                  </from>
                  <to>
                    <xdr:col>0</xdr:col>
                    <xdr:colOff>5318760</xdr:colOff>
                    <xdr:row>30</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2023-01-30T15:07:52Z</dcterms:created>
  <dcterms:modified xsi:type="dcterms:W3CDTF">2024-11-28T18:03:37Z</dcterms:modified>
</cp:coreProperties>
</file>