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https://emailsc-my.sharepoint.com/personal/sabalows_mailbox_sc_edu/Documents/Documents/EMCH427_428/Fall2024_Artifacts/002/ProductArchitecture/"/>
    </mc:Choice>
  </mc:AlternateContent>
  <xr:revisionPtr revIDLastSave="33" documentId="8_{C6E8DF4F-C973-462E-A689-4EB3A7267196}" xr6:coauthVersionLast="47" xr6:coauthVersionMax="47" xr10:uidLastSave="{86EAE5C0-E256-4DF1-ADEF-D27AE53F3433}"/>
  <bookViews>
    <workbookView xWindow="-108" yWindow="-108" windowWidth="23256" windowHeight="12456" xr2:uid="{1B1F534D-2971-462D-9DB3-879A15B397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 r="D8" i="1"/>
  <c r="D7" i="1"/>
  <c r="D15" i="1"/>
  <c r="D34" i="1" l="1"/>
  <c r="B24" i="1"/>
  <c r="D21" i="1"/>
  <c r="C24" i="1"/>
  <c r="D29" i="1" l="1"/>
  <c r="D27" i="1"/>
  <c r="D23" i="1"/>
  <c r="D14" i="1"/>
  <c r="D10" i="1"/>
  <c r="D20" i="1"/>
  <c r="D19" i="1" l="1"/>
  <c r="D18" i="1"/>
  <c r="D17" i="1"/>
  <c r="D13" i="1"/>
  <c r="D12" i="1"/>
  <c r="D6" i="1"/>
  <c r="D4" i="1"/>
  <c r="D3" i="1"/>
  <c r="D2" i="1"/>
  <c r="D24" i="1" l="1"/>
  <c r="D32" i="1" s="1"/>
  <c r="D36" i="1" s="1"/>
</calcChain>
</file>

<file path=xl/sharedStrings.xml><?xml version="1.0" encoding="utf-8"?>
<sst xmlns="http://schemas.openxmlformats.org/spreadsheetml/2006/main" count="45" uniqueCount="45">
  <si>
    <t>Introduction</t>
  </si>
  <si>
    <t>Factor</t>
  </si>
  <si>
    <t>Score</t>
  </si>
  <si>
    <t>Input</t>
  </si>
  <si>
    <t>Sum</t>
  </si>
  <si>
    <t>Conceptual Quality:  Demonstrates understanding of key principles of the design process performed and the project/product/sponsor, critical and deeper thinking</t>
  </si>
  <si>
    <t>50 pts total</t>
  </si>
  <si>
    <t>Grammar, spelling and formatting:  Written all in passive voice, no spelling or grammar errors detected, all formatting requirements satisfied (page numbering, title page, figure and table labeling, header, etc.)</t>
  </si>
  <si>
    <t>35 pts</t>
  </si>
  <si>
    <t>15 pts</t>
  </si>
  <si>
    <t>Subtotal:</t>
  </si>
  <si>
    <t>Final Score</t>
  </si>
  <si>
    <t>Lateness deductions: Number of days late</t>
  </si>
  <si>
    <t>References for information collected is supplied, as well as any calculations/estimates made toward guiding the team on how to score concepts</t>
  </si>
  <si>
    <t xml:space="preserve">Statement of what major subject/theme of the report is (i.e. that you are arranging and describing product architecture). </t>
  </si>
  <si>
    <t>Statement explaining what product architecture is</t>
  </si>
  <si>
    <t>Statement of what the main drivers were (e.g. compactness, process flow, ergonomics, ease of maintenance, etc.) for your decision processes.</t>
  </si>
  <si>
    <t>Product Layout</t>
  </si>
  <si>
    <t>Statement explaining the difference between modular and integrated architecture is supplied</t>
  </si>
  <si>
    <t>Contains statement introducing the Component Layout, explaining what is in it (functional elements and clustering)</t>
  </si>
  <si>
    <t>The component layout figure appropriately numbered and titled. (This should be Figure 1)</t>
  </si>
  <si>
    <t xml:space="preserve">The rationale for clusters/groupings/chunks is clearly explained, the choice for use of integrated or modular architecture is explained with good justification (i.e. the drivers for those decisions).  If NO clustering is decided/required, that is stated, as well as the reason. </t>
  </si>
  <si>
    <t>Interactions</t>
  </si>
  <si>
    <t xml:space="preserve"> The impacts on choices in the architecture (e.g. locations and/or clustering) are clearly explained. </t>
  </si>
  <si>
    <t>The difference between intended and consequential/incidental interactions is explained</t>
  </si>
  <si>
    <t>All unintended/consequential/incidental interactions are identified (none missing), and illustrations are supplied where appropriate</t>
  </si>
  <si>
    <t>Solutions are proposed for all unintended/consequential interactions.</t>
  </si>
  <si>
    <t>Geometric Layout</t>
  </si>
  <si>
    <t>Contains introductory statement what a geometric layout is</t>
  </si>
  <si>
    <t>Explains why this is performed and that it is supplied in the accompanying figure (this should be Figure 2 of report if no interaction diagram, and Figure 3 of report if you DID supply an interaction diagram)</t>
  </si>
  <si>
    <t>The geometric layout figure is appropriately numbered and titled. (This should be Figure 2 or 3, depending)</t>
  </si>
  <si>
    <t>The geometric layout is illustrated in CAD and to approximate scale (no hand sketches!... prismatic shapes OK), and TOTAL LxWxH dimensions ARE SUPPLIED IN THE FIGURE.  The different clusters are cleraly labeled</t>
  </si>
  <si>
    <t>Explains why that layout is as you decided (i.e. key decision drivers... interactions intended and unintended, process and material flows, any performance drivers... maintainability, efficiency, compactness, etc.), and the rationale is sound.</t>
  </si>
  <si>
    <t>Appendix/References (optional)</t>
  </si>
  <si>
    <t>The Component Layout Figure is displayed, including all updated functional elements and LABELED clusters</t>
  </si>
  <si>
    <t>well explained!</t>
  </si>
  <si>
    <t>Well done! One of the few teams that understood this aspect of report</t>
  </si>
  <si>
    <t>A couple or "our"s to clean up and convert to passive voice, but good</t>
  </si>
  <si>
    <t>Good but too much fluff… Could/should be shortened to just the three key bullets</t>
  </si>
  <si>
    <t>Excellent! I think summarized better than I did in lectures!</t>
  </si>
  <si>
    <t>All perfect!</t>
  </si>
  <si>
    <t>written too hypothetically… what are the impacts on YOURspeicific product design</t>
  </si>
  <si>
    <t>good what you have but seem to be missing quite a few…  isn't heat of pump and/or pump house also a concern? What about pressure losses and cavitation? Pump running dry? Etc.</t>
  </si>
  <si>
    <t>solutions you propose are well thought out, but seem to be missing a lot of consequential interactions</t>
  </si>
  <si>
    <t>put the dimensions in the figure… don't make the reader count blocks or add up.  Also… where is ground in Fig 3? Confusing... Put some labels or add ground or origin axes. Also... Really should include pipe/hoes locations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</si>
</sst>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000000"/>
      <name val="Segoe UI"/>
      <family val="2"/>
    </font>
    <font>
      <sz val="11"/>
      <color rgb="FF00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medium">
        <color indexed="64"/>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wrapText="1"/>
    </xf>
    <xf numFmtId="0" fontId="0" fillId="0" borderId="1" xfId="0" applyBorder="1" applyAlignment="1">
      <alignment horizontal="left" vertical="center" wrapText="1"/>
    </xf>
    <xf numFmtId="0" fontId="0" fillId="0" borderId="1" xfId="0" applyBorder="1"/>
    <xf numFmtId="0" fontId="1" fillId="0" borderId="0" xfId="0" applyFont="1"/>
    <xf numFmtId="0" fontId="1" fillId="2" borderId="0" xfId="0" applyFont="1" applyFill="1" applyAlignment="1">
      <alignment horizontal="left" vertical="center" wrapText="1"/>
    </xf>
    <xf numFmtId="0" fontId="0" fillId="2" borderId="0" xfId="0" applyFill="1"/>
    <xf numFmtId="0" fontId="1" fillId="0" borderId="0" xfId="0" applyFont="1" applyAlignment="1">
      <alignment horizontal="left" vertical="center" wrapText="1"/>
    </xf>
    <xf numFmtId="0" fontId="1" fillId="3" borderId="0" xfId="0" applyFont="1" applyFill="1"/>
    <xf numFmtId="0" fontId="0" fillId="4" borderId="0" xfId="0" applyFill="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Radio" firstButton="1" fmlaLink="$B$27"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lockText="1" noThreeD="1"/>
</file>

<file path=xl/ctrlProps/ctrlProp6.xml><?xml version="1.0" encoding="utf-8"?>
<formControlPr xmlns="http://schemas.microsoft.com/office/spreadsheetml/2009/9/main" objectType="Radio" firstButton="1" fmlaLink="$B$29"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checked="Checked" lockText="1"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91440</xdr:colOff>
          <xdr:row>26</xdr:row>
          <xdr:rowOff>22860</xdr:rowOff>
        </xdr:from>
        <xdr:to>
          <xdr:col>0</xdr:col>
          <xdr:colOff>1127760</xdr:colOff>
          <xdr:row>26</xdr:row>
          <xdr:rowOff>251460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1242060</xdr:colOff>
          <xdr:row>26</xdr:row>
          <xdr:rowOff>22860</xdr:rowOff>
        </xdr:from>
        <xdr:to>
          <xdr:col>0</xdr:col>
          <xdr:colOff>2148840</xdr:colOff>
          <xdr:row>26</xdr:row>
          <xdr:rowOff>236220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2011680</xdr:colOff>
          <xdr:row>26</xdr:row>
          <xdr:rowOff>22860</xdr:rowOff>
        </xdr:from>
        <xdr:to>
          <xdr:col>0</xdr:col>
          <xdr:colOff>3299460</xdr:colOff>
          <xdr:row>26</xdr:row>
          <xdr:rowOff>243840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26</xdr:row>
          <xdr:rowOff>22860</xdr:rowOff>
        </xdr:from>
        <xdr:to>
          <xdr:col>0</xdr:col>
          <xdr:colOff>4373880</xdr:colOff>
          <xdr:row>26</xdr:row>
          <xdr:rowOff>236220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4130040</xdr:colOff>
          <xdr:row>26</xdr:row>
          <xdr:rowOff>22860</xdr:rowOff>
        </xdr:from>
        <xdr:to>
          <xdr:col>0</xdr:col>
          <xdr:colOff>5036820</xdr:colOff>
          <xdr:row>26</xdr:row>
          <xdr:rowOff>236220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91440</xdr:colOff>
          <xdr:row>28</xdr:row>
          <xdr:rowOff>22860</xdr:rowOff>
        </xdr:from>
        <xdr:to>
          <xdr:col>0</xdr:col>
          <xdr:colOff>1127760</xdr:colOff>
          <xdr:row>28</xdr:row>
          <xdr:rowOff>251460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1242060</xdr:colOff>
          <xdr:row>28</xdr:row>
          <xdr:rowOff>22860</xdr:rowOff>
        </xdr:from>
        <xdr:to>
          <xdr:col>0</xdr:col>
          <xdr:colOff>2148840</xdr:colOff>
          <xdr:row>28</xdr:row>
          <xdr:rowOff>236220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2011680</xdr:colOff>
          <xdr:row>28</xdr:row>
          <xdr:rowOff>22860</xdr:rowOff>
        </xdr:from>
        <xdr:to>
          <xdr:col>0</xdr:col>
          <xdr:colOff>3299460</xdr:colOff>
          <xdr:row>28</xdr:row>
          <xdr:rowOff>243840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28</xdr:row>
          <xdr:rowOff>22860</xdr:rowOff>
        </xdr:from>
        <xdr:to>
          <xdr:col>0</xdr:col>
          <xdr:colOff>4373880</xdr:colOff>
          <xdr:row>28</xdr:row>
          <xdr:rowOff>236220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4130040</xdr:colOff>
          <xdr:row>28</xdr:row>
          <xdr:rowOff>22860</xdr:rowOff>
        </xdr:from>
        <xdr:to>
          <xdr:col>0</xdr:col>
          <xdr:colOff>5036820</xdr:colOff>
          <xdr:row>28</xdr:row>
          <xdr:rowOff>236220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68580</xdr:colOff>
          <xdr:row>26</xdr:row>
          <xdr:rowOff>7620</xdr:rowOff>
        </xdr:from>
        <xdr:to>
          <xdr:col>0</xdr:col>
          <xdr:colOff>5242560</xdr:colOff>
          <xdr:row>26</xdr:row>
          <xdr:rowOff>266700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en-US" sz="800" b="0" i="0" u="none" strike="noStrike" baseline="0">
                  <a:solidFill>
                    <a:srgbClr val="000000"/>
                  </a:solidFill>
                  <a:latin typeface="Segoe UI"/>
                  <a:cs typeface="Segoe UI"/>
                </a:rPr>
                <a:t>Group Box 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53340</xdr:colOff>
          <xdr:row>28</xdr:row>
          <xdr:rowOff>7620</xdr:rowOff>
        </xdr:from>
        <xdr:to>
          <xdr:col>0</xdr:col>
          <xdr:colOff>5318760</xdr:colOff>
          <xdr:row>28</xdr:row>
          <xdr:rowOff>266700</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7432" rIns="0" bIns="0" anchor="t" upright="1"/>
            <a:lstStyle/>
            <a:p>
              <a:pPr algn="l" rtl="0">
                <a:defRPr sz="1000"/>
              </a:pPr>
              <a:r>
                <a:rPr lang="en-US" sz="800" b="0" i="0" u="none" strike="noStrike" baseline="0">
                  <a:solidFill>
                    <a:srgbClr val="000000"/>
                  </a:solidFill>
                  <a:latin typeface="Segoe UI"/>
                  <a:cs typeface="Segoe UI"/>
                </a:rPr>
                <a:t>Group Box 59</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DDE4-83C9-40F1-88BE-E9E7AB3DE58D}">
  <sheetPr>
    <tabColor rgb="FFFFFF00"/>
  </sheetPr>
  <dimension ref="A1:F36"/>
  <sheetViews>
    <sheetView tabSelected="1" workbookViewId="0">
      <selection activeCell="B3" sqref="B3"/>
    </sheetView>
  </sheetViews>
  <sheetFormatPr defaultRowHeight="14.4" x14ac:dyDescent="0.3"/>
  <cols>
    <col min="1" max="1" width="79.5546875" customWidth="1"/>
  </cols>
  <sheetData>
    <row r="1" spans="1:5" x14ac:dyDescent="0.3">
      <c r="A1" s="7" t="s">
        <v>0</v>
      </c>
      <c r="B1" s="6" t="s">
        <v>3</v>
      </c>
      <c r="C1" s="6" t="s">
        <v>1</v>
      </c>
      <c r="D1" s="6" t="s">
        <v>2</v>
      </c>
    </row>
    <row r="2" spans="1:5" ht="28.8" x14ac:dyDescent="0.3">
      <c r="A2" s="2" t="s">
        <v>14</v>
      </c>
      <c r="B2" s="1">
        <v>1</v>
      </c>
      <c r="C2" s="1">
        <v>2</v>
      </c>
      <c r="D2" s="1">
        <f>B2*C2</f>
        <v>2</v>
      </c>
    </row>
    <row r="3" spans="1:5" x14ac:dyDescent="0.3">
      <c r="A3" s="2" t="s">
        <v>15</v>
      </c>
      <c r="B3">
        <v>1</v>
      </c>
      <c r="C3">
        <v>2</v>
      </c>
      <c r="D3" s="1">
        <f t="shared" ref="D3:D15" si="0">B3*C3</f>
        <v>2</v>
      </c>
    </row>
    <row r="4" spans="1:5" ht="28.8" x14ac:dyDescent="0.3">
      <c r="A4" s="2" t="s">
        <v>16</v>
      </c>
      <c r="B4">
        <v>1</v>
      </c>
      <c r="C4">
        <v>2</v>
      </c>
      <c r="D4" s="1">
        <f t="shared" si="0"/>
        <v>2</v>
      </c>
      <c r="E4" t="s">
        <v>38</v>
      </c>
    </row>
    <row r="5" spans="1:5" x14ac:dyDescent="0.3">
      <c r="A5" s="7" t="s">
        <v>17</v>
      </c>
      <c r="B5" s="3"/>
      <c r="C5" s="3"/>
      <c r="D5" s="3"/>
    </row>
    <row r="6" spans="1:5" x14ac:dyDescent="0.3">
      <c r="A6" s="1" t="s">
        <v>18</v>
      </c>
      <c r="B6">
        <v>1</v>
      </c>
      <c r="C6">
        <v>2</v>
      </c>
      <c r="D6" s="1">
        <f t="shared" si="0"/>
        <v>2</v>
      </c>
      <c r="E6" t="s">
        <v>39</v>
      </c>
    </row>
    <row r="7" spans="1:5" ht="28.8" x14ac:dyDescent="0.3">
      <c r="A7" s="1" t="s">
        <v>19</v>
      </c>
      <c r="B7">
        <v>1</v>
      </c>
      <c r="C7">
        <v>3</v>
      </c>
      <c r="D7" s="1">
        <f t="shared" si="0"/>
        <v>3</v>
      </c>
    </row>
    <row r="8" spans="1:5" ht="28.8" x14ac:dyDescent="0.3">
      <c r="A8" s="1" t="s">
        <v>34</v>
      </c>
      <c r="B8">
        <v>1</v>
      </c>
      <c r="C8">
        <v>4</v>
      </c>
      <c r="D8" s="1">
        <f t="shared" si="0"/>
        <v>4</v>
      </c>
    </row>
    <row r="9" spans="1:5" ht="13.95" customHeight="1" x14ac:dyDescent="0.3">
      <c r="A9" s="1" t="s">
        <v>20</v>
      </c>
      <c r="B9">
        <v>1</v>
      </c>
      <c r="C9">
        <v>1</v>
      </c>
      <c r="D9" s="1">
        <f t="shared" si="0"/>
        <v>1</v>
      </c>
    </row>
    <row r="10" spans="1:5" ht="41.55" customHeight="1" x14ac:dyDescent="0.3">
      <c r="A10" s="12" t="s">
        <v>21</v>
      </c>
      <c r="B10">
        <v>1</v>
      </c>
      <c r="C10">
        <v>4</v>
      </c>
      <c r="D10" s="1">
        <f t="shared" si="0"/>
        <v>4</v>
      </c>
      <c r="E10" t="s">
        <v>40</v>
      </c>
    </row>
    <row r="11" spans="1:5" x14ac:dyDescent="0.3">
      <c r="A11" s="7" t="s">
        <v>22</v>
      </c>
      <c r="B11" s="3"/>
      <c r="C11" s="3"/>
      <c r="D11" s="3"/>
    </row>
    <row r="12" spans="1:5" x14ac:dyDescent="0.3">
      <c r="A12" s="2" t="s">
        <v>24</v>
      </c>
      <c r="B12">
        <v>1</v>
      </c>
      <c r="C12">
        <v>2</v>
      </c>
      <c r="D12" s="1">
        <f t="shared" si="0"/>
        <v>2</v>
      </c>
    </row>
    <row r="13" spans="1:5" ht="28.8" x14ac:dyDescent="0.3">
      <c r="A13" s="1" t="s">
        <v>23</v>
      </c>
      <c r="B13">
        <v>0.7</v>
      </c>
      <c r="C13">
        <v>3</v>
      </c>
      <c r="D13" s="1">
        <f t="shared" si="0"/>
        <v>2.0999999999999996</v>
      </c>
      <c r="E13" t="s">
        <v>41</v>
      </c>
    </row>
    <row r="14" spans="1:5" ht="28.8" x14ac:dyDescent="0.3">
      <c r="A14" s="2" t="s">
        <v>25</v>
      </c>
      <c r="B14">
        <v>0.7</v>
      </c>
      <c r="C14">
        <v>5</v>
      </c>
      <c r="D14" s="1">
        <f t="shared" si="0"/>
        <v>3.5</v>
      </c>
      <c r="E14" t="s">
        <v>42</v>
      </c>
    </row>
    <row r="15" spans="1:5" x14ac:dyDescent="0.3">
      <c r="A15" s="2" t="s">
        <v>26</v>
      </c>
      <c r="B15">
        <v>0.8</v>
      </c>
      <c r="C15">
        <v>5</v>
      </c>
      <c r="D15" s="1">
        <f t="shared" si="0"/>
        <v>4</v>
      </c>
      <c r="E15" t="s">
        <v>43</v>
      </c>
    </row>
    <row r="16" spans="1:5" x14ac:dyDescent="0.3">
      <c r="A16" s="7" t="s">
        <v>27</v>
      </c>
      <c r="B16" s="3"/>
      <c r="C16" s="3"/>
      <c r="D16" s="3"/>
    </row>
    <row r="17" spans="1:6" x14ac:dyDescent="0.3">
      <c r="A17" s="2" t="s">
        <v>28</v>
      </c>
      <c r="B17">
        <v>1</v>
      </c>
      <c r="C17">
        <v>2</v>
      </c>
      <c r="D17" s="1">
        <f t="shared" ref="D17:D21" si="1">B17*C17</f>
        <v>2</v>
      </c>
    </row>
    <row r="18" spans="1:6" ht="43.2" x14ac:dyDescent="0.3">
      <c r="A18" s="2" t="s">
        <v>29</v>
      </c>
      <c r="B18">
        <v>1</v>
      </c>
      <c r="C18">
        <v>3</v>
      </c>
      <c r="D18" s="1">
        <f t="shared" si="1"/>
        <v>3</v>
      </c>
      <c r="E18" t="s">
        <v>35</v>
      </c>
    </row>
    <row r="19" spans="1:6" ht="43.2" x14ac:dyDescent="0.3">
      <c r="A19" s="2" t="s">
        <v>31</v>
      </c>
      <c r="B19">
        <v>0.7</v>
      </c>
      <c r="C19">
        <v>5</v>
      </c>
      <c r="D19" s="1">
        <f t="shared" si="1"/>
        <v>3.5</v>
      </c>
      <c r="E19" t="s">
        <v>44</v>
      </c>
    </row>
    <row r="20" spans="1:6" ht="28.8" x14ac:dyDescent="0.3">
      <c r="A20" s="1" t="s">
        <v>30</v>
      </c>
      <c r="B20">
        <v>1</v>
      </c>
      <c r="C20">
        <v>1</v>
      </c>
      <c r="D20" s="1">
        <f t="shared" si="1"/>
        <v>1</v>
      </c>
    </row>
    <row r="21" spans="1:6" ht="43.2" x14ac:dyDescent="0.3">
      <c r="A21" s="2" t="s">
        <v>32</v>
      </c>
      <c r="B21">
        <v>1</v>
      </c>
      <c r="C21">
        <v>4</v>
      </c>
      <c r="D21" s="1">
        <f t="shared" si="1"/>
        <v>4</v>
      </c>
      <c r="E21" t="s">
        <v>36</v>
      </c>
    </row>
    <row r="22" spans="1:6" x14ac:dyDescent="0.3">
      <c r="A22" s="7" t="s">
        <v>33</v>
      </c>
      <c r="B22" s="8"/>
      <c r="C22" s="8"/>
      <c r="D22" s="8"/>
    </row>
    <row r="23" spans="1:6" ht="29.4" thickBot="1" x14ac:dyDescent="0.35">
      <c r="A23" s="4" t="s">
        <v>13</v>
      </c>
      <c r="B23" s="5">
        <v>1</v>
      </c>
      <c r="C23" s="5"/>
      <c r="D23" s="5">
        <f>B23*C23</f>
        <v>0</v>
      </c>
      <c r="E23" t="s">
        <v>6</v>
      </c>
    </row>
    <row r="24" spans="1:6" x14ac:dyDescent="0.3">
      <c r="A24" s="9" t="s">
        <v>10</v>
      </c>
      <c r="B24">
        <f>SUM(B2:B23)</f>
        <v>16.899999999999999</v>
      </c>
      <c r="C24">
        <f>SUM(C2:C23)</f>
        <v>50</v>
      </c>
      <c r="D24">
        <f>SUM(D2:D23)</f>
        <v>45.1</v>
      </c>
    </row>
    <row r="25" spans="1:6" x14ac:dyDescent="0.3">
      <c r="A25" s="9"/>
    </row>
    <row r="26" spans="1:6" ht="43.2" x14ac:dyDescent="0.3">
      <c r="A26" s="2" t="s">
        <v>7</v>
      </c>
      <c r="E26" t="s">
        <v>9</v>
      </c>
    </row>
    <row r="27" spans="1:6" ht="22.95" customHeight="1" x14ac:dyDescent="0.3">
      <c r="B27">
        <v>5</v>
      </c>
      <c r="C27">
        <v>3</v>
      </c>
      <c r="D27">
        <f>B27*C27</f>
        <v>15</v>
      </c>
      <c r="F27" t="s">
        <v>37</v>
      </c>
    </row>
    <row r="28" spans="1:6" ht="28.8" x14ac:dyDescent="0.3">
      <c r="A28" s="2" t="s">
        <v>5</v>
      </c>
      <c r="E28" t="s">
        <v>8</v>
      </c>
    </row>
    <row r="29" spans="1:6" ht="25.5" customHeight="1" x14ac:dyDescent="0.3">
      <c r="B29">
        <v>5</v>
      </c>
      <c r="C29">
        <v>7</v>
      </c>
      <c r="D29">
        <f>B29*C29</f>
        <v>35</v>
      </c>
    </row>
    <row r="32" spans="1:6" x14ac:dyDescent="0.3">
      <c r="A32" s="6" t="s">
        <v>4</v>
      </c>
      <c r="D32">
        <f t="shared" ref="D32" si="2">SUM(D24:D29)</f>
        <v>95.1</v>
      </c>
    </row>
    <row r="34" spans="1:4" x14ac:dyDescent="0.3">
      <c r="A34" s="11" t="s">
        <v>12</v>
      </c>
      <c r="B34" s="11">
        <v>0</v>
      </c>
      <c r="C34" s="11"/>
      <c r="D34" s="11">
        <f>-10*B34</f>
        <v>0</v>
      </c>
    </row>
    <row r="36" spans="1:4" x14ac:dyDescent="0.3">
      <c r="A36" s="10" t="s">
        <v>11</v>
      </c>
      <c r="B36" s="10"/>
      <c r="C36" s="10"/>
      <c r="D36" s="10">
        <f>D32+D34</f>
        <v>95.1</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91440</xdr:colOff>
                    <xdr:row>26</xdr:row>
                    <xdr:rowOff>22860</xdr:rowOff>
                  </from>
                  <to>
                    <xdr:col>0</xdr:col>
                    <xdr:colOff>1127760</xdr:colOff>
                    <xdr:row>26</xdr:row>
                    <xdr:rowOff>251460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0</xdr:col>
                    <xdr:colOff>1242060</xdr:colOff>
                    <xdr:row>26</xdr:row>
                    <xdr:rowOff>22860</xdr:rowOff>
                  </from>
                  <to>
                    <xdr:col>0</xdr:col>
                    <xdr:colOff>2148840</xdr:colOff>
                    <xdr:row>26</xdr:row>
                    <xdr:rowOff>236220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0</xdr:col>
                    <xdr:colOff>2011680</xdr:colOff>
                    <xdr:row>26</xdr:row>
                    <xdr:rowOff>22860</xdr:rowOff>
                  </from>
                  <to>
                    <xdr:col>0</xdr:col>
                    <xdr:colOff>3299460</xdr:colOff>
                    <xdr:row>26</xdr:row>
                    <xdr:rowOff>243840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from>
                    <xdr:col>0</xdr:col>
                    <xdr:colOff>3467100</xdr:colOff>
                    <xdr:row>26</xdr:row>
                    <xdr:rowOff>22860</xdr:rowOff>
                  </from>
                  <to>
                    <xdr:col>0</xdr:col>
                    <xdr:colOff>4373880</xdr:colOff>
                    <xdr:row>26</xdr:row>
                    <xdr:rowOff>236220</xdr:rowOff>
                  </to>
                </anchor>
              </controlPr>
            </control>
          </mc:Choice>
        </mc:AlternateContent>
        <mc:AlternateContent xmlns:mc="http://schemas.openxmlformats.org/markup-compatibility/2006">
          <mc:Choice Requires="x14">
            <control shapeId="1029" r:id="rId8" name="Option Button 5">
              <controlPr defaultSize="0" autoFill="0" autoLine="0" autoPict="0">
                <anchor moveWithCells="1">
                  <from>
                    <xdr:col>0</xdr:col>
                    <xdr:colOff>4130040</xdr:colOff>
                    <xdr:row>26</xdr:row>
                    <xdr:rowOff>22860</xdr:rowOff>
                  </from>
                  <to>
                    <xdr:col>0</xdr:col>
                    <xdr:colOff>5036820</xdr:colOff>
                    <xdr:row>26</xdr:row>
                    <xdr:rowOff>236220</xdr:rowOff>
                  </to>
                </anchor>
              </controlPr>
            </control>
          </mc:Choice>
        </mc:AlternateContent>
        <mc:AlternateContent xmlns:mc="http://schemas.openxmlformats.org/markup-compatibility/2006">
          <mc:Choice Requires="x14">
            <control shapeId="1030" r:id="rId9" name="Option Button 6">
              <controlPr defaultSize="0" autoFill="0" autoLine="0" autoPict="0">
                <anchor moveWithCells="1">
                  <from>
                    <xdr:col>0</xdr:col>
                    <xdr:colOff>91440</xdr:colOff>
                    <xdr:row>28</xdr:row>
                    <xdr:rowOff>22860</xdr:rowOff>
                  </from>
                  <to>
                    <xdr:col>0</xdr:col>
                    <xdr:colOff>1127760</xdr:colOff>
                    <xdr:row>28</xdr:row>
                    <xdr:rowOff>251460</xdr:rowOff>
                  </to>
                </anchor>
              </controlPr>
            </control>
          </mc:Choice>
        </mc:AlternateContent>
        <mc:AlternateContent xmlns:mc="http://schemas.openxmlformats.org/markup-compatibility/2006">
          <mc:Choice Requires="x14">
            <control shapeId="1031" r:id="rId10" name="Option Button 7">
              <controlPr defaultSize="0" autoFill="0" autoLine="0" autoPict="0">
                <anchor moveWithCells="1">
                  <from>
                    <xdr:col>0</xdr:col>
                    <xdr:colOff>1242060</xdr:colOff>
                    <xdr:row>28</xdr:row>
                    <xdr:rowOff>22860</xdr:rowOff>
                  </from>
                  <to>
                    <xdr:col>0</xdr:col>
                    <xdr:colOff>2148840</xdr:colOff>
                    <xdr:row>28</xdr:row>
                    <xdr:rowOff>236220</xdr:rowOff>
                  </to>
                </anchor>
              </controlPr>
            </control>
          </mc:Choice>
        </mc:AlternateContent>
        <mc:AlternateContent xmlns:mc="http://schemas.openxmlformats.org/markup-compatibility/2006">
          <mc:Choice Requires="x14">
            <control shapeId="1032" r:id="rId11" name="Option Button 8">
              <controlPr defaultSize="0" autoFill="0" autoLine="0" autoPict="0">
                <anchor moveWithCells="1">
                  <from>
                    <xdr:col>0</xdr:col>
                    <xdr:colOff>2011680</xdr:colOff>
                    <xdr:row>28</xdr:row>
                    <xdr:rowOff>22860</xdr:rowOff>
                  </from>
                  <to>
                    <xdr:col>0</xdr:col>
                    <xdr:colOff>3299460</xdr:colOff>
                    <xdr:row>28</xdr:row>
                    <xdr:rowOff>243840</xdr:rowOff>
                  </to>
                </anchor>
              </controlPr>
            </control>
          </mc:Choice>
        </mc:AlternateContent>
        <mc:AlternateContent xmlns:mc="http://schemas.openxmlformats.org/markup-compatibility/2006">
          <mc:Choice Requires="x14">
            <control shapeId="1033" r:id="rId12" name="Option Button 9">
              <controlPr defaultSize="0" autoFill="0" autoLine="0" autoPict="0">
                <anchor moveWithCells="1">
                  <from>
                    <xdr:col>0</xdr:col>
                    <xdr:colOff>3467100</xdr:colOff>
                    <xdr:row>28</xdr:row>
                    <xdr:rowOff>22860</xdr:rowOff>
                  </from>
                  <to>
                    <xdr:col>0</xdr:col>
                    <xdr:colOff>4373880</xdr:colOff>
                    <xdr:row>28</xdr:row>
                    <xdr:rowOff>236220</xdr:rowOff>
                  </to>
                </anchor>
              </controlPr>
            </control>
          </mc:Choice>
        </mc:AlternateContent>
        <mc:AlternateContent xmlns:mc="http://schemas.openxmlformats.org/markup-compatibility/2006">
          <mc:Choice Requires="x14">
            <control shapeId="1034" r:id="rId13" name="Option Button 10">
              <controlPr defaultSize="0" autoFill="0" autoLine="0" autoPict="0">
                <anchor moveWithCells="1">
                  <from>
                    <xdr:col>0</xdr:col>
                    <xdr:colOff>4130040</xdr:colOff>
                    <xdr:row>28</xdr:row>
                    <xdr:rowOff>22860</xdr:rowOff>
                  </from>
                  <to>
                    <xdr:col>0</xdr:col>
                    <xdr:colOff>5036820</xdr:colOff>
                    <xdr:row>28</xdr:row>
                    <xdr:rowOff>236220</xdr:rowOff>
                  </to>
                </anchor>
              </controlPr>
            </control>
          </mc:Choice>
        </mc:AlternateContent>
        <mc:AlternateContent xmlns:mc="http://schemas.openxmlformats.org/markup-compatibility/2006">
          <mc:Choice Requires="x14">
            <control shapeId="1035" r:id="rId14" name="Group Box 11">
              <controlPr defaultSize="0" autoFill="0" autoPict="0">
                <anchor moveWithCells="1">
                  <from>
                    <xdr:col>0</xdr:col>
                    <xdr:colOff>68580</xdr:colOff>
                    <xdr:row>26</xdr:row>
                    <xdr:rowOff>7620</xdr:rowOff>
                  </from>
                  <to>
                    <xdr:col>0</xdr:col>
                    <xdr:colOff>5242560</xdr:colOff>
                    <xdr:row>26</xdr:row>
                    <xdr:rowOff>266700</xdr:rowOff>
                  </to>
                </anchor>
              </controlPr>
            </control>
          </mc:Choice>
        </mc:AlternateContent>
        <mc:AlternateContent xmlns:mc="http://schemas.openxmlformats.org/markup-compatibility/2006">
          <mc:Choice Requires="x14">
            <control shapeId="1036" r:id="rId15" name="Group Box 12">
              <controlPr defaultSize="0" autoFill="0" autoPict="0">
                <anchor moveWithCells="1">
                  <from>
                    <xdr:col>0</xdr:col>
                    <xdr:colOff>53340</xdr:colOff>
                    <xdr:row>28</xdr:row>
                    <xdr:rowOff>7620</xdr:rowOff>
                  </from>
                  <to>
                    <xdr:col>0</xdr:col>
                    <xdr:colOff>5318760</xdr:colOff>
                    <xdr:row>28</xdr:row>
                    <xdr:rowOff>266700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2023-01-30T15:07:52Z</dcterms:created>
  <dcterms:modified xsi:type="dcterms:W3CDTF">2024-12-13T17:07:59Z</dcterms:modified>
</cp:coreProperties>
</file>