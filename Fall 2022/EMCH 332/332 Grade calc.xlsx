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CLASS-USC/Fall 2022/EMCH 332/"/>
    </mc:Choice>
  </mc:AlternateContent>
  <xr:revisionPtr revIDLastSave="217" documentId="8_{DD940D3F-75F7-42E8-BE62-41CF19B2AB74}" xr6:coauthVersionLast="47" xr6:coauthVersionMax="47" xr10:uidLastSave="{588708A7-3FC6-4854-8D6B-44BE30B741C7}"/>
  <bookViews>
    <workbookView xWindow="-108" yWindow="-108" windowWidth="23256" windowHeight="12456" xr2:uid="{5C2587C0-64DA-4E09-B6D4-0560DCF28D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F3" i="1"/>
  <c r="B11" i="1"/>
  <c r="E3" i="1" s="1"/>
  <c r="I3" i="1" l="1"/>
</calcChain>
</file>

<file path=xl/sharedStrings.xml><?xml version="1.0" encoding="utf-8"?>
<sst xmlns="http://schemas.openxmlformats.org/spreadsheetml/2006/main" count="26" uniqueCount="26">
  <si>
    <t>HW AVG Grade</t>
  </si>
  <si>
    <t>Lowest Exam</t>
  </si>
  <si>
    <t>Middle Exam</t>
  </si>
  <si>
    <t>Best Exam</t>
  </si>
  <si>
    <t>FINAL Grade: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</si>
  <si>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</si>
  <si>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</si>
  <si>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</si>
  <si>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</si>
  <si>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</si>
  <si>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</si>
  <si>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</si>
  <si>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</si>
  <si>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</si>
  <si>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 AVG</t>
  </si>
  <si>
    <t>Points:</t>
  </si>
  <si>
    <t>D</t>
  </si>
  <si>
    <t>C</t>
  </si>
  <si>
    <t>C+</t>
  </si>
  <si>
    <t>B</t>
  </si>
  <si>
    <t>HW10</t>
  </si>
  <si>
    <t>B+</t>
  </si>
  <si>
    <t>A</t>
  </si>
  <si>
    <t>Exam 1</t>
  </si>
  <si>
    <t>Exam 2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</si>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</sst>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2" borderId="0" xfId="0" applyFill="1"/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2387-3E71-4D09-8617-67361F1290F9}">
  <dimension ref="A1:I11"/>
  <sheetViews>
    <sheetView tabSelected="1" zoomScaleNormal="100" workbookViewId="0">
      <selection activeCell="E11" sqref="E11"/>
    </sheetView>
  </sheetViews>
  <sheetFormatPr defaultRowHeight="14.4" x14ac:dyDescent="0.3"/>
  <cols>
    <col min="5" max="5" width="13.88671875" customWidth="1"/>
    <col min="6" max="7" width="12.44140625" customWidth="1"/>
    <col min="8" max="8" width="10.5546875" customWidth="1"/>
    <col min="9" max="9" width="13.5546875" customWidth="1"/>
  </cols>
  <sheetData>
    <row r="1" spans="1:9" x14ac:dyDescent="0.3">
      <c r="A1" t="s">
        <v>5</v>
      </c>
      <c r="B1" s="1">
        <v>1</v>
      </c>
      <c r="D1" t="s">
        <v>15</v>
      </c>
      <c r="E1">
        <v>25</v>
      </c>
      <c r="F1">
        <v>15</v>
      </c>
      <c r="G1">
        <v>25</v>
      </c>
      <c r="H1">
        <v>35</v>
      </c>
    </row>
    <row r="2" spans="1:9" x14ac:dyDescent="0.3">
      <c r="A2" t="s">
        <v>6</v>
      </c>
      <c r="B2" s="1">
        <v>1</v>
      </c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</row>
    <row r="3" spans="1:9" x14ac:dyDescent="0.3">
      <c r="A3" t="s">
        <v>7</v>
      </c>
      <c r="B3" s="1">
        <v>0.81</v>
      </c>
      <c r="E3" s="3">
        <f>B11</f>
        <v>0.95299999999999996</v>
      </c>
      <c r="F3" s="3">
        <f>MIN(E8:E10)</f>
        <v>0.47</v>
      </c>
      <c r="G3" s="3">
        <f>MEDIAN(E8:E10)</f>
        <v>0.62</v>
      </c>
      <c r="H3" s="3">
        <f>MAX(E8:E10)</f>
        <v>0.74</v>
      </c>
      <c r="I3" s="2">
        <f>H3*H1+G3*G1+F3*F1+E3*E1</f>
        <v>72.274999999999991</v>
      </c>
    </row>
    <row r="4" spans="1:9" x14ac:dyDescent="0.3">
      <c r="A4" t="s">
        <v>8</v>
      </c>
      <c r="B4" s="1">
        <v>0.74</v>
      </c>
    </row>
    <row r="5" spans="1:9" x14ac:dyDescent="0.3">
      <c r="A5" t="s">
        <v>9</v>
      </c>
      <c r="B5" s="1">
        <v>0.98</v>
      </c>
      <c r="G5">
        <v>19</v>
      </c>
      <c r="H5" t="s">
        <v>16</v>
      </c>
    </row>
    <row r="6" spans="1:9" x14ac:dyDescent="0.3">
      <c r="A6" t="s">
        <v>10</v>
      </c>
      <c r="B6" s="1">
        <v>1</v>
      </c>
      <c r="G6">
        <v>68</v>
      </c>
      <c r="H6" t="s">
        <v>17</v>
      </c>
    </row>
    <row r="7" spans="1:9" x14ac:dyDescent="0.3">
      <c r="A7" t="s">
        <v>11</v>
      </c>
      <c r="B7" s="1">
        <v>1</v>
      </c>
      <c r="G7">
        <v>88</v>
      </c>
      <c r="H7" t="s">
        <v>18</v>
      </c>
    </row>
    <row r="8" spans="1:9" x14ac:dyDescent="0.3">
      <c r="A8" t="s">
        <v>12</v>
      </c>
      <c r="B8" s="1">
        <v>1</v>
      </c>
      <c r="D8" t="s">
        <v>23</v>
      </c>
      <c r="E8" s="1">
        <v>0.47</v>
      </c>
      <c r="G8">
        <v>97</v>
      </c>
      <c r="H8" t="s">
        <v>19</v>
      </c>
    </row>
    <row r="9" spans="1:9" x14ac:dyDescent="0.3">
      <c r="A9" t="s">
        <v>13</v>
      </c>
      <c r="B9" s="1">
        <v>1</v>
      </c>
      <c r="D9" t="s">
        <v>24</v>
      </c>
      <c r="E9" s="1">
        <v>0.62</v>
      </c>
      <c r="G9">
        <v>117</v>
      </c>
      <c r="H9" t="s">
        <v>21</v>
      </c>
    </row>
    <row r="10" spans="1:9" x14ac:dyDescent="0.3">
      <c r="A10" t="s">
        <v>20</v>
      </c>
      <c r="B10" s="1">
        <v>1</v>
      </c>
      <c r="D10" t="s">
        <v>25</v>
      </c>
      <c r="E10" s="1">
        <v>0.74</v>
      </c>
      <c r="G10">
        <v>125</v>
      </c>
      <c r="H10" t="s">
        <v>22</v>
      </c>
    </row>
    <row r="11" spans="1:9" x14ac:dyDescent="0.3">
      <c r="A11" s="2" t="s">
        <v>14</v>
      </c>
      <c r="B11" s="3">
        <f>AVERAGE(B1:B10)</f>
        <v>0.95299999999999996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583B8-D6B6-4B9C-912B-A6BFB33386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0679FB-7A32-4813-9A1F-B5530AD44BE2}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593646a3-f4b2-4797-891f-a58c41aec49e"/>
    <ds:schemaRef ds:uri="27638313-1e11-4999-9038-bfa2141b377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BB22538-B83A-47EF-9AE0-86A6ED28B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</dc:creator>
  <cp:keywords/>
  <dc:description/>
  <cp:lastModifiedBy>Vaught, Jacob</cp:lastModifiedBy>
  <cp:revision/>
  <dcterms:created xsi:type="dcterms:W3CDTF">2022-10-17T20:27:15Z</dcterms:created>
  <dcterms:modified xsi:type="dcterms:W3CDTF">2022-12-14T23:09:51Z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