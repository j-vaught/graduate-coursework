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0" documentId="8_{0A9BF3CA-9A25-414C-8B90-3294FA38B5A2}" xr6:coauthVersionLast="47" xr6:coauthVersionMax="47" xr10:uidLastSave="{00000000-0000-0000-0000-000000000000}"/>
  <bookViews>
    <workbookView xWindow="-108" yWindow="-108" windowWidth="23256" windowHeight="12456" xr2:uid="{FB2D32D1-48F3-4C86-9FE9-7D514A0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J8" i="1"/>
  <c r="I8" i="1"/>
  <c r="H8" i="1"/>
  <c r="C8" i="1"/>
  <c r="D8" i="1" s="1"/>
  <c r="E8" i="1" s="1"/>
  <c r="K7" i="1"/>
  <c r="J7" i="1"/>
  <c r="I7" i="1"/>
  <c r="H7" i="1"/>
  <c r="C7" i="1"/>
  <c r="D7" i="1" s="1"/>
  <c r="E7" i="1" s="1"/>
  <c r="K6" i="1"/>
  <c r="J6" i="1"/>
  <c r="I6" i="1"/>
  <c r="H6" i="1"/>
  <c r="C6" i="1"/>
  <c r="D6" i="1" s="1"/>
  <c r="E6" i="1" s="1"/>
  <c r="K5" i="1"/>
  <c r="J5" i="1"/>
  <c r="I5" i="1"/>
  <c r="H5" i="1"/>
  <c r="C5" i="1"/>
  <c r="D5" i="1" s="1"/>
  <c r="E5" i="1" s="1"/>
  <c r="K4" i="1"/>
  <c r="J4" i="1"/>
  <c r="I4" i="1"/>
  <c r="H4" i="1"/>
  <c r="C4" i="1"/>
  <c r="D4" i="1" s="1"/>
  <c r="E4" i="1" s="1"/>
  <c r="K3" i="1"/>
  <c r="J3" i="1"/>
  <c r="I3" i="1"/>
  <c r="H3" i="1"/>
  <c r="C3" i="1"/>
  <c r="D3" i="1" s="1"/>
  <c r="E3" i="1" s="1"/>
  <c r="K2" i="1"/>
  <c r="J2" i="1"/>
  <c r="I2" i="1"/>
  <c r="H2" i="1"/>
  <c r="C2" i="1"/>
  <c r="D2" i="1" s="1"/>
  <c r="E2" i="1" s="1"/>
</calcChain>
</file>

<file path=xl/sharedStrings.xml><?xml version="1.0" encoding="utf-8"?>
<sst xmlns="http://schemas.openxmlformats.org/spreadsheetml/2006/main" count="14" uniqueCount="14">
  <si>
    <t>Rth</t>
  </si>
  <si>
    <t>Vout</t>
  </si>
  <si>
    <t>Rlower</t>
  </si>
  <si>
    <t>Rupper</t>
  </si>
  <si>
    <t>RLstandard</t>
  </si>
  <si>
    <t>RUstandard</t>
  </si>
  <si>
    <t>Tstandard error</t>
  </si>
  <si>
    <t>T(-5%) error</t>
  </si>
  <si>
    <t>T(5%) error</t>
  </si>
  <si>
    <t>T(C0)</t>
  </si>
  <si>
    <t>this is room temperature</t>
  </si>
  <si>
    <t>This is maximmum temerature on some water heaters</t>
  </si>
  <si>
    <t>this is a comfortable temperature for showers</t>
  </si>
  <si>
    <t>This isa goo temperature for washing dishes and clothes.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</si>
</sst>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9" fontId="1" fillId="2" borderId="0" xfId="1" applyNumberFormat="1"/>
    <xf numFmtId="0" fontId="1" fillId="2" borderId="0" xfId="1"/>
    <xf numFmtId="9" fontId="1" fillId="3" borderId="0" xfId="2" applyNumberFormat="1"/>
    <xf numFmtId="0" fontId="1" fillId="3" borderId="0" xfId="2"/>
  </cellXfs>
  <cellStyles count="3">
    <cellStyle name="40% - Accent4" xfId="1" builtinId="43"/>
    <cellStyle name="40% - Accent5" xfId="2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9E68-5834-4F0B-B658-A8C60E34A96B}">
  <dimension ref="A1:K23"/>
  <sheetViews>
    <sheetView tabSelected="1" zoomScaleNormal="100" workbookViewId="0">
      <selection activeCell="C14" sqref="C14:D14"/>
    </sheetView>
  </sheetViews>
  <sheetFormatPr defaultRowHeight="14.4" x14ac:dyDescent="0.3"/>
  <cols>
    <col min="1" max="1" width="4.77734375" customWidth="1"/>
    <col min="2" max="2" width="13.77734375" customWidth="1"/>
    <col min="3" max="3" width="9.109375" customWidth="1"/>
    <col min="4" max="4" width="12.5546875" customWidth="1"/>
    <col min="6" max="6" width="9.77734375" customWidth="1"/>
    <col min="7" max="7" width="10.21875" customWidth="1"/>
    <col min="8" max="9" width="5.88671875" customWidth="1"/>
    <col min="10" max="10" width="6" customWidth="1"/>
    <col min="11" max="11" width="6.109375" customWidth="1"/>
  </cols>
  <sheetData>
    <row r="1" spans="1:11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8">
        <v>-0.05</v>
      </c>
      <c r="I1" s="8">
        <v>-0.05</v>
      </c>
      <c r="J1" s="10">
        <v>0.05</v>
      </c>
      <c r="K1" s="10">
        <v>0.05</v>
      </c>
    </row>
    <row r="2" spans="1:11" x14ac:dyDescent="0.3">
      <c r="A2" s="4">
        <v>20</v>
      </c>
      <c r="B2">
        <v>12488</v>
      </c>
      <c r="C2">
        <f>5*10000/(B2+10000)</f>
        <v>2.2234080398434721</v>
      </c>
      <c r="D2">
        <f>C2*100000/5</f>
        <v>44468.160796869444</v>
      </c>
      <c r="E2">
        <f t="shared" ref="E2:E8" si="0">100000-D2</f>
        <v>55531.839203130556</v>
      </c>
      <c r="F2" s="4">
        <v>47</v>
      </c>
      <c r="G2" s="4">
        <v>56</v>
      </c>
      <c r="H2" s="9">
        <f>F2*1.05</f>
        <v>49.35</v>
      </c>
      <c r="I2" s="9">
        <f>G2*1.05</f>
        <v>58.800000000000004</v>
      </c>
      <c r="J2" s="11">
        <f>F2*0.95</f>
        <v>44.65</v>
      </c>
      <c r="K2" s="11">
        <f>G2*0.95</f>
        <v>53.199999999999996</v>
      </c>
    </row>
    <row r="3" spans="1:11" x14ac:dyDescent="0.3">
      <c r="A3" s="1">
        <v>25</v>
      </c>
      <c r="B3">
        <v>10000</v>
      </c>
      <c r="C3">
        <f>5*10000/(B3+10000)</f>
        <v>2.5</v>
      </c>
      <c r="D3">
        <f>C3*100000/5</f>
        <v>50000</v>
      </c>
      <c r="E3">
        <f t="shared" si="0"/>
        <v>50000</v>
      </c>
      <c r="F3" s="1">
        <v>47</v>
      </c>
      <c r="G3" s="1">
        <v>47</v>
      </c>
      <c r="H3" s="9">
        <f t="shared" ref="H3:I8" si="1">F3*1.05</f>
        <v>49.35</v>
      </c>
      <c r="I3" s="9">
        <f t="shared" si="1"/>
        <v>49.35</v>
      </c>
      <c r="J3" s="11">
        <f t="shared" ref="J3:K8" si="2">F3*0.95</f>
        <v>44.65</v>
      </c>
      <c r="K3" s="11">
        <f t="shared" si="2"/>
        <v>44.65</v>
      </c>
    </row>
    <row r="4" spans="1:11" x14ac:dyDescent="0.3">
      <c r="A4" s="2">
        <v>30</v>
      </c>
      <c r="B4">
        <v>8059</v>
      </c>
      <c r="C4">
        <f>5*10000/(B4+10000)</f>
        <v>2.7687025859682155</v>
      </c>
      <c r="D4">
        <f>C4*100000/5</f>
        <v>55374.051719364317</v>
      </c>
      <c r="E4">
        <f t="shared" si="0"/>
        <v>44625.948280635683</v>
      </c>
      <c r="F4" s="2">
        <v>56</v>
      </c>
      <c r="G4" s="2">
        <v>47</v>
      </c>
      <c r="H4" s="9">
        <f t="shared" si="1"/>
        <v>58.800000000000004</v>
      </c>
      <c r="I4" s="9">
        <f t="shared" si="1"/>
        <v>49.35</v>
      </c>
      <c r="J4" s="11">
        <f t="shared" si="2"/>
        <v>53.199999999999996</v>
      </c>
      <c r="K4" s="11">
        <f t="shared" si="2"/>
        <v>44.65</v>
      </c>
    </row>
    <row r="5" spans="1:11" x14ac:dyDescent="0.3">
      <c r="A5" s="3">
        <v>35</v>
      </c>
      <c r="B5">
        <v>6535</v>
      </c>
      <c r="C5">
        <f>5*10000/(B5+10000)</f>
        <v>3.0238887208950711</v>
      </c>
      <c r="D5">
        <f>C5*100000/5</f>
        <v>60477.774417901426</v>
      </c>
      <c r="E5">
        <f t="shared" si="0"/>
        <v>39522.225582098574</v>
      </c>
      <c r="F5" s="3">
        <v>56</v>
      </c>
      <c r="G5" s="3">
        <v>39</v>
      </c>
      <c r="H5" s="9">
        <f t="shared" si="1"/>
        <v>58.800000000000004</v>
      </c>
      <c r="I5" s="9">
        <f t="shared" si="1"/>
        <v>40.950000000000003</v>
      </c>
      <c r="J5" s="11">
        <f t="shared" si="2"/>
        <v>53.199999999999996</v>
      </c>
      <c r="K5" s="11">
        <f t="shared" si="2"/>
        <v>37.049999999999997</v>
      </c>
    </row>
    <row r="6" spans="1:11" x14ac:dyDescent="0.3">
      <c r="A6" s="5">
        <v>40</v>
      </c>
      <c r="B6">
        <v>5330</v>
      </c>
      <c r="C6">
        <f>5*10000/(B6+10000)</f>
        <v>3.2615786040443573</v>
      </c>
      <c r="D6">
        <f>C6*100000/5</f>
        <v>65231.572080887141</v>
      </c>
      <c r="E6">
        <f t="shared" si="0"/>
        <v>34768.427919112859</v>
      </c>
      <c r="F6" s="5">
        <v>68</v>
      </c>
      <c r="G6" s="5">
        <v>33</v>
      </c>
      <c r="H6" s="9">
        <f t="shared" si="1"/>
        <v>71.400000000000006</v>
      </c>
      <c r="I6" s="9">
        <f t="shared" si="1"/>
        <v>34.65</v>
      </c>
      <c r="J6" s="11">
        <f t="shared" si="2"/>
        <v>64.599999999999994</v>
      </c>
      <c r="K6" s="11">
        <f t="shared" si="2"/>
        <v>31.349999999999998</v>
      </c>
    </row>
    <row r="7" spans="1:11" x14ac:dyDescent="0.3">
      <c r="A7" s="6">
        <v>45</v>
      </c>
      <c r="B7">
        <v>4372</v>
      </c>
      <c r="C7">
        <f>5*10000/(B7+10000)</f>
        <v>3.4789869190091847</v>
      </c>
      <c r="D7">
        <f>C7*100000/5</f>
        <v>69579.738380183699</v>
      </c>
      <c r="E7">
        <f t="shared" si="0"/>
        <v>30420.261619816301</v>
      </c>
      <c r="F7" s="6">
        <v>68</v>
      </c>
      <c r="G7" s="6">
        <v>27</v>
      </c>
      <c r="H7" s="9">
        <f t="shared" si="1"/>
        <v>71.400000000000006</v>
      </c>
      <c r="I7" s="9">
        <f t="shared" si="1"/>
        <v>28.35</v>
      </c>
      <c r="J7" s="11">
        <f t="shared" si="2"/>
        <v>64.599999999999994</v>
      </c>
      <c r="K7" s="11">
        <f t="shared" si="2"/>
        <v>25.65</v>
      </c>
    </row>
    <row r="8" spans="1:11" x14ac:dyDescent="0.3">
      <c r="A8" s="7">
        <v>50</v>
      </c>
      <c r="B8">
        <v>3605</v>
      </c>
      <c r="C8">
        <f>5*10000/(B8+10000)</f>
        <v>3.6751194413818449</v>
      </c>
      <c r="D8">
        <f>C8*100000/5</f>
        <v>73502.388827636896</v>
      </c>
      <c r="E8">
        <f t="shared" si="0"/>
        <v>26497.611172363104</v>
      </c>
      <c r="F8" s="7">
        <v>68</v>
      </c>
      <c r="G8" s="7">
        <v>27</v>
      </c>
      <c r="H8" s="9">
        <f t="shared" si="1"/>
        <v>71.400000000000006</v>
      </c>
      <c r="I8" s="9">
        <f t="shared" si="1"/>
        <v>28.35</v>
      </c>
      <c r="J8" s="11">
        <f t="shared" si="2"/>
        <v>64.599999999999994</v>
      </c>
      <c r="K8" s="11">
        <f t="shared" si="2"/>
        <v>25.65</v>
      </c>
    </row>
    <row r="10" spans="1:11" x14ac:dyDescent="0.3">
      <c r="B10" t="s">
        <v>6</v>
      </c>
      <c r="C10" t="s">
        <v>7</v>
      </c>
      <c r="D10" t="s">
        <v>8</v>
      </c>
    </row>
    <row r="11" spans="1:11" x14ac:dyDescent="0.3">
      <c r="B11">
        <v>0.93741735879332566</v>
      </c>
      <c r="C11">
        <v>3.343695037518799</v>
      </c>
      <c r="D11">
        <v>1.4280922395626447</v>
      </c>
    </row>
    <row r="12" spans="1:11" x14ac:dyDescent="0.3">
      <c r="B12">
        <v>0.16532812499998784</v>
      </c>
      <c r="C12">
        <v>2.5984633148193694</v>
      </c>
      <c r="D12">
        <v>2.2592797821044002</v>
      </c>
    </row>
    <row r="13" spans="1:11" x14ac:dyDescent="0.3">
      <c r="B13">
        <v>0.57920335136942924</v>
      </c>
      <c r="C13">
        <v>1.8342451824056099</v>
      </c>
      <c r="D13">
        <v>3.008290792292641</v>
      </c>
    </row>
    <row r="14" spans="1:11" x14ac:dyDescent="0.3">
      <c r="B14">
        <v>1.0973122633072165</v>
      </c>
      <c r="C14">
        <v>1.2757710081070428</v>
      </c>
      <c r="D14">
        <v>3.492041118574079</v>
      </c>
    </row>
    <row r="15" spans="1:11" x14ac:dyDescent="0.3">
      <c r="B15">
        <v>2.4290706446624455</v>
      </c>
      <c r="C15">
        <v>4.8161831440130101</v>
      </c>
      <c r="D15">
        <v>6.7530347233642374E-2</v>
      </c>
    </row>
    <row r="16" spans="1:11" x14ac:dyDescent="0.3">
      <c r="B16">
        <v>2.2607127545939107</v>
      </c>
      <c r="C16">
        <v>4.7564767823971152</v>
      </c>
      <c r="D16">
        <v>0.17170339335591223</v>
      </c>
    </row>
    <row r="17" spans="2:4" x14ac:dyDescent="0.3">
      <c r="B17">
        <v>2.7392872454060893</v>
      </c>
      <c r="C17">
        <v>0.24352321760288476</v>
      </c>
      <c r="D17">
        <v>5.1717033933559122</v>
      </c>
    </row>
    <row r="20" spans="2:4" x14ac:dyDescent="0.3">
      <c r="B20">
        <v>20</v>
      </c>
      <c r="C20" t="s">
        <v>10</v>
      </c>
    </row>
    <row r="21" spans="2:4" x14ac:dyDescent="0.3">
      <c r="B21">
        <v>30</v>
      </c>
      <c r="C21" t="s">
        <v>13</v>
      </c>
    </row>
    <row r="22" spans="2:4" x14ac:dyDescent="0.3">
      <c r="B22">
        <v>40</v>
      </c>
      <c r="C22" t="s">
        <v>12</v>
      </c>
    </row>
    <row r="23" spans="2:4" x14ac:dyDescent="0.3">
      <c r="B23">
        <v>50</v>
      </c>
      <c r="C23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5830C9-0468-4E64-BE2D-6B55564883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43C154-928F-4962-8616-C6135AE279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F98F15-E264-439B-A539-8031F6A83CBE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27638313-1e11-4999-9038-bfa2141b3777"/>
    <ds:schemaRef ds:uri="http://schemas.openxmlformats.org/package/2006/metadata/core-properties"/>
    <ds:schemaRef ds:uri="593646a3-f4b2-4797-891f-a58c41aec49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</cp:lastModifiedBy>
  <dcterms:created xsi:type="dcterms:W3CDTF">2022-09-27T19:37:14Z</dcterms:created>
  <dcterms:modified xsi:type="dcterms:W3CDTF">2022-09-28T03:52:31Z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