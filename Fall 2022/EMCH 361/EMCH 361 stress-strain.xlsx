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ob\Documents\"/>
    </mc:Choice>
  </mc:AlternateContent>
  <xr:revisionPtr revIDLastSave="0" documentId="13_ncr:1_{11C65549-9CA7-41B6-B257-2506ACBD0753}" xr6:coauthVersionLast="47" xr6:coauthVersionMax="47" xr10:uidLastSave="{00000000-0000-0000-0000-000000000000}"/>
  <bookViews>
    <workbookView xWindow="8688" yWindow="-48" windowWidth="13152" windowHeight="8880" xr2:uid="{46411739-CF91-408D-8064-09D867BE19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15" i="1"/>
  <c r="C15" i="1"/>
  <c r="A15" i="1"/>
  <c r="C4" i="1"/>
  <c r="C5" i="1" s="1"/>
  <c r="D4" i="1"/>
  <c r="D5" i="1" s="1"/>
  <c r="E4" i="1"/>
  <c r="E5" i="1" s="1"/>
  <c r="F4" i="1"/>
  <c r="F5" i="1" s="1"/>
  <c r="G4" i="1"/>
  <c r="G5" i="1" s="1"/>
  <c r="H4" i="1"/>
  <c r="H5" i="1" s="1"/>
  <c r="B4" i="1"/>
  <c r="B5" i="1" s="1"/>
  <c r="A18" i="1" l="1"/>
  <c r="H6" i="1" s="1"/>
  <c r="E6" i="1"/>
  <c r="C6" i="1" l="1"/>
  <c r="D6" i="1"/>
  <c r="F6" i="1"/>
  <c r="G6" i="1"/>
  <c r="G7" i="1" s="1"/>
  <c r="G9" i="1" s="1"/>
  <c r="B6" i="1"/>
  <c r="B7" i="1" s="1"/>
  <c r="B9" i="1" s="1"/>
  <c r="B24" i="1" s="1"/>
  <c r="F7" i="1"/>
  <c r="F9" i="1" s="1"/>
  <c r="F8" i="1"/>
  <c r="C7" i="1"/>
  <c r="C9" i="1" s="1"/>
  <c r="C8" i="1"/>
  <c r="D7" i="1"/>
  <c r="D9" i="1" s="1"/>
  <c r="D8" i="1"/>
  <c r="E7" i="1"/>
  <c r="E9" i="1" s="1"/>
  <c r="E8" i="1"/>
  <c r="B8" i="1"/>
  <c r="H7" i="1"/>
  <c r="H9" i="1" s="1"/>
  <c r="H8" i="1"/>
  <c r="G8" i="1" l="1"/>
  <c r="B23" i="1"/>
  <c r="B25" i="1" s="1"/>
  <c r="B22" i="1"/>
</calcChain>
</file>

<file path=xl/sharedStrings.xml><?xml version="1.0" encoding="utf-8"?>
<sst xmlns="http://schemas.openxmlformats.org/spreadsheetml/2006/main" count="38" uniqueCount="23">
  <si>
    <t>Force(lb)</t>
  </si>
  <si>
    <t>Strain(u)</t>
  </si>
  <si>
    <t>Force(N)</t>
  </si>
  <si>
    <t>Moment(N*m)</t>
  </si>
  <si>
    <t>Length of Bar(in)</t>
  </si>
  <si>
    <t>Width of Bar(in)</t>
  </si>
  <si>
    <t>Height of Bar(in)</t>
  </si>
  <si>
    <t>Moment of Inertia</t>
  </si>
  <si>
    <t>Stress(Pa)</t>
  </si>
  <si>
    <t>E(Pa)</t>
  </si>
  <si>
    <t>Stress(MPa)</t>
  </si>
  <si>
    <t>E(GPa)</t>
  </si>
  <si>
    <t>Length of Bar(m)</t>
  </si>
  <si>
    <t>Width of Bar(m)</t>
  </si>
  <si>
    <t>Height of Bar(m)</t>
  </si>
  <si>
    <t>Mean:</t>
  </si>
  <si>
    <t>Standard Deviation:</t>
  </si>
  <si>
    <t>Confidence</t>
  </si>
  <si>
    <t>Confidence Interval</t>
  </si>
  <si>
    <t>confidence level</t>
  </si>
  <si>
    <t>confidence significance</t>
  </si>
  <si>
    <t>sample size</t>
  </si>
  <si>
    <t>73.067+/-0.2207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</si>
</sst>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"/>
    <numFmt numFmtId="167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/>
    <xf numFmtId="0" fontId="1" fillId="0" borderId="6" xfId="0" applyFont="1" applyBorder="1"/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9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</a:t>
            </a:r>
            <a:r>
              <a:rPr lang="en-US" baseline="0"/>
              <a:t> vs. Strain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0293993894413015E-2"/>
                  <c:y val="-7.259963098338931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Sheet1!$B$3:$H$3</c:f>
              <c:numCache>
                <c:formatCode>General</c:formatCode>
                <c:ptCount val="7"/>
                <c:pt idx="0">
                  <c:v>332.89271300000001</c:v>
                </c:pt>
                <c:pt idx="1">
                  <c:v>391.06606599999998</c:v>
                </c:pt>
                <c:pt idx="2">
                  <c:v>454.10482000000002</c:v>
                </c:pt>
                <c:pt idx="3">
                  <c:v>522.07948899999997</c:v>
                </c:pt>
                <c:pt idx="4">
                  <c:v>583.99001999999996</c:v>
                </c:pt>
                <c:pt idx="5">
                  <c:v>590.12466300000006</c:v>
                </c:pt>
                <c:pt idx="6">
                  <c:v>656.33648800000003</c:v>
                </c:pt>
              </c:numCache>
            </c:numRef>
          </c:xVal>
          <c:yVal>
            <c:numRef>
              <c:f>Sheet1!$B$8:$H$8</c:f>
              <c:numCache>
                <c:formatCode>General</c:formatCode>
                <c:ptCount val="7"/>
                <c:pt idx="0">
                  <c:v>24.028200510103012</c:v>
                </c:pt>
                <c:pt idx="1">
                  <c:v>28.634779150723364</c:v>
                </c:pt>
                <c:pt idx="2">
                  <c:v>33.391190023721592</c:v>
                </c:pt>
                <c:pt idx="3">
                  <c:v>38.105972889410005</c:v>
                </c:pt>
                <c:pt idx="4">
                  <c:v>42.894170689569819</c:v>
                </c:pt>
                <c:pt idx="5">
                  <c:v>43.001660066200955</c:v>
                </c:pt>
                <c:pt idx="6">
                  <c:v>48.062906140981987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F6-449B-99D9-4CE5942A6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422847"/>
        <c:axId val="873420767"/>
      </c:scatterChart>
      <c:valAx>
        <c:axId val="873422847"/>
        <c:scaling>
          <c:orientation val="minMax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Strain(10^-6)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420767"/>
        <c:crosses val="autoZero"/>
        <c:crossBetween val="midCat"/>
      </c:valAx>
      <c:valAx>
        <c:axId val="87342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Stress(MPa)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422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686613</xdr:colOff>
      <xdr:row>7</xdr:row>
      <xdr:rowOff>148596</xdr:rowOff>
    </xdr:from>
    <xdr:to>
      <xdr:col>8</xdr:col>
      <xdr:colOff>733824</xdr:colOff>
      <xdr:row>22</xdr:row>
      <xdr:rowOff>27164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D340F1-A4F5-3067-8C87-E085B0CF1F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9191F2-750C-4931-9156-FB16D32B8579}" name="Table1" displayName="Table1" ref="J2:Q9" totalsRowShown="0" headerRowDxfId="0">
  <autoFilter ref="J2:Q9" xr:uid="{509191F2-750C-4931-9156-FB16D32B8579}"/>
  <tableColumns count="8">
    <tableColumn id="1" xr3:uid="{2C4E2AC7-23AE-40D9-B6E4-464813D29654}" name="Force(lb)"/>
    <tableColumn id="2" xr3:uid="{7713D585-58D0-4F60-BC78-9E1D385C392C}" name="Strain(u)"/>
    <tableColumn id="3" xr3:uid="{C13FD4A8-C8E6-485D-A341-FF3D328C8179}" name="Force(N)"/>
    <tableColumn id="4" xr3:uid="{36DFFB00-52CB-47F0-AB96-E2AAF0E2C143}" name="Moment(N*m)"/>
    <tableColumn id="5" xr3:uid="{9871B83E-C714-439B-8108-439693BC7A54}" name="Stress(Pa)"/>
    <tableColumn id="6" xr3:uid="{85C94BA2-D6E4-48E0-82FA-CB21A85CC07F}" name="E(Pa)"/>
    <tableColumn id="7" xr3:uid="{68ECE009-524B-4B05-A352-F7FB9883833C}" name="Stress(MPa)"/>
    <tableColumn id="8" xr3:uid="{532418AA-3617-4174-91C8-604ECB6D0153}" name="E(GPa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CAB6-E9F9-4490-BBAF-48CB66282516}">
  <dimension ref="A2:Q26"/>
  <sheetViews>
    <sheetView tabSelected="1" zoomScale="85" zoomScaleNormal="85" workbookViewId="0">
      <selection activeCell="A20" sqref="A20:B26"/>
    </sheetView>
  </sheetViews>
  <sheetFormatPr defaultRowHeight="14.4" x14ac:dyDescent="0.3"/>
  <cols>
    <col min="1" max="1" width="20.88671875" customWidth="1"/>
    <col min="2" max="2" width="14.33203125" customWidth="1"/>
    <col min="3" max="4" width="12" bestFit="1" customWidth="1"/>
    <col min="5" max="5" width="10.33203125" customWidth="1"/>
    <col min="6" max="8" width="12" bestFit="1" customWidth="1"/>
    <col min="9" max="9" width="16.21875" bestFit="1" customWidth="1"/>
    <col min="10" max="10" width="14.21875" bestFit="1" customWidth="1"/>
    <col min="11" max="11" width="14.5546875" bestFit="1" customWidth="1"/>
    <col min="12" max="12" width="12.33203125" bestFit="1" customWidth="1"/>
    <col min="13" max="13" width="15.109375" customWidth="1"/>
    <col min="14" max="15" width="12.33203125" bestFit="1" customWidth="1"/>
    <col min="16" max="16" width="12.5546875" customWidth="1"/>
    <col min="17" max="17" width="12.21875" bestFit="1" customWidth="1"/>
  </cols>
  <sheetData>
    <row r="2" spans="1:17" x14ac:dyDescent="0.3">
      <c r="A2" t="s">
        <v>0</v>
      </c>
      <c r="B2">
        <v>1.0083899999999999</v>
      </c>
      <c r="C2">
        <v>1.2017139999999999</v>
      </c>
      <c r="D2">
        <v>1.4013260000000001</v>
      </c>
      <c r="E2">
        <v>1.599191</v>
      </c>
      <c r="F2">
        <v>1.8001370000000001</v>
      </c>
      <c r="G2">
        <v>1.804648</v>
      </c>
      <c r="H2">
        <v>2.0170530000000002</v>
      </c>
      <c r="J2" s="1" t="s">
        <v>0</v>
      </c>
      <c r="K2" s="1" t="s">
        <v>1</v>
      </c>
      <c r="L2" s="1" t="s">
        <v>2</v>
      </c>
      <c r="M2" s="1" t="s">
        <v>3</v>
      </c>
      <c r="N2" s="1" t="s">
        <v>8</v>
      </c>
      <c r="O2" s="1" t="s">
        <v>9</v>
      </c>
      <c r="P2" s="1" t="s">
        <v>10</v>
      </c>
      <c r="Q2" s="1" t="s">
        <v>11</v>
      </c>
    </row>
    <row r="3" spans="1:17" x14ac:dyDescent="0.3">
      <c r="A3" t="s">
        <v>1</v>
      </c>
      <c r="B3">
        <v>332.89271300000001</v>
      </c>
      <c r="C3">
        <v>391.06606599999998</v>
      </c>
      <c r="D3">
        <v>454.10482000000002</v>
      </c>
      <c r="E3">
        <v>522.07948899999997</v>
      </c>
      <c r="F3">
        <v>583.99001999999996</v>
      </c>
      <c r="G3">
        <v>590.12466300000006</v>
      </c>
      <c r="H3">
        <v>656.33648800000003</v>
      </c>
      <c r="J3">
        <v>1.0083899999999999</v>
      </c>
      <c r="K3">
        <v>332.89271300000001</v>
      </c>
      <c r="L3">
        <v>4.4855421993917997</v>
      </c>
      <c r="M3">
        <v>1.0253949467809653</v>
      </c>
      <c r="N3">
        <v>24028200.510103013</v>
      </c>
      <c r="O3">
        <v>72180013475.101242</v>
      </c>
      <c r="P3">
        <v>24.028200510103012</v>
      </c>
      <c r="Q3">
        <v>72.180013475101248</v>
      </c>
    </row>
    <row r="4" spans="1:17" x14ac:dyDescent="0.3">
      <c r="A4" t="s">
        <v>2</v>
      </c>
      <c r="B4">
        <f>B2*4.44822162</f>
        <v>4.4855421993917997</v>
      </c>
      <c r="C4">
        <f t="shared" ref="C4:H4" si="0">C2*4.44822162</f>
        <v>5.3454901958566801</v>
      </c>
      <c r="D4">
        <f t="shared" si="0"/>
        <v>6.2334086098681203</v>
      </c>
      <c r="E4">
        <f t="shared" si="0"/>
        <v>7.1135559807094202</v>
      </c>
      <c r="F4">
        <f t="shared" si="0"/>
        <v>8.0074083223619397</v>
      </c>
      <c r="G4">
        <f t="shared" si="0"/>
        <v>8.0274742500897602</v>
      </c>
      <c r="H4">
        <f t="shared" si="0"/>
        <v>8.9722987632858615</v>
      </c>
      <c r="J4">
        <v>1.2017139999999999</v>
      </c>
      <c r="K4">
        <v>391.06606599999998</v>
      </c>
      <c r="L4">
        <v>5.3454901958566801</v>
      </c>
      <c r="M4">
        <v>1.221979058772837</v>
      </c>
      <c r="N4">
        <v>28634779.150723364</v>
      </c>
      <c r="O4">
        <v>73222357141.883453</v>
      </c>
      <c r="P4">
        <v>28.634779150723364</v>
      </c>
      <c r="Q4">
        <v>73.22235714188345</v>
      </c>
    </row>
    <row r="5" spans="1:17" x14ac:dyDescent="0.3">
      <c r="A5" t="s">
        <v>3</v>
      </c>
      <c r="B5">
        <f>0.2286*B4</f>
        <v>1.0253949467809653</v>
      </c>
      <c r="C5">
        <f t="shared" ref="C5:H5" si="1">0.2286*C4</f>
        <v>1.221979058772837</v>
      </c>
      <c r="D5">
        <f t="shared" si="1"/>
        <v>1.4249572082158524</v>
      </c>
      <c r="E5">
        <f t="shared" si="1"/>
        <v>1.6261588971901735</v>
      </c>
      <c r="F5">
        <f t="shared" si="1"/>
        <v>1.8304935424919393</v>
      </c>
      <c r="G5">
        <f t="shared" si="1"/>
        <v>1.8350806135705191</v>
      </c>
      <c r="H5">
        <f t="shared" si="1"/>
        <v>2.0510674972871481</v>
      </c>
      <c r="J5">
        <v>1.4013260000000001</v>
      </c>
      <c r="K5">
        <v>454.10482000000002</v>
      </c>
      <c r="L5">
        <v>6.2334086098681203</v>
      </c>
      <c r="M5">
        <v>1.4249572082158524</v>
      </c>
      <c r="N5">
        <v>33391190.023721594</v>
      </c>
      <c r="O5">
        <v>73531899581.514221</v>
      </c>
      <c r="P5">
        <v>33.391190023721592</v>
      </c>
      <c r="Q5">
        <v>73.531899581514224</v>
      </c>
    </row>
    <row r="6" spans="1:17" x14ac:dyDescent="0.3">
      <c r="A6" t="s">
        <v>8</v>
      </c>
      <c r="B6">
        <f>B5*$C15/2/$A18</f>
        <v>24028200.510103013</v>
      </c>
      <c r="C6">
        <f t="shared" ref="C6:H6" si="2">C5*$C15/2/$A18</f>
        <v>28634779.150723364</v>
      </c>
      <c r="D6">
        <f t="shared" si="2"/>
        <v>33391190.023721594</v>
      </c>
      <c r="E6">
        <f t="shared" si="2"/>
        <v>38105972.889410004</v>
      </c>
      <c r="F6">
        <f t="shared" si="2"/>
        <v>42894170.689569816</v>
      </c>
      <c r="G6">
        <f t="shared" si="2"/>
        <v>43001660.066200957</v>
      </c>
      <c r="H6">
        <f t="shared" si="2"/>
        <v>48062906.140981987</v>
      </c>
      <c r="J6">
        <v>1.599191</v>
      </c>
      <c r="K6">
        <v>522.07948899999997</v>
      </c>
      <c r="L6">
        <v>7.1135559807094202</v>
      </c>
      <c r="M6">
        <v>1.6261588971901735</v>
      </c>
      <c r="N6">
        <v>38105972.889410004</v>
      </c>
      <c r="O6">
        <v>72988833486.637909</v>
      </c>
      <c r="P6">
        <v>38.105972889410005</v>
      </c>
      <c r="Q6">
        <v>72.988833486637915</v>
      </c>
    </row>
    <row r="7" spans="1:17" x14ac:dyDescent="0.3">
      <c r="A7" t="s">
        <v>9</v>
      </c>
      <c r="B7">
        <f>B6/(B3*10^-6)</f>
        <v>72180013475.101242</v>
      </c>
      <c r="C7">
        <f t="shared" ref="C7:H7" si="3">C6/(C3*10^-6)</f>
        <v>73222357141.883453</v>
      </c>
      <c r="D7">
        <f t="shared" si="3"/>
        <v>73531899581.514221</v>
      </c>
      <c r="E7">
        <f t="shared" si="3"/>
        <v>72988833486.637909</v>
      </c>
      <c r="F7">
        <f t="shared" si="3"/>
        <v>73450177606.750565</v>
      </c>
      <c r="G7">
        <f t="shared" si="3"/>
        <v>72868772926.036743</v>
      </c>
      <c r="H7">
        <f t="shared" si="3"/>
        <v>73229063170.691788</v>
      </c>
      <c r="J7">
        <v>1.8001370000000001</v>
      </c>
      <c r="K7">
        <v>583.99001999999996</v>
      </c>
      <c r="L7">
        <v>8.0074083223619397</v>
      </c>
      <c r="M7">
        <v>1.8304935424919393</v>
      </c>
      <c r="N7">
        <v>42894170.689569816</v>
      </c>
      <c r="O7">
        <v>73450177606.750565</v>
      </c>
      <c r="P7">
        <v>42.894170689569819</v>
      </c>
      <c r="Q7">
        <v>73.450177606750572</v>
      </c>
    </row>
    <row r="8" spans="1:17" x14ac:dyDescent="0.3">
      <c r="A8" t="s">
        <v>10</v>
      </c>
      <c r="B8">
        <f>B6/10^6</f>
        <v>24.028200510103012</v>
      </c>
      <c r="C8">
        <f t="shared" ref="C8:H8" si="4">C6/10^6</f>
        <v>28.634779150723364</v>
      </c>
      <c r="D8">
        <f t="shared" si="4"/>
        <v>33.391190023721592</v>
      </c>
      <c r="E8">
        <f t="shared" si="4"/>
        <v>38.105972889410005</v>
      </c>
      <c r="F8">
        <f t="shared" si="4"/>
        <v>42.894170689569819</v>
      </c>
      <c r="G8">
        <f t="shared" si="4"/>
        <v>43.001660066200955</v>
      </c>
      <c r="H8">
        <f t="shared" si="4"/>
        <v>48.062906140981987</v>
      </c>
      <c r="J8">
        <v>1.804648</v>
      </c>
      <c r="K8">
        <v>590.12466300000006</v>
      </c>
      <c r="L8">
        <v>8.0274742500897602</v>
      </c>
      <c r="M8">
        <v>1.8350806135705191</v>
      </c>
      <c r="N8">
        <v>43001660.066200957</v>
      </c>
      <c r="O8">
        <v>72868772926.036743</v>
      </c>
      <c r="P8">
        <v>43.001660066200955</v>
      </c>
      <c r="Q8">
        <v>72.868772926036741</v>
      </c>
    </row>
    <row r="9" spans="1:17" x14ac:dyDescent="0.3">
      <c r="A9" t="s">
        <v>11</v>
      </c>
      <c r="B9">
        <f>B7/10^9</f>
        <v>72.180013475101248</v>
      </c>
      <c r="C9">
        <f t="shared" ref="C9:H9" si="5">C7/10^9</f>
        <v>73.22235714188345</v>
      </c>
      <c r="D9">
        <f t="shared" si="5"/>
        <v>73.531899581514224</v>
      </c>
      <c r="E9">
        <f t="shared" si="5"/>
        <v>72.988833486637915</v>
      </c>
      <c r="F9">
        <f t="shared" si="5"/>
        <v>73.450177606750572</v>
      </c>
      <c r="G9">
        <f t="shared" si="5"/>
        <v>72.868772926036741</v>
      </c>
      <c r="H9">
        <f t="shared" si="5"/>
        <v>73.229063170691788</v>
      </c>
      <c r="J9">
        <v>2.0170530000000002</v>
      </c>
      <c r="K9">
        <v>656.33648800000003</v>
      </c>
      <c r="L9">
        <v>8.9722987632858615</v>
      </c>
      <c r="M9">
        <v>2.0510674972871481</v>
      </c>
      <c r="N9">
        <v>48062906.140981987</v>
      </c>
      <c r="O9">
        <v>73229063170.691788</v>
      </c>
      <c r="P9">
        <v>48.062906140981987</v>
      </c>
      <c r="Q9">
        <v>73.229063170691788</v>
      </c>
    </row>
    <row r="11" spans="1:17" ht="15" thickBot="1" x14ac:dyDescent="0.35"/>
    <row r="12" spans="1:17" x14ac:dyDescent="0.3">
      <c r="A12" t="s">
        <v>4</v>
      </c>
      <c r="B12" t="s">
        <v>5</v>
      </c>
      <c r="C12" t="s">
        <v>6</v>
      </c>
      <c r="I12" s="5" t="s">
        <v>4</v>
      </c>
      <c r="J12" s="6" t="s">
        <v>5</v>
      </c>
      <c r="K12" s="7" t="s">
        <v>6</v>
      </c>
    </row>
    <row r="13" spans="1:17" x14ac:dyDescent="0.3">
      <c r="A13">
        <v>9</v>
      </c>
      <c r="B13">
        <v>1</v>
      </c>
      <c r="C13">
        <v>0.125</v>
      </c>
      <c r="I13" s="3">
        <v>9</v>
      </c>
      <c r="J13" s="2">
        <v>1</v>
      </c>
      <c r="K13" s="4">
        <v>0.125</v>
      </c>
    </row>
    <row r="14" spans="1:17" x14ac:dyDescent="0.3">
      <c r="A14" t="s">
        <v>4</v>
      </c>
      <c r="B14" t="s">
        <v>5</v>
      </c>
      <c r="C14" t="s">
        <v>6</v>
      </c>
      <c r="I14" s="8" t="s">
        <v>12</v>
      </c>
      <c r="J14" s="9" t="s">
        <v>13</v>
      </c>
      <c r="K14" s="10" t="s">
        <v>14</v>
      </c>
    </row>
    <row r="15" spans="1:17" x14ac:dyDescent="0.3">
      <c r="A15">
        <f>A13*0.0254</f>
        <v>0.2286</v>
      </c>
      <c r="B15">
        <f t="shared" ref="B15:C15" si="6">B13*0.0254</f>
        <v>2.5399999999999999E-2</v>
      </c>
      <c r="C15">
        <f t="shared" si="6"/>
        <v>3.1749999999999999E-3</v>
      </c>
      <c r="I15" s="3">
        <v>0.2286</v>
      </c>
      <c r="J15" s="2">
        <v>2.5399999999999999E-2</v>
      </c>
      <c r="K15" s="4">
        <v>3.1749999999999999E-3</v>
      </c>
    </row>
    <row r="16" spans="1:17" x14ac:dyDescent="0.3">
      <c r="I16" s="11" t="s">
        <v>7</v>
      </c>
      <c r="J16" s="12"/>
      <c r="K16" s="13"/>
    </row>
    <row r="17" spans="1:11" ht="15" thickBot="1" x14ac:dyDescent="0.35">
      <c r="A17" t="s">
        <v>7</v>
      </c>
      <c r="I17" s="14">
        <v>6.7746000260416661E-11</v>
      </c>
      <c r="J17" s="15"/>
      <c r="K17" s="16"/>
    </row>
    <row r="18" spans="1:11" x14ac:dyDescent="0.3">
      <c r="A18">
        <f>B15*C15^3/12</f>
        <v>6.7746000260416661E-11</v>
      </c>
    </row>
    <row r="20" spans="1:11" x14ac:dyDescent="0.3">
      <c r="A20" t="s">
        <v>19</v>
      </c>
      <c r="B20" s="17">
        <v>0.8</v>
      </c>
    </row>
    <row r="21" spans="1:11" x14ac:dyDescent="0.3">
      <c r="A21" t="s">
        <v>20</v>
      </c>
      <c r="B21" s="17">
        <f>1-B20</f>
        <v>0.19999999999999996</v>
      </c>
    </row>
    <row r="22" spans="1:11" x14ac:dyDescent="0.3">
      <c r="A22" t="s">
        <v>15</v>
      </c>
      <c r="B22" s="19">
        <f>AVERAGE(B9:H9)</f>
        <v>73.067302484087989</v>
      </c>
    </row>
    <row r="23" spans="1:11" x14ac:dyDescent="0.3">
      <c r="A23" t="s">
        <v>16</v>
      </c>
      <c r="B23" s="18">
        <f>_xlfn.STDEV.S(B9:H9)</f>
        <v>0.45561413564091119</v>
      </c>
    </row>
    <row r="24" spans="1:11" x14ac:dyDescent="0.3">
      <c r="A24" t="s">
        <v>21</v>
      </c>
      <c r="B24">
        <f>COUNT(B9:H9)</f>
        <v>7</v>
      </c>
    </row>
    <row r="25" spans="1:11" x14ac:dyDescent="0.3">
      <c r="A25" t="s">
        <v>17</v>
      </c>
      <c r="B25" s="18">
        <f>_xlfn.CONFIDENCE.NORM(B21,B23,B24)</f>
        <v>0.22069081337048052</v>
      </c>
    </row>
    <row r="26" spans="1:11" x14ac:dyDescent="0.3">
      <c r="A26" t="s">
        <v>18</v>
      </c>
      <c r="B26" t="s">
        <v>22</v>
      </c>
    </row>
  </sheetData>
  <mergeCells count="2">
    <mergeCell ref="I16:K16"/>
    <mergeCell ref="I17:K17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</dc:creator>
  <cp:lastModifiedBy>Jacob</cp:lastModifiedBy>
  <dcterms:created xsi:type="dcterms:W3CDTF">2022-10-26T15:03:12Z</dcterms:created>
  <dcterms:modified xsi:type="dcterms:W3CDTF">2022-10-26T18:58:34Z</dcterms:modified>
</cp:coreProperties>
</file>