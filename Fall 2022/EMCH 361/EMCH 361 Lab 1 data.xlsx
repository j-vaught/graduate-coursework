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2" documentId="8_{FE2CAE30-98E7-4D14-A42B-743FB587A15C}" xr6:coauthVersionLast="47" xr6:coauthVersionMax="47" xr10:uidLastSave="{EFF892C0-E263-4AAF-B44E-1ED162551B8D}"/>
  <bookViews>
    <workbookView xWindow="-120" yWindow="-120" windowWidth="29040" windowHeight="17640" xr2:uid="{1A07BA41-A6F8-4012-8E23-3E83B9A78DB9}"/>
  </bookViews>
  <sheets>
    <sheet name="Sheet1" sheetId="1" r:id="rId1"/>
    <sheet name="Suggestion1" sheetId="2" r:id="rId2"/>
    <sheet name="Suggestion2" sheetId="3" r:id="rId3"/>
  </sheets>
  <definedNames>
    <definedName name="_xlchart.v1.0" hidden="1">Sheet1!$E$3:$E$27</definedName>
    <definedName name="_xlchart.v1.1" hidden="1">Sheet1!$E$3:$E$27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N36" i="1"/>
  <c r="N38" i="1"/>
  <c r="N35" i="1"/>
  <c r="G36" i="1"/>
  <c r="H28" i="1"/>
  <c r="G35" i="1"/>
  <c r="G34" i="1"/>
  <c r="F41" i="1"/>
  <c r="G37" i="1"/>
  <c r="P15" i="1"/>
  <c r="J15" i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3" i="1"/>
  <c r="E3" i="1" s="1"/>
  <c r="E28" i="1" s="1"/>
  <c r="N39" i="1" l="1"/>
  <c r="G38" i="1"/>
  <c r="D28" i="1"/>
</calcChain>
</file>

<file path=xl/sharedStrings.xml><?xml version="1.0" encoding="utf-8"?>
<sst xmlns="http://schemas.openxmlformats.org/spreadsheetml/2006/main" count="86" uniqueCount="71">
  <si>
    <t>Metal Hardness</t>
  </si>
  <si>
    <t>Durometer</t>
  </si>
  <si>
    <t>Indent #</t>
  </si>
  <si>
    <t>d1</t>
  </si>
  <si>
    <t>d2</t>
  </si>
  <si>
    <t>D</t>
  </si>
  <si>
    <t>HV</t>
  </si>
  <si>
    <t>Indent #2</t>
  </si>
  <si>
    <t>HV2</t>
  </si>
  <si>
    <t xml:space="preserve">Indent # </t>
  </si>
  <si>
    <t xml:space="preserve">HV </t>
  </si>
  <si>
    <t>Average:</t>
  </si>
  <si>
    <t>Confidence level</t>
  </si>
  <si>
    <t>significance level</t>
  </si>
  <si>
    <t>mean</t>
  </si>
  <si>
    <t>St Dev</t>
  </si>
  <si>
    <t>Sample size</t>
  </si>
  <si>
    <t>280.33 +/- 1.72</t>
  </si>
  <si>
    <t>Confidence Value</t>
  </si>
  <si>
    <t>Confidence interval</t>
  </si>
  <si>
    <t>35.26 +/- 0.256</t>
  </si>
  <si>
    <t>35.26 +/- 0.256617701162346</t>
  </si>
  <si>
    <t>Name</t>
  </si>
  <si>
    <t>Hardness(Rc) Rockwell C-Scale</t>
  </si>
  <si>
    <t>Copper-Base Alloys</t>
  </si>
  <si>
    <t xml:space="preserve">Hardened Beryllium Cu 275C (828) </t>
  </si>
  <si>
    <t>25-44</t>
  </si>
  <si>
    <t>Carbon and Low-Alloy Steels and Iron</t>
  </si>
  <si>
    <t>IC 1030 Hardened</t>
  </si>
  <si>
    <t>20-50</t>
  </si>
  <si>
    <t>IC 1035 Hardened</t>
  </si>
  <si>
    <t>25-52</t>
  </si>
  <si>
    <t>IC 1045 Hardened</t>
  </si>
  <si>
    <t>25-57</t>
  </si>
  <si>
    <t>IC 4130 Hardened</t>
  </si>
  <si>
    <t>23-49</t>
  </si>
  <si>
    <t>IC 4150 Hardened</t>
  </si>
  <si>
    <t>25-58</t>
  </si>
  <si>
    <t>IC 4330 Hardened</t>
  </si>
  <si>
    <t>25-48</t>
  </si>
  <si>
    <t>IC 4340 Hardened</t>
  </si>
  <si>
    <t>20-55</t>
  </si>
  <si>
    <t>IC 4620 Hardened</t>
  </si>
  <si>
    <t>20-32</t>
  </si>
  <si>
    <t>IC 8620 Hardened</t>
  </si>
  <si>
    <t>20-45</t>
  </si>
  <si>
    <t>IC 8630 Hardened</t>
  </si>
  <si>
    <t>25-50</t>
  </si>
  <si>
    <t>IC 1722AS Hardened</t>
  </si>
  <si>
    <t>Hardenable Stainless Steel</t>
  </si>
  <si>
    <t>IC 431 Hardened</t>
  </si>
  <si>
    <t>20-40</t>
  </si>
  <si>
    <t>IC 15-5 Hardened</t>
  </si>
  <si>
    <t>26-38</t>
  </si>
  <si>
    <t>CD-4M Cu Hardened</t>
  </si>
  <si>
    <t>28-32</t>
  </si>
  <si>
    <t>Nickel-Base Alloy</t>
  </si>
  <si>
    <t>S Monel Annealed</t>
  </si>
  <si>
    <t>20-28</t>
  </si>
  <si>
    <t>RH Monel</t>
  </si>
  <si>
    <t>20-30</t>
  </si>
  <si>
    <t>Cobalt Base Alloy</t>
  </si>
  <si>
    <t>Cobalt 21 As Cast</t>
  </si>
  <si>
    <t>24-32</t>
  </si>
  <si>
    <t>Cobalt 31 As Cast</t>
  </si>
  <si>
    <t>F75 As Cast</t>
  </si>
  <si>
    <t>25-34</t>
  </si>
  <si>
    <t>Tungsten Base(Compressed and Sintered Powdered Metal Alloys)</t>
  </si>
  <si>
    <t>95W, 3.5Ni, 1.5Cu</t>
  </si>
  <si>
    <t>95W, 3.5Ni, 1.5Fe</t>
  </si>
  <si>
    <t>97W, 2.1Ni, 0.9Fe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</si>
</sst>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3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theme="4" tint="0.39997558519241921"/>
      </bottom>
      <diagonal/>
    </border>
    <border>
      <left/>
      <right style="thin">
        <color indexed="64"/>
      </right>
      <top/>
      <bottom style="medium">
        <color theme="4" tint="0.3999755851924192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</cellStyleXfs>
  <cellXfs count="29">
    <xf numFmtId="0" fontId="0" fillId="0" borderId="0" xfId="0"/>
    <xf numFmtId="0" fontId="0" fillId="3" borderId="0" xfId="0" applyFill="1"/>
    <xf numFmtId="0" fontId="0" fillId="3" borderId="4" xfId="0" applyFill="1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4" fillId="2" borderId="3" xfId="4"/>
    <xf numFmtId="0" fontId="2" fillId="0" borderId="1" xfId="2"/>
    <xf numFmtId="0" fontId="7" fillId="0" borderId="6" xfId="1" applyFont="1" applyBorder="1"/>
    <xf numFmtId="0" fontId="7" fillId="0" borderId="8" xfId="1" applyFont="1" applyBorder="1" applyAlignment="1">
      <alignment horizontal="center" wrapText="1"/>
    </xf>
    <xf numFmtId="0" fontId="0" fillId="0" borderId="10" xfId="0" applyBorder="1" applyAlignment="1">
      <alignment horizontal="left"/>
    </xf>
    <xf numFmtId="0" fontId="0" fillId="0" borderId="13" xfId="0" applyBorder="1" applyAlignment="1">
      <alignment horizontal="left"/>
    </xf>
    <xf numFmtId="165" fontId="0" fillId="0" borderId="0" xfId="0" applyNumberFormat="1"/>
    <xf numFmtId="0" fontId="5" fillId="0" borderId="5" xfId="0" applyFont="1" applyBorder="1"/>
    <xf numFmtId="164" fontId="0" fillId="0" borderId="5" xfId="0" applyNumberFormat="1" applyBorder="1" applyAlignment="1">
      <alignment horizontal="center" vertical="center"/>
    </xf>
    <xf numFmtId="165" fontId="0" fillId="0" borderId="5" xfId="0" applyNumberForma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4" xfId="3" applyBorder="1" applyAlignment="1">
      <alignment horizontal="center"/>
    </xf>
    <xf numFmtId="0" fontId="3" fillId="0" borderId="15" xfId="3" applyBorder="1" applyAlignment="1">
      <alignment horizontal="center"/>
    </xf>
    <xf numFmtId="0" fontId="3" fillId="0" borderId="14" xfId="3" applyBorder="1" applyAlignment="1">
      <alignment horizontal="center" wrapText="1"/>
    </xf>
    <xf numFmtId="0" fontId="3" fillId="0" borderId="15" xfId="3" applyBorder="1" applyAlignment="1">
      <alignment horizontal="center" wrapText="1"/>
    </xf>
  </cellXfs>
  <cellStyles count="5">
    <cellStyle name="Calculation" xfId="4" builtinId="22"/>
    <cellStyle name="Heading 1" xfId="2" builtinId="16"/>
    <cellStyle name="Heading 3" xfId="3" builtinId="18"/>
    <cellStyle name="Normal" xfId="0" builtinId="0"/>
    <cellStyle name="Title" xfId="1" builtinId="1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 vs</a:t>
            </a:r>
            <a:r>
              <a:rPr lang="en-US" baseline="0"/>
              <a:t> indentation #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Sheet1!$D$3:$D$27</c:f>
              <c:numCache>
                <c:formatCode>General</c:formatCode>
                <c:ptCount val="25"/>
                <c:pt idx="0">
                  <c:v>82</c:v>
                </c:pt>
                <c:pt idx="1">
                  <c:v>81.75</c:v>
                </c:pt>
                <c:pt idx="2">
                  <c:v>80</c:v>
                </c:pt>
                <c:pt idx="3">
                  <c:v>81.5</c:v>
                </c:pt>
                <c:pt idx="4">
                  <c:v>82</c:v>
                </c:pt>
                <c:pt idx="5">
                  <c:v>82.25</c:v>
                </c:pt>
                <c:pt idx="6">
                  <c:v>82</c:v>
                </c:pt>
                <c:pt idx="7">
                  <c:v>82.625</c:v>
                </c:pt>
                <c:pt idx="8">
                  <c:v>82.375</c:v>
                </c:pt>
                <c:pt idx="9">
                  <c:v>81.25</c:v>
                </c:pt>
                <c:pt idx="10">
                  <c:v>82</c:v>
                </c:pt>
                <c:pt idx="11">
                  <c:v>82.25</c:v>
                </c:pt>
                <c:pt idx="12">
                  <c:v>81.75</c:v>
                </c:pt>
                <c:pt idx="13">
                  <c:v>82.5</c:v>
                </c:pt>
                <c:pt idx="14">
                  <c:v>81</c:v>
                </c:pt>
                <c:pt idx="15">
                  <c:v>81.5</c:v>
                </c:pt>
                <c:pt idx="16">
                  <c:v>81.5</c:v>
                </c:pt>
                <c:pt idx="17">
                  <c:v>81</c:v>
                </c:pt>
                <c:pt idx="18">
                  <c:v>81.5</c:v>
                </c:pt>
                <c:pt idx="19">
                  <c:v>80.5</c:v>
                </c:pt>
                <c:pt idx="20">
                  <c:v>80.75</c:v>
                </c:pt>
                <c:pt idx="21">
                  <c:v>80.5</c:v>
                </c:pt>
                <c:pt idx="22">
                  <c:v>78.75</c:v>
                </c:pt>
                <c:pt idx="23">
                  <c:v>79.5</c:v>
                </c:pt>
                <c:pt idx="24">
                  <c:v>80.75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1C-468A-A8F6-C5E75FE30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66848"/>
        <c:axId val="630767176"/>
      </c:scatterChart>
      <c:valAx>
        <c:axId val="63076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Indentation</a:t>
                </a:r>
                <a:r>
                  <a:rPr lang="en-US" baseline="0"/>
                  <a:t> #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67176"/>
        <c:crosses val="autoZero"/>
        <c:crossBetween val="midCat"/>
      </c:valAx>
      <c:valAx>
        <c:axId val="63076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D(\mu</a:t>
                </a:r>
                <a:r>
                  <a:rPr lang="en-US" baseline="0"/>
                  <a:t> 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6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Rubber Material Hardness data</a:t>
            </a:r>
          </a:p>
        </c:rich>
      </c:tx>
      <c:layout>
        <c:manualLayout>
          <c:xMode val="edge"/>
          <c:yMode val="edge"/>
          <c:x val="0.2456041119860017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Sheet1!$H$3:$H$27</c:f>
              <c:numCache>
                <c:formatCode>General</c:formatCode>
                <c:ptCount val="25"/>
                <c:pt idx="0">
                  <c:v>34.5</c:v>
                </c:pt>
                <c:pt idx="1">
                  <c:v>34</c:v>
                </c:pt>
                <c:pt idx="2">
                  <c:v>34.5</c:v>
                </c:pt>
                <c:pt idx="3">
                  <c:v>35</c:v>
                </c:pt>
                <c:pt idx="4">
                  <c:v>34</c:v>
                </c:pt>
                <c:pt idx="5">
                  <c:v>36.5</c:v>
                </c:pt>
                <c:pt idx="6">
                  <c:v>37</c:v>
                </c:pt>
                <c:pt idx="7">
                  <c:v>36</c:v>
                </c:pt>
                <c:pt idx="8">
                  <c:v>35.5</c:v>
                </c:pt>
                <c:pt idx="9">
                  <c:v>36</c:v>
                </c:pt>
                <c:pt idx="10">
                  <c:v>35.5</c:v>
                </c:pt>
                <c:pt idx="11">
                  <c:v>36.5</c:v>
                </c:pt>
                <c:pt idx="12">
                  <c:v>36</c:v>
                </c:pt>
                <c:pt idx="13">
                  <c:v>36</c:v>
                </c:pt>
                <c:pt idx="14">
                  <c:v>35.5</c:v>
                </c:pt>
                <c:pt idx="15">
                  <c:v>34.5</c:v>
                </c:pt>
                <c:pt idx="16">
                  <c:v>36</c:v>
                </c:pt>
                <c:pt idx="17">
                  <c:v>33</c:v>
                </c:pt>
                <c:pt idx="18">
                  <c:v>34</c:v>
                </c:pt>
                <c:pt idx="19">
                  <c:v>34.5</c:v>
                </c:pt>
                <c:pt idx="20">
                  <c:v>35.5</c:v>
                </c:pt>
                <c:pt idx="21">
                  <c:v>35</c:v>
                </c:pt>
                <c:pt idx="22">
                  <c:v>34.5</c:v>
                </c:pt>
                <c:pt idx="23">
                  <c:v>35</c:v>
                </c:pt>
                <c:pt idx="24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D-4470-A89F-72B1DE7A9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913888"/>
        <c:axId val="390914544"/>
      </c:scatterChart>
      <c:valAx>
        <c:axId val="39091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14544"/>
        <c:crosses val="autoZero"/>
        <c:crossBetween val="midCat"/>
      </c:valAx>
      <c:valAx>
        <c:axId val="39091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13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'HV'</a:t>
            </a:r>
          </a:p>
        </c:rich>
      </c:tx>
      <c:layout>
        <c:manualLayout>
          <c:xMode val="edge"/>
          <c:yMode val="edge"/>
          <c:x val="0.4571526684164479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Sheet1!$A$3:$A$27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Sheet1!$E$3:$E$27</c:f>
              <c:numCache>
                <c:formatCode>General</c:formatCode>
                <c:ptCount val="25"/>
                <c:pt idx="0">
                  <c:v>275.72873289708508</c:v>
                </c:pt>
                <c:pt idx="1">
                  <c:v>277.4177257806582</c:v>
                </c:pt>
                <c:pt idx="2">
                  <c:v>289.6875</c:v>
                </c:pt>
                <c:pt idx="3">
                  <c:v>279.12228537016824</c:v>
                </c:pt>
                <c:pt idx="4">
                  <c:v>275.72873289708508</c:v>
                </c:pt>
                <c:pt idx="5">
                  <c:v>274.05511774651012</c:v>
                </c:pt>
                <c:pt idx="6">
                  <c:v>275.72873289708508</c:v>
                </c:pt>
                <c:pt idx="7">
                  <c:v>271.57312191448796</c:v>
                </c:pt>
                <c:pt idx="8">
                  <c:v>273.22401855020138</c:v>
                </c:pt>
                <c:pt idx="9">
                  <c:v>280.84260355029585</c:v>
                </c:pt>
                <c:pt idx="10">
                  <c:v>275.72873289708508</c:v>
                </c:pt>
                <c:pt idx="11">
                  <c:v>274.05511774651012</c:v>
                </c:pt>
                <c:pt idx="12">
                  <c:v>277.4177257806582</c:v>
                </c:pt>
                <c:pt idx="13">
                  <c:v>272.39669421487605</c:v>
                </c:pt>
                <c:pt idx="14">
                  <c:v>282.57887517146776</c:v>
                </c:pt>
                <c:pt idx="15">
                  <c:v>279.12228537016824</c:v>
                </c:pt>
                <c:pt idx="16">
                  <c:v>279.12228537016824</c:v>
                </c:pt>
                <c:pt idx="17">
                  <c:v>282.57887517146776</c:v>
                </c:pt>
                <c:pt idx="18">
                  <c:v>279.12228537016824</c:v>
                </c:pt>
                <c:pt idx="19">
                  <c:v>286.10007329964122</c:v>
                </c:pt>
                <c:pt idx="20">
                  <c:v>284.33129810503311</c:v>
                </c:pt>
                <c:pt idx="21">
                  <c:v>286.10007329964122</c:v>
                </c:pt>
                <c:pt idx="22">
                  <c:v>298.95691609977325</c:v>
                </c:pt>
                <c:pt idx="23">
                  <c:v>293.3428266286935</c:v>
                </c:pt>
                <c:pt idx="24">
                  <c:v>284.33129810503311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1-4130-9B44-9345B5887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366392"/>
        <c:axId val="392803432"/>
      </c:scatterChart>
      <c:valAx>
        <c:axId val="467366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Indent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03432"/>
        <c:crosses val="autoZero"/>
        <c:crossBetween val="midCat"/>
      </c:valAx>
      <c:valAx>
        <c:axId val="392803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366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</a:t>
          </a:r>
        </a:p>
      </cx:txPr>
    </cx:title>
    <cx:plotArea>
      <cx:plotAreaRegion>
        <cx:series layoutId="clusteredColumn" uniqueId="{5F805103-5C84-4223-8D28-AA265D664877}">
          <cx:dataLabels>
            <cx:visibility seriesName="0" categoryName="0" value="1"/>
          </cx:dataLabels>
          <cx:dataId val="0"/>
          <cx:layoutPr>
            <cx:binning intervalClosed="r" underflow="270" overflow="300">
              <cx:binSize val="3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Frequency of 'HV'</cx:v>
        </cx:txData>
      </cx:tx>
    </cx:title>
    <cx:plotArea>
      <cx:plotAreaRegion>
        <cx:series layoutId="clusteredColumn" uniqueId="{8E836560-2D80-44B3-BD77-9729B18D3039}">
          <cx:spPr>
            <a:solidFill>
              <a:srgbClr val="595959"/>
            </a:solidFill>
          </cx:spPr>
          <cx:dataId val="0"/>
          <cx:layoutPr>
            <cx:binning intervalClosed="r">
              <cx:binSize val="4"/>
            </cx:binning>
          </cx:layoutPr>
        </cx:series>
      </cx:plotAreaRegion>
      <cx:axis id="0">
        <cx:catScaling gapWidth="0.330000013"/>
        <cx:title>
          <cx:tx>
            <cx:txData>
              <cx:v>HV</cx:v>
            </cx:txData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19049</xdr:colOff>
      <xdr:row>15</xdr:row>
      <xdr:rowOff>166687</xdr:rowOff>
    </xdr:from>
    <xdr:to>
      <xdr:col>18</xdr:col>
      <xdr:colOff>333374</xdr:colOff>
      <xdr:row>31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2E5E879-6D61-177E-9EB5-E6124DF316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9525</xdr:colOff>
      <xdr:row>0</xdr:row>
      <xdr:rowOff>138112</xdr:rowOff>
    </xdr:from>
    <xdr:to>
      <xdr:col>24</xdr:col>
      <xdr:colOff>314325</xdr:colOff>
      <xdr:row>15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DD86B8-AFD5-6C0F-B1F4-ABE57255C71E}"/>
            </a:ext>
            <a:ext uri="{147F2762-F138-4A5C-976F-8EAC2B608ADB}">
              <a16:predDERef xmlns:a16="http://schemas.microsoft.com/office/drawing/2014/main" pred="{E2E5E879-6D61-177E-9EB5-E6124DF31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202826</xdr:colOff>
      <xdr:row>39</xdr:row>
      <xdr:rowOff>163605</xdr:rowOff>
    </xdr:from>
    <xdr:to>
      <xdr:col>11</xdr:col>
      <xdr:colOff>437589</xdr:colOff>
      <xdr:row>54</xdr:row>
      <xdr:rowOff>49305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1D53FC-8D55-AE0C-10BA-19CFD2E7A082}"/>
            </a:ext>
            <a:ext uri="{147F2762-F138-4A5C-976F-8EAC2B608ADB}">
              <a16:predDERef xmlns:a16="http://schemas.microsoft.com/office/drawing/2014/main" pred="{1EDD86B8-AFD5-6C0F-B1F4-ABE57255C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16</xdr:row>
      <xdr:rowOff>127000</xdr:rowOff>
    </xdr:from>
    <xdr:to>
      <xdr:col>12</xdr:col>
      <xdr:colOff>431800</xdr:colOff>
      <xdr:row>31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 descr="Chart type: Histogram. Frequency of 'HV'&#10;&#10;Description automatically generated">
              <a:extLst>
                <a:ext uri="{FF2B5EF4-FFF2-40B4-BE49-F238E27FC236}">
                  <a16:creationId xmlns:a16="http://schemas.microsoft.com/office/drawing/2014/main" id="{287B387D-3168-AA19-1019-A24B1D9E4C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22225</xdr:colOff>
      <xdr:row>4</xdr:row>
      <xdr:rowOff>107950</xdr:rowOff>
    </xdr:from>
    <xdr:to>
      <xdr:col>12</xdr:col>
      <xdr:colOff>327025</xdr:colOff>
      <xdr:row>18</xdr:row>
      <xdr:rowOff>184150</xdr:rowOff>
    </xdr:to>
    <xdr:graphicFrame macro="">
      <xdr:nvGraphicFramePr>
        <xdr:cNvPr id="2" name="Chart 1" descr="Chart type: Scatter. 'HV'&#10;&#10;Description automatically generated">
          <a:extLst>
            <a:ext uri="{FF2B5EF4-FFF2-40B4-BE49-F238E27FC236}">
              <a16:creationId xmlns:a16="http://schemas.microsoft.com/office/drawing/2014/main" id="{061971A1-9458-3D99-1662-1D12F9A4E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EF84B4-B3D6-49B0-8CDE-216FAB3338B0}" name="Table1" displayName="Table1" ref="A2:E28" totalsRowCount="1" headerRowDxfId="1">
  <autoFilter ref="A2:E27" xr:uid="{1EEF84B4-B3D6-49B0-8CDE-216FAB3338B0}"/>
  <sortState xmlns:xlrd2="http://schemas.microsoft.com/office/spreadsheetml/2017/richdata2" ref="A3:E27">
    <sortCondition ref="A2:A27"/>
  </sortState>
  <tableColumns count="5">
    <tableColumn id="1" xr3:uid="{87EBA1D1-56B8-4104-A931-B0D6D92CFBE4}" name="Indent #"/>
    <tableColumn id="2" xr3:uid="{9D2D64DC-E604-4E38-8D31-6FA208E5E505}" name="d1"/>
    <tableColumn id="3" xr3:uid="{1DBDE66D-935D-4E61-927F-E891C2754CAD}" name="d2"/>
    <tableColumn id="4" xr3:uid="{0A3BC74E-0D51-4537-AD97-05BE791DBE4F}" name="D" totalsRowFunction="average">
      <calculatedColumnFormula>(B3+C3)/2</calculatedColumnFormula>
    </tableColumn>
    <tableColumn id="5" xr3:uid="{E5264224-0F85-4AB1-B4A1-2E426B649B7E}" name="HV" totalsRowFunction="average">
      <calculatedColumnFormula>1.854*10^6*1/D3^2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1263B3-8185-4F5B-8FE2-8283A4AFA8E1}" name="Table2" displayName="Table2" ref="G2:J28" totalsRowCount="1">
  <autoFilter ref="G2:J27" xr:uid="{C61263B3-8185-4F5B-8FE2-8283A4AFA8E1}"/>
  <tableColumns count="4">
    <tableColumn id="1" xr3:uid="{1CBF69F1-93AF-48A2-8CCD-68EED6C7E9F5}" name="Indent #" dataDxfId="0"/>
    <tableColumn id="2" xr3:uid="{42D6B687-6B5A-4965-81C1-A97CB2A04A53}" name="HV" totalsRowFunction="average"/>
    <tableColumn id="3" xr3:uid="{7C578DED-A576-4B17-B8AE-F6DE0C6F8E1C}" name="Indent #2"/>
    <tableColumn id="4" xr3:uid="{ED5CC714-81AE-4BD0-90F6-D485A6A12669}" name="HV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43F3DE-C9B8-4AFB-B2C5-E17E0FF72F94}" name="Table5" displayName="Table5" ref="M2:P15" totalsRowShown="0">
  <autoFilter ref="M2:P15" xr:uid="{4E43F3DE-C9B8-4AFB-B2C5-E17E0FF72F94}"/>
  <tableColumns count="4">
    <tableColumn id="1" xr3:uid="{12876EEE-9466-4DF5-892A-015FABCAE730}" name="Indent #"/>
    <tableColumn id="2" xr3:uid="{D30CE403-9875-49B6-BB3D-80513798CF8F}" name="HV"/>
    <tableColumn id="3" xr3:uid="{E6D83C1D-0296-466A-8ACD-83282FDA7B25}" name="Indent # "/>
    <tableColumn id="4" xr3:uid="{8BD556BF-65C2-484D-AA48-8259BA9735A3}" name="HV 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9BE2-E992-4F0D-98FF-03FE176367AF}">
  <dimension ref="A1:P42"/>
  <sheetViews>
    <sheetView tabSelected="1" topLeftCell="N1" zoomScale="85" zoomScaleNormal="85" workbookViewId="0">
      <selection activeCell="P37" sqref="P37"/>
    </sheetView>
  </sheetViews>
  <sheetFormatPr defaultRowHeight="15"/>
  <cols>
    <col min="1" max="1" width="8" customWidth="1"/>
    <col min="2" max="2" width="6" bestFit="1" customWidth="1"/>
    <col min="3" max="3" width="5.42578125" customWidth="1"/>
    <col min="4" max="4" width="7" bestFit="1" customWidth="1"/>
    <col min="5" max="5" width="12" bestFit="1" customWidth="1"/>
    <col min="6" max="6" width="18.85546875" customWidth="1"/>
    <col min="7" max="7" width="14" customWidth="1"/>
    <col min="8" max="8" width="5" customWidth="1"/>
    <col min="13" max="13" width="19.85546875" customWidth="1"/>
    <col min="14" max="14" width="13.85546875" customWidth="1"/>
    <col min="15" max="15" width="11.42578125" customWidth="1"/>
  </cols>
  <sheetData>
    <row r="1" spans="1:16">
      <c r="A1" s="21" t="s">
        <v>0</v>
      </c>
      <c r="B1" s="22"/>
      <c r="C1" s="22"/>
      <c r="D1" s="22"/>
      <c r="E1" s="23"/>
      <c r="G1" s="24" t="s">
        <v>1</v>
      </c>
      <c r="H1" s="24"/>
    </row>
    <row r="2" spans="1:16">
      <c r="A2" s="4" t="s">
        <v>2</v>
      </c>
      <c r="B2" s="3" t="s">
        <v>3</v>
      </c>
      <c r="C2" s="3" t="s">
        <v>4</v>
      </c>
      <c r="D2" s="3" t="s">
        <v>5</v>
      </c>
      <c r="E2" s="5" t="s">
        <v>6</v>
      </c>
      <c r="G2" t="s">
        <v>2</v>
      </c>
      <c r="H2" t="s">
        <v>6</v>
      </c>
      <c r="I2" t="s">
        <v>7</v>
      </c>
      <c r="J2" t="s">
        <v>8</v>
      </c>
      <c r="M2" t="s">
        <v>2</v>
      </c>
      <c r="N2" t="s">
        <v>6</v>
      </c>
      <c r="O2" t="s">
        <v>9</v>
      </c>
      <c r="P2" t="s">
        <v>10</v>
      </c>
    </row>
    <row r="3" spans="1:16">
      <c r="A3" s="6">
        <v>1</v>
      </c>
      <c r="B3">
        <v>81.5</v>
      </c>
      <c r="C3">
        <v>82.5</v>
      </c>
      <c r="D3">
        <f>(B3+C3)/2</f>
        <v>82</v>
      </c>
      <c r="E3" s="7">
        <f>1.854*10^6*1/D3^2</f>
        <v>275.72873289708508</v>
      </c>
      <c r="G3" s="1">
        <v>1</v>
      </c>
      <c r="H3">
        <v>34.5</v>
      </c>
      <c r="M3">
        <v>1</v>
      </c>
      <c r="N3">
        <v>34.5</v>
      </c>
      <c r="O3">
        <v>14</v>
      </c>
      <c r="P3">
        <v>36</v>
      </c>
    </row>
    <row r="4" spans="1:16">
      <c r="A4" s="6">
        <v>2</v>
      </c>
      <c r="B4">
        <v>81.5</v>
      </c>
      <c r="C4">
        <v>82</v>
      </c>
      <c r="D4">
        <f>(B4+C4)/2</f>
        <v>81.75</v>
      </c>
      <c r="E4" s="7">
        <f>1.854*10^6*1/D4^2</f>
        <v>277.4177257806582</v>
      </c>
      <c r="G4">
        <v>2</v>
      </c>
      <c r="H4">
        <v>34</v>
      </c>
      <c r="M4">
        <v>2</v>
      </c>
      <c r="N4">
        <v>34</v>
      </c>
      <c r="O4">
        <v>15</v>
      </c>
      <c r="P4">
        <v>35.5</v>
      </c>
    </row>
    <row r="5" spans="1:16">
      <c r="A5" s="6">
        <v>3</v>
      </c>
      <c r="B5">
        <v>80.5</v>
      </c>
      <c r="C5">
        <v>79.5</v>
      </c>
      <c r="D5">
        <f>(B5+C5)/2</f>
        <v>80</v>
      </c>
      <c r="E5" s="7">
        <f>1.854*10^6*1/D5^2</f>
        <v>289.6875</v>
      </c>
      <c r="G5" s="1">
        <v>3</v>
      </c>
      <c r="H5">
        <v>34.5</v>
      </c>
      <c r="M5">
        <v>3</v>
      </c>
      <c r="N5">
        <v>34.5</v>
      </c>
      <c r="O5">
        <v>16</v>
      </c>
      <c r="P5">
        <v>34.5</v>
      </c>
    </row>
    <row r="6" spans="1:16">
      <c r="A6" s="6">
        <v>4</v>
      </c>
      <c r="B6">
        <v>82.5</v>
      </c>
      <c r="C6">
        <v>80.5</v>
      </c>
      <c r="D6">
        <f>(B6+C6)/2</f>
        <v>81.5</v>
      </c>
      <c r="E6" s="7">
        <f>1.854*10^6*1/D6^2</f>
        <v>279.12228537016824</v>
      </c>
      <c r="G6">
        <v>4</v>
      </c>
      <c r="H6">
        <v>35</v>
      </c>
      <c r="M6">
        <v>4</v>
      </c>
      <c r="N6">
        <v>35</v>
      </c>
      <c r="O6">
        <v>17</v>
      </c>
      <c r="P6">
        <v>36</v>
      </c>
    </row>
    <row r="7" spans="1:16">
      <c r="A7" s="6">
        <v>5</v>
      </c>
      <c r="B7">
        <v>82</v>
      </c>
      <c r="C7">
        <v>82</v>
      </c>
      <c r="D7">
        <f>(B7+C7)/2</f>
        <v>82</v>
      </c>
      <c r="E7" s="7">
        <f>1.854*10^6*1/D7^2</f>
        <v>275.72873289708508</v>
      </c>
      <c r="G7" s="1">
        <v>5</v>
      </c>
      <c r="H7">
        <v>34</v>
      </c>
      <c r="M7">
        <v>5</v>
      </c>
      <c r="N7">
        <v>34</v>
      </c>
      <c r="O7">
        <v>18</v>
      </c>
      <c r="P7">
        <v>33</v>
      </c>
    </row>
    <row r="8" spans="1:16">
      <c r="A8" s="6">
        <v>6</v>
      </c>
      <c r="B8">
        <v>83.5</v>
      </c>
      <c r="C8">
        <v>81</v>
      </c>
      <c r="D8">
        <f>(B8+C8)/2</f>
        <v>82.25</v>
      </c>
      <c r="E8" s="7">
        <f>1.854*10^6*1/D8^2</f>
        <v>274.05511774651012</v>
      </c>
      <c r="G8">
        <v>6</v>
      </c>
      <c r="H8">
        <v>36.5</v>
      </c>
      <c r="M8">
        <v>6</v>
      </c>
      <c r="N8">
        <v>36.5</v>
      </c>
      <c r="O8">
        <v>19</v>
      </c>
      <c r="P8">
        <v>34</v>
      </c>
    </row>
    <row r="9" spans="1:16">
      <c r="A9" s="6">
        <v>7</v>
      </c>
      <c r="B9">
        <v>82.5</v>
      </c>
      <c r="C9">
        <v>81.5</v>
      </c>
      <c r="D9">
        <f>(B9+C9)/2</f>
        <v>82</v>
      </c>
      <c r="E9" s="7">
        <f>1.854*10^6*1/D9^2</f>
        <v>275.72873289708508</v>
      </c>
      <c r="G9" s="1">
        <v>7</v>
      </c>
      <c r="H9">
        <v>37</v>
      </c>
      <c r="M9">
        <v>7</v>
      </c>
      <c r="N9">
        <v>37</v>
      </c>
      <c r="O9">
        <v>20</v>
      </c>
      <c r="P9">
        <v>34.5</v>
      </c>
    </row>
    <row r="10" spans="1:16">
      <c r="A10" s="6">
        <v>8</v>
      </c>
      <c r="B10">
        <v>82.75</v>
      </c>
      <c r="C10">
        <v>82.5</v>
      </c>
      <c r="D10">
        <f>(B10+C10)/2</f>
        <v>82.625</v>
      </c>
      <c r="E10" s="7">
        <f>1.854*10^6*1/D10^2</f>
        <v>271.57312191448796</v>
      </c>
      <c r="G10">
        <v>8</v>
      </c>
      <c r="H10">
        <v>36</v>
      </c>
      <c r="M10">
        <v>8</v>
      </c>
      <c r="N10">
        <v>36</v>
      </c>
      <c r="O10">
        <v>21</v>
      </c>
      <c r="P10">
        <v>35.5</v>
      </c>
    </row>
    <row r="11" spans="1:16">
      <c r="A11" s="6">
        <v>9</v>
      </c>
      <c r="B11">
        <v>82.75</v>
      </c>
      <c r="C11">
        <v>82</v>
      </c>
      <c r="D11">
        <f>(B11+C11)/2</f>
        <v>82.375</v>
      </c>
      <c r="E11" s="7">
        <f>1.854*10^6*1/D11^2</f>
        <v>273.22401855020138</v>
      </c>
      <c r="G11" s="1">
        <v>9</v>
      </c>
      <c r="H11">
        <v>35.5</v>
      </c>
      <c r="M11">
        <v>9</v>
      </c>
      <c r="N11">
        <v>35.5</v>
      </c>
      <c r="O11">
        <v>22</v>
      </c>
      <c r="P11">
        <v>35</v>
      </c>
    </row>
    <row r="12" spans="1:16">
      <c r="A12" s="6">
        <v>10</v>
      </c>
      <c r="B12">
        <v>81</v>
      </c>
      <c r="C12">
        <v>81.5</v>
      </c>
      <c r="D12">
        <f>(B12+C12)/2</f>
        <v>81.25</v>
      </c>
      <c r="E12" s="7">
        <f>1.854*10^6*1/D12^2</f>
        <v>280.84260355029585</v>
      </c>
      <c r="G12">
        <v>10</v>
      </c>
      <c r="H12">
        <v>36</v>
      </c>
      <c r="M12">
        <v>10</v>
      </c>
      <c r="N12">
        <v>36</v>
      </c>
      <c r="O12">
        <v>23</v>
      </c>
      <c r="P12">
        <v>34.5</v>
      </c>
    </row>
    <row r="13" spans="1:16">
      <c r="A13" s="6">
        <v>11</v>
      </c>
      <c r="B13">
        <v>81.5</v>
      </c>
      <c r="C13">
        <v>82.5</v>
      </c>
      <c r="D13">
        <f>(B13+C13)/2</f>
        <v>82</v>
      </c>
      <c r="E13" s="7">
        <f>1.854*10^6*1/D13^2</f>
        <v>275.72873289708508</v>
      </c>
      <c r="G13" s="1">
        <v>11</v>
      </c>
      <c r="H13">
        <v>35.5</v>
      </c>
      <c r="M13">
        <v>11</v>
      </c>
      <c r="N13">
        <v>35.5</v>
      </c>
      <c r="O13">
        <v>24</v>
      </c>
      <c r="P13">
        <v>35</v>
      </c>
    </row>
    <row r="14" spans="1:16">
      <c r="A14" s="6">
        <v>12</v>
      </c>
      <c r="B14">
        <v>82</v>
      </c>
      <c r="C14">
        <v>82.5</v>
      </c>
      <c r="D14">
        <f>(B14+C14)/2</f>
        <v>82.25</v>
      </c>
      <c r="E14" s="7">
        <f>1.854*10^6*1/D14^2</f>
        <v>274.05511774651012</v>
      </c>
      <c r="G14">
        <v>12</v>
      </c>
      <c r="H14">
        <v>36.5</v>
      </c>
      <c r="M14">
        <v>12</v>
      </c>
      <c r="N14">
        <v>36.5</v>
      </c>
      <c r="O14">
        <v>25</v>
      </c>
      <c r="P14">
        <v>37</v>
      </c>
    </row>
    <row r="15" spans="1:16">
      <c r="A15" s="6">
        <v>13</v>
      </c>
      <c r="B15">
        <v>81</v>
      </c>
      <c r="C15">
        <v>82.5</v>
      </c>
      <c r="D15">
        <f>(B15+C15)/2</f>
        <v>81.75</v>
      </c>
      <c r="E15" s="7">
        <f>1.854*10^6*1/D15^2</f>
        <v>277.4177257806582</v>
      </c>
      <c r="G15" s="1">
        <v>13</v>
      </c>
      <c r="H15">
        <v>36</v>
      </c>
      <c r="I15" t="s">
        <v>11</v>
      </c>
      <c r="J15">
        <f>SUBTOTAL(101,Table2[HV])</f>
        <v>35.26</v>
      </c>
      <c r="M15">
        <v>13</v>
      </c>
      <c r="N15">
        <v>36</v>
      </c>
      <c r="O15" s="11" t="s">
        <v>11</v>
      </c>
      <c r="P15" s="11">
        <f>AVERAGE(P3:P14,Table5[HV])</f>
        <v>35.26</v>
      </c>
    </row>
    <row r="16" spans="1:16">
      <c r="A16" s="6">
        <v>14</v>
      </c>
      <c r="B16">
        <v>82.5</v>
      </c>
      <c r="C16">
        <v>82.5</v>
      </c>
      <c r="D16">
        <f>(B16+C16)/2</f>
        <v>82.5</v>
      </c>
      <c r="E16" s="7">
        <f>1.854*10^6*1/D16^2</f>
        <v>272.39669421487605</v>
      </c>
      <c r="G16">
        <v>14</v>
      </c>
      <c r="H16">
        <v>36</v>
      </c>
    </row>
    <row r="17" spans="1:8">
      <c r="A17" s="6">
        <v>15</v>
      </c>
      <c r="B17">
        <v>80.5</v>
      </c>
      <c r="C17">
        <v>81.5</v>
      </c>
      <c r="D17">
        <f>(B17+C17)/2</f>
        <v>81</v>
      </c>
      <c r="E17" s="7">
        <f>1.854*10^6*1/D17^2</f>
        <v>282.57887517146776</v>
      </c>
      <c r="G17" s="1">
        <v>15</v>
      </c>
      <c r="H17">
        <v>35.5</v>
      </c>
    </row>
    <row r="18" spans="1:8">
      <c r="A18" s="6">
        <v>16</v>
      </c>
      <c r="B18">
        <v>81.5</v>
      </c>
      <c r="C18">
        <v>81.5</v>
      </c>
      <c r="D18">
        <f>(B18+C18)/2</f>
        <v>81.5</v>
      </c>
      <c r="E18" s="7">
        <f>1.854*10^6*1/D18^2</f>
        <v>279.12228537016824</v>
      </c>
      <c r="G18">
        <v>16</v>
      </c>
      <c r="H18">
        <v>34.5</v>
      </c>
    </row>
    <row r="19" spans="1:8">
      <c r="A19" s="6">
        <v>17</v>
      </c>
      <c r="B19">
        <v>82.5</v>
      </c>
      <c r="C19">
        <v>80.5</v>
      </c>
      <c r="D19">
        <f>(B19+C19)/2</f>
        <v>81.5</v>
      </c>
      <c r="E19" s="7">
        <f>1.854*10^6*1/D19^2</f>
        <v>279.12228537016824</v>
      </c>
      <c r="G19" s="1">
        <v>17</v>
      </c>
      <c r="H19">
        <v>36</v>
      </c>
    </row>
    <row r="20" spans="1:8">
      <c r="A20" s="6">
        <v>18</v>
      </c>
      <c r="B20">
        <v>80.5</v>
      </c>
      <c r="C20">
        <v>81.5</v>
      </c>
      <c r="D20">
        <f>(B20+C20)/2</f>
        <v>81</v>
      </c>
      <c r="E20" s="7">
        <f>1.854*10^6*1/D20^2</f>
        <v>282.57887517146776</v>
      </c>
      <c r="G20">
        <v>18</v>
      </c>
      <c r="H20">
        <v>33</v>
      </c>
    </row>
    <row r="21" spans="1:8">
      <c r="A21" s="6">
        <v>19</v>
      </c>
      <c r="B21">
        <v>82.5</v>
      </c>
      <c r="C21">
        <v>80.5</v>
      </c>
      <c r="D21">
        <f>(B21+C21)/2</f>
        <v>81.5</v>
      </c>
      <c r="E21" s="7">
        <f>1.854*10^6*1/D21^2</f>
        <v>279.12228537016824</v>
      </c>
      <c r="G21" s="1">
        <v>19</v>
      </c>
      <c r="H21">
        <v>34</v>
      </c>
    </row>
    <row r="22" spans="1:8">
      <c r="A22" s="6">
        <v>20</v>
      </c>
      <c r="B22">
        <v>80</v>
      </c>
      <c r="C22">
        <v>81</v>
      </c>
      <c r="D22">
        <f>(B22+C22)/2</f>
        <v>80.5</v>
      </c>
      <c r="E22" s="7">
        <f>1.854*10^6*1/D22^2</f>
        <v>286.10007329964122</v>
      </c>
      <c r="G22">
        <v>20</v>
      </c>
      <c r="H22">
        <v>34.5</v>
      </c>
    </row>
    <row r="23" spans="1:8">
      <c r="A23" s="6">
        <v>21</v>
      </c>
      <c r="B23">
        <v>80.5</v>
      </c>
      <c r="C23">
        <v>81</v>
      </c>
      <c r="D23">
        <f>(B23+C23)/2</f>
        <v>80.75</v>
      </c>
      <c r="E23" s="7">
        <f>1.854*10^6*1/D23^2</f>
        <v>284.33129810503311</v>
      </c>
      <c r="G23" s="1">
        <v>21</v>
      </c>
      <c r="H23">
        <v>35.5</v>
      </c>
    </row>
    <row r="24" spans="1:8">
      <c r="A24" s="6">
        <v>22</v>
      </c>
      <c r="B24">
        <v>80</v>
      </c>
      <c r="C24">
        <v>81</v>
      </c>
      <c r="D24">
        <f>(B24+C24)/2</f>
        <v>80.5</v>
      </c>
      <c r="E24" s="7">
        <f>1.854*10^6*1/D24^2</f>
        <v>286.10007329964122</v>
      </c>
      <c r="G24">
        <v>22</v>
      </c>
      <c r="H24">
        <v>35</v>
      </c>
    </row>
    <row r="25" spans="1:8">
      <c r="A25" s="6">
        <v>23</v>
      </c>
      <c r="B25">
        <v>78</v>
      </c>
      <c r="C25">
        <v>79.5</v>
      </c>
      <c r="D25">
        <f>(B25+C25)/2</f>
        <v>78.75</v>
      </c>
      <c r="E25" s="7">
        <f>1.854*10^6*1/D25^2</f>
        <v>298.95691609977325</v>
      </c>
      <c r="G25" s="1">
        <v>23</v>
      </c>
      <c r="H25">
        <v>34.5</v>
      </c>
    </row>
    <row r="26" spans="1:8">
      <c r="A26" s="6">
        <v>24</v>
      </c>
      <c r="B26">
        <v>79</v>
      </c>
      <c r="C26">
        <v>80</v>
      </c>
      <c r="D26">
        <f>(B26+C26)/2</f>
        <v>79.5</v>
      </c>
      <c r="E26" s="7">
        <f>1.854*10^6*1/D26^2</f>
        <v>293.3428266286935</v>
      </c>
      <c r="G26">
        <v>24</v>
      </c>
      <c r="H26">
        <v>35</v>
      </c>
    </row>
    <row r="27" spans="1:8">
      <c r="A27" s="8">
        <v>25</v>
      </c>
      <c r="B27" s="9">
        <v>81</v>
      </c>
      <c r="C27" s="9">
        <v>80.5</v>
      </c>
      <c r="D27" s="9">
        <f>(B27+C27)/2</f>
        <v>80.75</v>
      </c>
      <c r="E27" s="10">
        <f>1.854*10^6*1/D27^2</f>
        <v>284.33129810503311</v>
      </c>
      <c r="G27" s="2">
        <v>25</v>
      </c>
      <c r="H27">
        <v>37</v>
      </c>
    </row>
    <row r="28" spans="1:8">
      <c r="D28">
        <f>SUBTOTAL(101,Table1[D])</f>
        <v>81.34</v>
      </c>
      <c r="E28">
        <f>SUBTOTAL(101,Table1[HV])</f>
        <v>280.33575736935853</v>
      </c>
      <c r="H28">
        <f>SUBTOTAL(101,Table2[HV])</f>
        <v>35.26</v>
      </c>
    </row>
    <row r="33" spans="6:14">
      <c r="F33" s="18" t="s">
        <v>12</v>
      </c>
      <c r="G33" s="19">
        <v>0.8</v>
      </c>
    </row>
    <row r="34" spans="6:14">
      <c r="F34" s="18" t="s">
        <v>13</v>
      </c>
      <c r="G34" s="19">
        <f>1-G33</f>
        <v>0.19999999999999996</v>
      </c>
      <c r="M34" s="18" t="s">
        <v>12</v>
      </c>
      <c r="N34" s="19">
        <v>0.8</v>
      </c>
    </row>
    <row r="35" spans="6:14">
      <c r="F35" s="18" t="s">
        <v>14</v>
      </c>
      <c r="G35" s="19">
        <f>Table1[[#Totals],[HV]]</f>
        <v>280.33575736935853</v>
      </c>
      <c r="M35" s="18" t="s">
        <v>13</v>
      </c>
      <c r="N35" s="19">
        <f>1-N34</f>
        <v>0.19999999999999996</v>
      </c>
    </row>
    <row r="36" spans="6:14">
      <c r="F36" s="18" t="s">
        <v>15</v>
      </c>
      <c r="G36" s="19">
        <f>STDEV(Table1[HV])</f>
        <v>6.7366865066393853</v>
      </c>
      <c r="M36" s="18" t="s">
        <v>14</v>
      </c>
      <c r="N36" s="19">
        <f>Table2[[#Totals],[HV]]</f>
        <v>35.26</v>
      </c>
    </row>
    <row r="37" spans="6:14">
      <c r="F37" s="18" t="s">
        <v>16</v>
      </c>
      <c r="G37" s="19">
        <f>COUNT(Table1[HV])</f>
        <v>25</v>
      </c>
      <c r="L37" t="s">
        <v>17</v>
      </c>
      <c r="M37" s="18" t="s">
        <v>15</v>
      </c>
      <c r="N37" s="19">
        <f>_xlfn.STDEV.P(Table2[HV])</f>
        <v>1.0011992808627059</v>
      </c>
    </row>
    <row r="38" spans="6:14">
      <c r="F38" s="18" t="s">
        <v>18</v>
      </c>
      <c r="G38" s="19">
        <f>CONFIDENCE(G34,G36,G37)</f>
        <v>1.7266822278333782</v>
      </c>
      <c r="M38" s="18" t="s">
        <v>16</v>
      </c>
      <c r="N38" s="19">
        <f>COUNT(Table1[HV])</f>
        <v>25</v>
      </c>
    </row>
    <row r="39" spans="6:14">
      <c r="F39" s="18" t="s">
        <v>19</v>
      </c>
      <c r="G39" s="19" t="s">
        <v>17</v>
      </c>
      <c r="M39" s="18" t="s">
        <v>18</v>
      </c>
      <c r="N39" s="19">
        <f>CONFIDENCE(N35,N37,N38)</f>
        <v>0.25661770116234583</v>
      </c>
    </row>
    <row r="40" spans="6:14">
      <c r="M40" s="18" t="s">
        <v>19</v>
      </c>
      <c r="N40" s="20" t="s">
        <v>20</v>
      </c>
    </row>
    <row r="41" spans="6:14">
      <c r="F41" s="17" t="str">
        <f>CONCATENATE(F37," +/- ",F40)</f>
        <v xml:space="preserve">Sample size +/- </v>
      </c>
    </row>
    <row r="42" spans="6:14">
      <c r="N42" t="s">
        <v>21</v>
      </c>
    </row>
  </sheetData>
  <mergeCells count="2">
    <mergeCell ref="A1:E1"/>
    <mergeCell ref="G1:H1"/>
  </mergeCells>
  <phoneticPr fontId="6" type="noConversion"/>
  <pageMargins left="0.7" right="0.7" top="0.75" bottom="0.75" header="0.3" footer="0.3"/>
  <pageSetup orientation="portrait" verticalDpi="0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C8E4-C141-4E45-8285-E1EC6D1D5AD2}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809DB-B1A4-4453-AD03-F602E2111855}">
  <dimension ref="A1:D30"/>
  <sheetViews>
    <sheetView workbookViewId="0">
      <selection sqref="A1:B30"/>
    </sheetView>
  </sheetViews>
  <sheetFormatPr defaultRowHeight="15"/>
  <cols>
    <col min="1" max="1" width="31.28515625" customWidth="1"/>
    <col min="2" max="2" width="19.85546875" customWidth="1"/>
  </cols>
  <sheetData>
    <row r="1" spans="1:4" ht="43.5" customHeight="1">
      <c r="A1" s="13" t="s">
        <v>22</v>
      </c>
      <c r="B1" s="14" t="s">
        <v>23</v>
      </c>
    </row>
    <row r="2" spans="1:4" ht="15.75" thickBot="1">
      <c r="A2" s="25" t="s">
        <v>24</v>
      </c>
      <c r="B2" s="26"/>
    </row>
    <row r="3" spans="1:4">
      <c r="A3" s="6" t="s">
        <v>25</v>
      </c>
      <c r="B3" s="7" t="s">
        <v>26</v>
      </c>
    </row>
    <row r="4" spans="1:4" ht="15.75" thickBot="1">
      <c r="A4" s="25" t="s">
        <v>27</v>
      </c>
      <c r="B4" s="26"/>
    </row>
    <row r="5" spans="1:4">
      <c r="A5" s="6" t="s">
        <v>28</v>
      </c>
      <c r="B5" s="7" t="s">
        <v>29</v>
      </c>
    </row>
    <row r="6" spans="1:4">
      <c r="A6" s="6" t="s">
        <v>30</v>
      </c>
      <c r="B6" s="7" t="s">
        <v>31</v>
      </c>
    </row>
    <row r="7" spans="1:4">
      <c r="A7" s="6" t="s">
        <v>32</v>
      </c>
      <c r="B7" s="7" t="s">
        <v>33</v>
      </c>
    </row>
    <row r="8" spans="1:4">
      <c r="A8" s="6" t="s">
        <v>34</v>
      </c>
      <c r="B8" s="7" t="s">
        <v>35</v>
      </c>
    </row>
    <row r="9" spans="1:4">
      <c r="A9" s="6" t="s">
        <v>36</v>
      </c>
      <c r="B9" s="7" t="s">
        <v>37</v>
      </c>
    </row>
    <row r="10" spans="1:4">
      <c r="A10" s="6" t="s">
        <v>38</v>
      </c>
      <c r="B10" s="7" t="s">
        <v>39</v>
      </c>
    </row>
    <row r="11" spans="1:4">
      <c r="A11" s="6" t="s">
        <v>40</v>
      </c>
      <c r="B11" s="7" t="s">
        <v>41</v>
      </c>
    </row>
    <row r="12" spans="1:4">
      <c r="A12" s="6" t="s">
        <v>42</v>
      </c>
      <c r="B12" s="7" t="s">
        <v>43</v>
      </c>
    </row>
    <row r="13" spans="1:4">
      <c r="A13" s="6" t="s">
        <v>44</v>
      </c>
      <c r="B13" s="7" t="s">
        <v>45</v>
      </c>
    </row>
    <row r="14" spans="1:4">
      <c r="A14" s="6" t="s">
        <v>46</v>
      </c>
      <c r="B14" s="7" t="s">
        <v>47</v>
      </c>
    </row>
    <row r="15" spans="1:4" ht="20.25" thickBot="1">
      <c r="A15" s="6" t="s">
        <v>48</v>
      </c>
      <c r="B15" s="7" t="s">
        <v>39</v>
      </c>
      <c r="D15" s="12"/>
    </row>
    <row r="16" spans="1:4" ht="16.5" thickTop="1" thickBot="1">
      <c r="A16" s="25" t="s">
        <v>49</v>
      </c>
      <c r="B16" s="26"/>
    </row>
    <row r="17" spans="1:2">
      <c r="A17" s="6" t="s">
        <v>50</v>
      </c>
      <c r="B17" s="7" t="s">
        <v>51</v>
      </c>
    </row>
    <row r="18" spans="1:2">
      <c r="A18" s="6" t="s">
        <v>52</v>
      </c>
      <c r="B18" s="7" t="s">
        <v>53</v>
      </c>
    </row>
    <row r="19" spans="1:2">
      <c r="A19" s="6" t="s">
        <v>54</v>
      </c>
      <c r="B19" s="7" t="s">
        <v>55</v>
      </c>
    </row>
    <row r="20" spans="1:2" ht="15.75" thickBot="1">
      <c r="A20" s="25" t="s">
        <v>56</v>
      </c>
      <c r="B20" s="26"/>
    </row>
    <row r="21" spans="1:2">
      <c r="A21" s="6" t="s">
        <v>57</v>
      </c>
      <c r="B21" s="7" t="s">
        <v>58</v>
      </c>
    </row>
    <row r="22" spans="1:2">
      <c r="A22" s="6" t="s">
        <v>59</v>
      </c>
      <c r="B22" s="7" t="s">
        <v>60</v>
      </c>
    </row>
    <row r="23" spans="1:2" ht="15.75" thickBot="1">
      <c r="A23" s="25" t="s">
        <v>61</v>
      </c>
      <c r="B23" s="26"/>
    </row>
    <row r="24" spans="1:2">
      <c r="A24" s="6" t="s">
        <v>62</v>
      </c>
      <c r="B24" s="7" t="s">
        <v>63</v>
      </c>
    </row>
    <row r="25" spans="1:2">
      <c r="A25" s="6" t="s">
        <v>64</v>
      </c>
      <c r="B25" s="7" t="s">
        <v>60</v>
      </c>
    </row>
    <row r="26" spans="1:2">
      <c r="A26" s="6" t="s">
        <v>65</v>
      </c>
      <c r="B26" s="7" t="s">
        <v>66</v>
      </c>
    </row>
    <row r="27" spans="1:2" ht="33" customHeight="1" thickBot="1">
      <c r="A27" s="27" t="s">
        <v>67</v>
      </c>
      <c r="B27" s="28"/>
    </row>
    <row r="28" spans="1:2">
      <c r="A28" s="6" t="s">
        <v>68</v>
      </c>
      <c r="B28" s="15">
        <v>27</v>
      </c>
    </row>
    <row r="29" spans="1:2">
      <c r="A29" s="6" t="s">
        <v>69</v>
      </c>
      <c r="B29" s="15">
        <v>27</v>
      </c>
    </row>
    <row r="30" spans="1:2">
      <c r="A30" s="8" t="s">
        <v>70</v>
      </c>
      <c r="B30" s="16">
        <v>28</v>
      </c>
    </row>
  </sheetData>
  <mergeCells count="6">
    <mergeCell ref="A4:B4"/>
    <mergeCell ref="A2:B2"/>
    <mergeCell ref="A27:B27"/>
    <mergeCell ref="A23:B23"/>
    <mergeCell ref="A20:B20"/>
    <mergeCell ref="A16:B1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3" ma:contentTypeDescription="Create a new document." ma:contentTypeScope="" ma:versionID="f557099976f4f16fa9627675cbeb3518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638d26fb7ab688331b9e3f60221f519a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0AD33F-0E33-4498-9B34-5430D0949ABC}"/>
</file>

<file path=customXml/itemProps2.xml><?xml version="1.0" encoding="utf-8"?>
<ds:datastoreItem xmlns:ds="http://schemas.openxmlformats.org/officeDocument/2006/customXml" ds:itemID="{5EF7E022-A138-445E-81A0-85313F412B8A}"/>
</file>

<file path=customXml/itemProps3.xml><?xml version="1.0" encoding="utf-8"?>
<ds:datastoreItem xmlns:ds="http://schemas.openxmlformats.org/officeDocument/2006/customXml" ds:itemID="{F6DD16D4-35DF-418E-9F2C-F7E1FF4749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Vaught</dc:creator>
  <cp:keywords/>
  <dc:description/>
  <cp:lastModifiedBy>Dangerfield, Ty</cp:lastModifiedBy>
  <cp:revision/>
  <dcterms:created xsi:type="dcterms:W3CDTF">2022-10-01T03:52:43Z</dcterms:created>
  <dcterms:modified xsi:type="dcterms:W3CDTF">2023-03-31T18:02:32Z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