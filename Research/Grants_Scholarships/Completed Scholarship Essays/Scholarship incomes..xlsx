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24" documentId="8_{0615C30F-1D7A-4635-B163-8D794BD3B9FD}" xr6:coauthVersionLast="47" xr6:coauthVersionMax="47" xr10:uidLastSave="{A9722E5C-DC8A-4A09-A68D-5FC80E8E2085}"/>
  <bookViews>
    <workbookView xWindow="-120" yWindow="-120" windowWidth="29040" windowHeight="15720" xr2:uid="{17ECE7FE-7DCE-4CA5-B12E-1FC5C22A20F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F18" i="1"/>
  <c r="E18" i="1"/>
  <c r="G12" i="1"/>
  <c r="F12" i="1"/>
  <c r="G15" i="1"/>
  <c r="F15" i="1"/>
  <c r="D9" i="1"/>
  <c r="D15" i="1" s="1"/>
  <c r="E11" i="1"/>
  <c r="E15" i="1" s="1"/>
  <c r="C11" i="1"/>
  <c r="C15" i="1" s="1"/>
  <c r="B7" i="1"/>
  <c r="B6" i="1"/>
  <c r="B4" i="1"/>
  <c r="B3" i="1"/>
  <c r="B8" i="1" s="1"/>
  <c r="B15" i="1" s="1"/>
  <c r="D18" i="1" l="1"/>
  <c r="B18" i="1"/>
  <c r="C18" i="1"/>
</calcChain>
</file>

<file path=xl/sharedStrings.xml><?xml version="1.0" encoding="utf-8"?>
<sst xmlns="http://schemas.openxmlformats.org/spreadsheetml/2006/main" count="8" uniqueCount="8">
  <si>
    <t>Fall 2021</t>
  </si>
  <si>
    <t>Spring 2022</t>
  </si>
  <si>
    <t>Fall 2022</t>
  </si>
  <si>
    <t>Spring 2023</t>
  </si>
  <si>
    <t>Fall 2023</t>
  </si>
  <si>
    <t>Spring 2024</t>
  </si>
  <si>
    <t>Semester Summary</t>
  </si>
  <si>
    <t>Year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</si>
</sst>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9C5700"/>
      <name val="Calibri"/>
      <family val="2"/>
      <scheme val="minor"/>
    </font>
    <font>
      <u/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1" applyNumberFormat="0" applyFill="0" applyAlignment="0" applyProtection="0"/>
  </cellStyleXfs>
  <cellXfs count="6">
    <xf numFmtId="0" fontId="0" fillId="0" borderId="0" xfId="0"/>
    <xf numFmtId="0" fontId="3" fillId="0" borderId="1" xfId="3"/>
    <xf numFmtId="0" fontId="1" fillId="2" borderId="0" xfId="1"/>
    <xf numFmtId="0" fontId="5" fillId="3" borderId="0" xfId="2" applyFont="1"/>
    <xf numFmtId="0" fontId="6" fillId="3" borderId="0" xfId="2" applyFont="1"/>
    <xf numFmtId="0" fontId="0" fillId="0" borderId="0" xfId="0" applyAlignment="1">
      <alignment horizontal="center"/>
    </xf>
  </cellXfs>
  <cellStyles count="4">
    <cellStyle name="Good" xfId="1" builtinId="26"/>
    <cellStyle name="Neutral" xfId="2" builtinId="28"/>
    <cellStyle name="Normal" xfId="0" builtinId="0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Semester Funding[F21-S24]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Sheet1!$B$15:$G$15</c:f>
              <c:numCache>
                <c:formatCode>General</c:formatCode>
                <c:ptCount val="6"/>
                <c:pt idx="0">
                  <c:v>12347.5</c:v>
                </c:pt>
                <c:pt idx="1">
                  <c:v>18872.5</c:v>
                </c:pt>
                <c:pt idx="2">
                  <c:v>17383</c:v>
                </c:pt>
                <c:pt idx="3">
                  <c:v>18733</c:v>
                </c:pt>
                <c:pt idx="4">
                  <c:v>24981</c:v>
                </c:pt>
                <c:pt idx="5">
                  <c:v>25484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9F-49E9-B114-D30053796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96783"/>
        <c:axId val="145591503"/>
      </c:scatterChart>
      <c:valAx>
        <c:axId val="14559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1503"/>
        <c:crosses val="autoZero"/>
        <c:crossBetween val="midCat"/>
      </c:valAx>
      <c:valAx>
        <c:axId val="14559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6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Funding[21-23]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1522244094488189"/>
                  <c:y val="0.462546296296296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Sheet1!$B$18:$D$18</c:f>
              <c:numCache>
                <c:formatCode>General</c:formatCode>
                <c:ptCount val="3"/>
                <c:pt idx="0">
                  <c:v>31220</c:v>
                </c:pt>
                <c:pt idx="1">
                  <c:v>36116</c:v>
                </c:pt>
                <c:pt idx="2">
                  <c:v>50465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D-4CFA-8DC6-6EBB31034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655295"/>
        <c:axId val="1704656735"/>
      </c:scatterChart>
      <c:valAx>
        <c:axId val="170465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56735"/>
        <c:crosses val="autoZero"/>
        <c:crossBetween val="midCat"/>
        <c:majorUnit val="1"/>
      </c:valAx>
      <c:valAx>
        <c:axId val="1704656735"/>
        <c:scaling>
          <c:orientation val="minMax"/>
          <c:max val="46000"/>
          <c:min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55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7363403813102044"/>
                  <c:y val="0.374583333333333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Sheet1!$B$19:$D$19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xVal>
          <c:yVal>
            <c:numRef>
              <c:f>Sheet1!$B$18:$D$18</c:f>
              <c:numCache>
                <c:formatCode>General</c:formatCode>
                <c:ptCount val="3"/>
                <c:pt idx="0">
                  <c:v>31220</c:v>
                </c:pt>
                <c:pt idx="1">
                  <c:v>36116</c:v>
                </c:pt>
                <c:pt idx="2">
                  <c:v>50465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44-4DD0-91FE-F679BC3E4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77871"/>
        <c:axId val="192578351"/>
      </c:scatterChart>
      <c:valAx>
        <c:axId val="19257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78351"/>
        <c:crosses val="autoZero"/>
        <c:crossBetween val="midCat"/>
        <c:majorUnit val="1"/>
      </c:valAx>
      <c:valAx>
        <c:axId val="192578351"/>
        <c:scaling>
          <c:orientation val="minMax"/>
          <c:max val="46000"/>
          <c:min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7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358028</xdr:colOff>
      <xdr:row>0</xdr:row>
      <xdr:rowOff>133070</xdr:rowOff>
    </xdr:from>
    <xdr:to>
      <xdr:col>15</xdr:col>
      <xdr:colOff>168088</xdr:colOff>
      <xdr:row>17</xdr:row>
      <xdr:rowOff>71158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C1AF80-F717-347D-356E-8BBAF03F0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342901</xdr:colOff>
      <xdr:row>19</xdr:row>
      <xdr:rowOff>80962</xdr:rowOff>
    </xdr:from>
    <xdr:to>
      <xdr:col>7</xdr:col>
      <xdr:colOff>377429</xdr:colOff>
      <xdr:row>33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91BEB8-86EB-99A6-4DF1-F3B6F45388BD}"/>
            </a:ext>
            <a:ext uri="{147F2762-F138-4A5C-976F-8EAC2B608ADB}">
              <a16:predDERef xmlns:a16="http://schemas.microsoft.com/office/drawing/2014/main" pred="{E2C1AF80-F717-347D-356E-8BBAF03F0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361949</xdr:colOff>
      <xdr:row>19</xdr:row>
      <xdr:rowOff>50146</xdr:rowOff>
    </xdr:from>
    <xdr:to>
      <xdr:col>15</xdr:col>
      <xdr:colOff>212911</xdr:colOff>
      <xdr:row>33</xdr:row>
      <xdr:rowOff>126346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E26DA1-E18D-FC86-40FE-D11FF6883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2FE5-7304-4E4F-A56B-FD78368C57E2}">
  <dimension ref="B1:G19"/>
  <sheetViews>
    <sheetView tabSelected="1" topLeftCell="A5" zoomScale="85" zoomScaleNormal="85" workbookViewId="0">
      <selection activeCell="G19" sqref="G19"/>
    </sheetView>
  </sheetViews>
  <sheetFormatPr defaultRowHeight="15"/>
  <cols>
    <col min="2" max="2" width="8.5703125" bestFit="1" customWidth="1"/>
    <col min="3" max="3" width="11" bestFit="1" customWidth="1"/>
    <col min="4" max="4" width="8.5703125" bestFit="1" customWidth="1"/>
    <col min="5" max="5" width="11" bestFit="1" customWidth="1"/>
    <col min="6" max="6" width="8.5703125" bestFit="1" customWidth="1"/>
    <col min="7" max="7" width="11" bestFit="1" customWidth="1"/>
  </cols>
  <sheetData>
    <row r="1" spans="2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>
      <c r="B2">
        <v>2100</v>
      </c>
      <c r="C2">
        <v>125</v>
      </c>
      <c r="D2">
        <v>2750</v>
      </c>
      <c r="E2">
        <v>2750</v>
      </c>
      <c r="F2">
        <v>2750</v>
      </c>
      <c r="G2">
        <v>2750</v>
      </c>
    </row>
    <row r="3" spans="2:7">
      <c r="B3">
        <f>6700/2</f>
        <v>3350</v>
      </c>
      <c r="C3">
        <v>3500</v>
      </c>
      <c r="D3">
        <v>2435</v>
      </c>
      <c r="E3">
        <v>2435</v>
      </c>
      <c r="F3">
        <v>2383</v>
      </c>
      <c r="G3">
        <v>2886</v>
      </c>
    </row>
    <row r="4" spans="2:7">
      <c r="B4">
        <f>6495/2</f>
        <v>3247.5</v>
      </c>
      <c r="C4">
        <v>2000</v>
      </c>
      <c r="D4">
        <v>3448</v>
      </c>
      <c r="E4">
        <v>3448</v>
      </c>
      <c r="F4">
        <v>3698</v>
      </c>
      <c r="G4">
        <v>3698</v>
      </c>
    </row>
    <row r="5" spans="2:7">
      <c r="B5">
        <v>500</v>
      </c>
      <c r="C5">
        <v>3247.5</v>
      </c>
      <c r="D5">
        <v>5000</v>
      </c>
      <c r="E5">
        <v>5000</v>
      </c>
      <c r="F5">
        <v>5000</v>
      </c>
      <c r="G5">
        <v>5000</v>
      </c>
    </row>
    <row r="6" spans="2:7">
      <c r="B6">
        <f>3300/2</f>
        <v>1650</v>
      </c>
      <c r="C6">
        <v>3350</v>
      </c>
      <c r="D6">
        <v>1500</v>
      </c>
      <c r="E6">
        <v>1500</v>
      </c>
      <c r="F6">
        <v>1650</v>
      </c>
      <c r="G6">
        <v>1650</v>
      </c>
    </row>
    <row r="7" spans="2:7">
      <c r="B7">
        <f>3000/2</f>
        <v>1500</v>
      </c>
      <c r="C7">
        <v>500</v>
      </c>
      <c r="D7">
        <v>750</v>
      </c>
      <c r="E7">
        <v>750</v>
      </c>
      <c r="F7">
        <v>500</v>
      </c>
      <c r="G7">
        <v>500</v>
      </c>
    </row>
    <row r="8" spans="2:7" ht="15.75" thickBot="1">
      <c r="B8" s="1">
        <f>SUM(B2:B7)</f>
        <v>12347.5</v>
      </c>
      <c r="C8">
        <v>1500</v>
      </c>
      <c r="D8">
        <v>1500</v>
      </c>
      <c r="E8">
        <v>1500</v>
      </c>
      <c r="F8">
        <v>1500</v>
      </c>
      <c r="G8">
        <v>1500</v>
      </c>
    </row>
    <row r="9" spans="2:7">
      <c r="C9">
        <v>1650</v>
      </c>
      <c r="D9" s="1">
        <f>SUM(D2:D8)</f>
        <v>17383</v>
      </c>
      <c r="E9">
        <v>100</v>
      </c>
      <c r="F9">
        <v>2500</v>
      </c>
      <c r="G9">
        <v>2500</v>
      </c>
    </row>
    <row r="10" spans="2:7">
      <c r="C10">
        <v>3000</v>
      </c>
      <c r="E10">
        <v>1250</v>
      </c>
      <c r="F10">
        <v>2500</v>
      </c>
      <c r="G10">
        <v>2500</v>
      </c>
    </row>
    <row r="11" spans="2:7">
      <c r="C11" s="1">
        <f>SUM(C2:C10)</f>
        <v>18872.5</v>
      </c>
      <c r="E11" s="1">
        <f>SUM(E2:E10)</f>
        <v>18733</v>
      </c>
      <c r="F11">
        <v>2500</v>
      </c>
      <c r="G11">
        <v>2500</v>
      </c>
    </row>
    <row r="12" spans="2:7">
      <c r="F12" s="1">
        <f>SUM(F2:F11)</f>
        <v>24981</v>
      </c>
      <c r="G12" s="1">
        <f>SUM(G2:G11)</f>
        <v>25484</v>
      </c>
    </row>
    <row r="14" spans="2:7">
      <c r="B14" s="5" t="s">
        <v>6</v>
      </c>
      <c r="C14" s="5"/>
      <c r="D14" s="5"/>
      <c r="E14" s="5"/>
      <c r="F14" s="5"/>
      <c r="G14" s="5"/>
    </row>
    <row r="15" spans="2:7">
      <c r="B15">
        <f>B8</f>
        <v>12347.5</v>
      </c>
      <c r="C15">
        <f>C11</f>
        <v>18872.5</v>
      </c>
      <c r="D15">
        <f>D9</f>
        <v>17383</v>
      </c>
      <c r="E15">
        <f>E11</f>
        <v>18733</v>
      </c>
      <c r="F15">
        <f>F12</f>
        <v>24981</v>
      </c>
      <c r="G15">
        <f>G12</f>
        <v>25484</v>
      </c>
    </row>
    <row r="17" spans="2:7">
      <c r="B17" s="5" t="s">
        <v>7</v>
      </c>
      <c r="C17" s="5"/>
      <c r="D17" s="5"/>
      <c r="E17" s="5"/>
      <c r="F17" s="5"/>
      <c r="G17" s="5"/>
    </row>
    <row r="18" spans="2:7">
      <c r="B18" s="2">
        <f>B15+C15</f>
        <v>31220</v>
      </c>
      <c r="C18" s="2">
        <f>D15+E15</f>
        <v>36116</v>
      </c>
      <c r="D18" s="2">
        <f>F15+G15</f>
        <v>50465</v>
      </c>
      <c r="E18" s="4">
        <f>4726.5*4^2-9283.5*4+35777</f>
        <v>74267</v>
      </c>
      <c r="F18" s="4">
        <f>4726.5*5^2-9283.5*5+35777</f>
        <v>107522</v>
      </c>
      <c r="G18" s="4">
        <f>4726.5*6^2-9283.5*6+35777</f>
        <v>150230</v>
      </c>
    </row>
    <row r="19" spans="2:7">
      <c r="B19" s="2">
        <v>2021</v>
      </c>
      <c r="C19" s="2">
        <v>2022</v>
      </c>
      <c r="D19" s="2">
        <v>2023</v>
      </c>
      <c r="E19" s="3">
        <v>2024</v>
      </c>
      <c r="F19" s="3">
        <v>2025</v>
      </c>
      <c r="G19" s="3">
        <v>2026</v>
      </c>
    </row>
  </sheetData>
  <mergeCells count="2">
    <mergeCell ref="B14:G14"/>
    <mergeCell ref="B17:G17"/>
  </mergeCells>
  <phoneticPr fontId="4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6" ma:contentTypeDescription="Create a new document." ma:contentTypeScope="" ma:versionID="87efca25a0bca7c424e18cd1363e3a14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5b91cefc5a0cf76464cb3fb5b79f7b8c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638313-1e11-4999-9038-bfa2141b3777" xsi:nil="true"/>
  </documentManagement>
</p:properties>
</file>

<file path=customXml/itemProps1.xml><?xml version="1.0" encoding="utf-8"?>
<ds:datastoreItem xmlns:ds="http://schemas.openxmlformats.org/officeDocument/2006/customXml" ds:itemID="{3A823435-7B7E-4E26-8766-95059E0F94A7}"/>
</file>

<file path=customXml/itemProps2.xml><?xml version="1.0" encoding="utf-8"?>
<ds:datastoreItem xmlns:ds="http://schemas.openxmlformats.org/officeDocument/2006/customXml" ds:itemID="{B74A37BD-1AFA-4A89-B949-7A4297F242B0}"/>
</file>

<file path=customXml/itemProps3.xml><?xml version="1.0" encoding="utf-8"?>
<ds:datastoreItem xmlns:ds="http://schemas.openxmlformats.org/officeDocument/2006/customXml" ds:itemID="{973F1C34-2CEF-4F43-942C-3916A1874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Vaught, Jacob</dc:creator>
  <cp:keywords/>
  <dc:description/>
  <cp:lastModifiedBy>Vaught, Jacob</cp:lastModifiedBy>
  <cp:revision/>
  <dcterms:created xsi:type="dcterms:W3CDTF">2023-07-21T23:50:29Z</dcterms:created>
  <dcterms:modified xsi:type="dcterms:W3CDTF">2023-12-26T20:31:09Z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