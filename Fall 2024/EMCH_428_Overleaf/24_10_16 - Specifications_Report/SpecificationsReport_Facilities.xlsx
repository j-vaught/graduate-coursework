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sabalows\Documents\EMCH427_428\Fall2024_Artifacts\002\SpecsReport\"/>
    </mc:Choice>
  </mc:AlternateContent>
  <xr:revisionPtr revIDLastSave="0" documentId="13_ncr:1_{E34996CE-EADF-4298-9055-4DBC0673B6AA}" xr6:coauthVersionLast="47" xr6:coauthVersionMax="47" xr10:uidLastSave="{00000000-0000-0000-0000-000000000000}"/>
  <bookViews>
    <workbookView xWindow="-110" yWindow="-110" windowWidth="19420" windowHeight="10420" xr2:uid="{1B1F534D-2971-462D-9DB3-879A15B3973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 i="1" l="1"/>
  <c r="D6" i="1"/>
  <c r="D5" i="1"/>
  <c r="D14" i="1" l="1"/>
  <c r="D8" i="1"/>
  <c r="D40" i="1"/>
  <c r="B30" i="1"/>
  <c r="D25" i="1"/>
  <c r="D22" i="1"/>
  <c r="D21" i="1"/>
  <c r="C30" i="1"/>
  <c r="D35" i="1" l="1"/>
  <c r="D33" i="1"/>
  <c r="D27" i="1"/>
  <c r="D26" i="1"/>
  <c r="D24" i="1"/>
  <c r="D29" i="1"/>
  <c r="D15" i="1"/>
  <c r="D9" i="1"/>
  <c r="D20" i="1"/>
  <c r="D19" i="1" l="1"/>
  <c r="D18" i="1"/>
  <c r="D17" i="1"/>
  <c r="D13" i="1"/>
  <c r="D11" i="1"/>
  <c r="D7" i="1"/>
  <c r="D3" i="1"/>
  <c r="D2" i="1"/>
  <c r="D30" i="1" l="1"/>
  <c r="D38" i="1" s="1"/>
  <c r="D42" i="1" s="1"/>
</calcChain>
</file>

<file path=xl/sharedStrings.xml><?xml version="1.0" encoding="utf-8"?>
<sst xmlns="http://schemas.openxmlformats.org/spreadsheetml/2006/main" count="47" uniqueCount="47">
  <si>
    <t>Introduction</t>
  </si>
  <si>
    <t>Factor</t>
  </si>
  <si>
    <t>Score</t>
  </si>
  <si>
    <t>Input</t>
  </si>
  <si>
    <t>Sum</t>
  </si>
  <si>
    <t>Grammar, spelling and formatting:  Written all in passive voice, no spelling or grammar errors detected, all formatting requirements satisfied (page numbering, title page, figure and table labeling, header, etc.)</t>
  </si>
  <si>
    <t>15 pts</t>
  </si>
  <si>
    <t>Subtotal:</t>
  </si>
  <si>
    <t>Final Score</t>
  </si>
  <si>
    <t>Lateness deductions: Number of days late</t>
  </si>
  <si>
    <t>Statement of what major subject/theme of the report is (i.e. identifying metrics, target and fallback specifications)</t>
  </si>
  <si>
    <t>Statement identifying approach used to identify priority parameters or engineering charateristics</t>
  </si>
  <si>
    <t>Needs Metrics</t>
  </si>
  <si>
    <t>All metrics clearly indicate a testable/measurable quality, and all units are appropriate and consistent</t>
  </si>
  <si>
    <t>Key observations are supplied… e.g. which needs have a high amount of metrics that affect them, which E.C.’s correlate to many needs, which E.C.s will be a strong focus and why, which E.C.s will have aggressive target values and why, etc.</t>
  </si>
  <si>
    <t>Bonus: used entire House of Quality: Has correlation matrix (the "roof"), Customer Assessment, and Technical Assessment ("Room 7")</t>
  </si>
  <si>
    <t>Target and Fallback Specifications</t>
  </si>
  <si>
    <t>Briefly explains process for identifying target and fallback values (esp. any calculations, assumptions, or references you relied heavily upon).</t>
  </si>
  <si>
    <t>Target values and units are appropriate, and the majority are supplied as a RANGE of values</t>
  </si>
  <si>
    <t>Fallback values and units are appropriate, and the majority are supplied as a RANGE of values</t>
  </si>
  <si>
    <t>ALL values (target and fallback) have at least one Reference associated with them</t>
  </si>
  <si>
    <t>Conclusions</t>
  </si>
  <si>
    <t>States key outcomes from the process (metrics matrix), such as which characteristics are most impactful, and why, which needs will be a key focus in product development</t>
  </si>
  <si>
    <t>Explains which specifications are aggressive and why</t>
  </si>
  <si>
    <t>Explains which customer needs and associated metrics will be critical and why</t>
  </si>
  <si>
    <t>References: Uses a conistent format, is complete, ordered correctly, and all references listed were cited (and all citations made have a reference)</t>
  </si>
  <si>
    <t>References</t>
  </si>
  <si>
    <t>Supplies table listing all the CRs (Needs), their metrics (ways of measuring success), and affiliated units.  Table is labeled as Table 1, and include appropriate, descriptive title.</t>
  </si>
  <si>
    <t>Indicates how many needs originally identified</t>
  </si>
  <si>
    <t>Indicates how many needs reduced to for preliminay design analysis</t>
  </si>
  <si>
    <t>Supplies brief explanation/list of which needs  are not being carried forward in preliminary design (for consideration of performance requirements and metrics), and why not</t>
  </si>
  <si>
    <t>Needs Metrics Matrix (or House of Quality)</t>
  </si>
  <si>
    <t>Methodology: Explanation of the matrix approach used is supplied.  All numbering systems used are explained (e.g. importance factors, weight factors range, rationale, what is strong or weak number, how total points were calculated).  Enough detail supplied that a reader can recreate the process. Refer to this matrix as Figure 1, and title it appropriately</t>
  </si>
  <si>
    <t>Figure 1 is supplied, has an appropriate title, has all required elements (CRs, importance weight factors, Engineering Characteristics, units, correlation coefficients, total points and ranks)</t>
  </si>
  <si>
    <t>Rationale: The reason/motivation for creating this figure is well explained</t>
  </si>
  <si>
    <t xml:space="preserve">Summarizes the E.C.s, target values (or ranges), and fallback values (or ranges) in a table. Refers to this table as Table 2 (with appropriate title). </t>
  </si>
  <si>
    <t>Table 2 is supplied, appropriately titled</t>
  </si>
  <si>
    <t>Explains which specifications may be the most challenging to satisfy and why</t>
  </si>
  <si>
    <t>Conceptual Quality:  Demonstrates understanding of key principles of the design process performed and the project/product/sponsor, critical and deeper thinking, insightful obesrations and conclusions</t>
  </si>
  <si>
    <t>20 pts</t>
  </si>
  <si>
    <t>Good</t>
  </si>
  <si>
    <t>NOTE: Table titles above, Figure titles below, and all must be numbered and have informative title.  Also, chnge writing to PASSIVE VOICE (no "we" and "our")</t>
  </si>
  <si>
    <t>first 5 or so bullets extraneous to this report… what is this report about?</t>
  </si>
  <si>
    <t>You can probably trim back to one key metric for many of these.  Good that you are thinking deeply on this, but generally, it is best to keep things as simple as practicle if that doesn't sacrifice quality. Also… are you sure metric units are the preferred unit to user?</t>
  </si>
  <si>
    <t>Good!</t>
  </si>
  <si>
    <t>Note: Table titles above, Figure titles go below.</t>
  </si>
  <si>
    <t>All good this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</si>
</sst>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8"/>
      <color rgb="FF000000"/>
      <name val="Segoe UI"/>
      <family val="2"/>
    </font>
    <font>
      <sz val="11"/>
      <color rgb="FF00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FFFF00"/>
        <bgColor indexed="64"/>
      </patternFill>
    </fill>
    <fill>
      <patternFill patternType="solid">
        <fgColor rgb="FFFFC000"/>
        <bgColor indexed="64"/>
      </patternFill>
    </fill>
  </fills>
  <borders count="2">
    <border>
      <left/>
      <right/>
      <top/>
      <bottom/>
      <diagonal/>
    </border>
    <border>
      <left/>
      <right/>
      <top/>
      <bottom style="medium">
        <color indexed="64"/>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horizontal="left" vertical="center" wrapText="1"/>
    </xf>
    <xf numFmtId="0" fontId="0" fillId="2" borderId="0" xfId="0" applyFill="1" applyAlignment="1">
      <alignment wrapText="1"/>
    </xf>
    <xf numFmtId="0" fontId="0" fillId="0" borderId="1" xfId="0" applyBorder="1"/>
    <xf numFmtId="0" fontId="1" fillId="0" borderId="0" xfId="0" applyFont="1"/>
    <xf numFmtId="0" fontId="1" fillId="2" borderId="0" xfId="0" applyFont="1" applyFill="1" applyAlignment="1">
      <alignment horizontal="left" vertical="center" wrapText="1"/>
    </xf>
    <xf numFmtId="0" fontId="0" fillId="2" borderId="0" xfId="0" applyFill="1"/>
    <xf numFmtId="0" fontId="3" fillId="0" borderId="0" xfId="0" applyFont="1"/>
    <xf numFmtId="0" fontId="1" fillId="0" borderId="0" xfId="0" applyFont="1" applyAlignment="1">
      <alignment horizontal="left" vertical="center" wrapText="1"/>
    </xf>
    <xf numFmtId="0" fontId="1" fillId="3" borderId="0" xfId="0" applyFont="1" applyFill="1"/>
    <xf numFmtId="0" fontId="0" fillId="4" borderId="0" xfId="0" applyFill="1"/>
    <xf numFmtId="0" fontId="0" fillId="0" borderId="0" xfId="0" applyAlignment="1">
      <alignment vertical="center" wrapText="1"/>
    </xf>
    <xf numFmtId="0" fontId="0" fillId="3"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Radio" firstButton="1" fmlaLink="$B$33"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checked="Checked" lockText="1" noThreeD="1"/>
</file>

<file path=xl/ctrlProps/ctrlProp6.xml><?xml version="1.0" encoding="utf-8"?>
<formControlPr xmlns="http://schemas.microsoft.com/office/spreadsheetml/2009/9/main" objectType="Radio" firstButton="1" fmlaLink="$B$35"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checked="Checked" lockText="1" noThreeD="1"/>
</file>

<file path=xl/ctrlProps/ctrlProp11.xml><?xml version="1.0" encoding="utf-8"?>
<formControlPr xmlns="http://schemas.microsoft.com/office/spreadsheetml/2009/9/main" objectType="GBox" noThreeD="1"/>
</file>

<file path=xl/ctrlProps/ctrlProp12.xml><?xml version="1.0" encoding="utf-8"?>
<formControlPr xmlns="http://schemas.microsoft.com/office/spreadsheetml/2009/9/main" objectType="GBox"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88900</xdr:colOff>
          <xdr:row>32</xdr:row>
          <xdr:rowOff>25400</xdr:rowOff>
        </xdr:from>
        <xdr:to>
          <xdr:col>0</xdr:col>
          <xdr:colOff>1130300</xdr:colOff>
          <xdr:row>32</xdr:row>
          <xdr:rowOff>254000</xdr:rowOff>
        </xdr:to>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Strongly 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1244600</xdr:colOff>
          <xdr:row>32</xdr:row>
          <xdr:rowOff>25400</xdr:rowOff>
        </xdr:from>
        <xdr:to>
          <xdr:col>0</xdr:col>
          <xdr:colOff>2146300</xdr:colOff>
          <xdr:row>32</xdr:row>
          <xdr:rowOff>234950</xdr:rowOff>
        </xdr:to>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2012950</xdr:colOff>
          <xdr:row>32</xdr:row>
          <xdr:rowOff>25400</xdr:rowOff>
        </xdr:from>
        <xdr:to>
          <xdr:col>0</xdr:col>
          <xdr:colOff>3302000</xdr:colOff>
          <xdr:row>32</xdr:row>
          <xdr:rowOff>241300</xdr:rowOff>
        </xdr:to>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Neither Agree/disagree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3467100</xdr:colOff>
          <xdr:row>32</xdr:row>
          <xdr:rowOff>25400</xdr:rowOff>
        </xdr:from>
        <xdr:to>
          <xdr:col>0</xdr:col>
          <xdr:colOff>4375150</xdr:colOff>
          <xdr:row>32</xdr:row>
          <xdr:rowOff>234950</xdr:rowOff>
        </xdr:to>
        <xdr:sp macro="" textlink="">
          <xdr:nvSpPr>
            <xdr:cNvPr id="1028" name="Option Button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4127500</xdr:colOff>
          <xdr:row>32</xdr:row>
          <xdr:rowOff>25400</xdr:rowOff>
        </xdr:from>
        <xdr:to>
          <xdr:col>0</xdr:col>
          <xdr:colOff>5035550</xdr:colOff>
          <xdr:row>32</xdr:row>
          <xdr:rowOff>234950</xdr:rowOff>
        </xdr:to>
        <xdr:sp macro="" textlink="">
          <xdr:nvSpPr>
            <xdr:cNvPr id="1029" name="Option Button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Strongly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88900</xdr:colOff>
          <xdr:row>34</xdr:row>
          <xdr:rowOff>25400</xdr:rowOff>
        </xdr:from>
        <xdr:to>
          <xdr:col>0</xdr:col>
          <xdr:colOff>1130300</xdr:colOff>
          <xdr:row>34</xdr:row>
          <xdr:rowOff>254000</xdr:rowOff>
        </xdr:to>
        <xdr:sp macro="" textlink="">
          <xdr:nvSpPr>
            <xdr:cNvPr id="1030" name="Option Button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Strongly 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1244600</xdr:colOff>
          <xdr:row>34</xdr:row>
          <xdr:rowOff>25400</xdr:rowOff>
        </xdr:from>
        <xdr:to>
          <xdr:col>0</xdr:col>
          <xdr:colOff>2146300</xdr:colOff>
          <xdr:row>34</xdr:row>
          <xdr:rowOff>234950</xdr:rowOff>
        </xdr:to>
        <xdr:sp macro="" textlink="">
          <xdr:nvSpPr>
            <xdr:cNvPr id="1031" name="Option Button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2012950</xdr:colOff>
          <xdr:row>34</xdr:row>
          <xdr:rowOff>25400</xdr:rowOff>
        </xdr:from>
        <xdr:to>
          <xdr:col>0</xdr:col>
          <xdr:colOff>3302000</xdr:colOff>
          <xdr:row>34</xdr:row>
          <xdr:rowOff>241300</xdr:rowOff>
        </xdr:to>
        <xdr:sp macro="" textlink="">
          <xdr:nvSpPr>
            <xdr:cNvPr id="1032" name="Option Button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Neither Agree/disagree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3467100</xdr:colOff>
          <xdr:row>34</xdr:row>
          <xdr:rowOff>25400</xdr:rowOff>
        </xdr:from>
        <xdr:to>
          <xdr:col>0</xdr:col>
          <xdr:colOff>4375150</xdr:colOff>
          <xdr:row>34</xdr:row>
          <xdr:rowOff>234950</xdr:rowOff>
        </xdr:to>
        <xdr:sp macro="" textlink="">
          <xdr:nvSpPr>
            <xdr:cNvPr id="1033" name="Option Button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4127500</xdr:colOff>
          <xdr:row>34</xdr:row>
          <xdr:rowOff>25400</xdr:rowOff>
        </xdr:from>
        <xdr:to>
          <xdr:col>0</xdr:col>
          <xdr:colOff>5035550</xdr:colOff>
          <xdr:row>34</xdr:row>
          <xdr:rowOff>234950</xdr:rowOff>
        </xdr:to>
        <xdr:sp macro="" textlink="">
          <xdr:nvSpPr>
            <xdr:cNvPr id="1034" name="Option Button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en-US" sz="800" b="0" i="0" u="none" strike="noStrike" baseline="0">
                  <a:solidFill>
                    <a:srgbClr val="000000"/>
                  </a:solidFill>
                  <a:latin typeface="Segoe UI"/>
                  <a:cs typeface="Segoe UI"/>
                </a:rPr>
                <a:t>Strongly Agree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69850</xdr:colOff>
          <xdr:row>32</xdr:row>
          <xdr:rowOff>6350</xdr:rowOff>
        </xdr:from>
        <xdr:to>
          <xdr:col>0</xdr:col>
          <xdr:colOff>5245100</xdr:colOff>
          <xdr:row>32</xdr:row>
          <xdr:rowOff>266700</xdr:rowOff>
        </xdr:to>
        <xdr:sp macro="" textlink="">
          <xdr:nvSpPr>
            <xdr:cNvPr id="1035" name="Group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Group Box 58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50800</xdr:colOff>
          <xdr:row>34</xdr:row>
          <xdr:rowOff>6350</xdr:rowOff>
        </xdr:from>
        <xdr:to>
          <xdr:col>0</xdr:col>
          <xdr:colOff>5321300</xdr:colOff>
          <xdr:row>34</xdr:row>
          <xdr:rowOff>266700</xdr:rowOff>
        </xdr:to>
        <xdr:sp macro="" textlink="">
          <xdr:nvSpPr>
            <xdr:cNvPr id="1036" name="Group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36576" tIns="32004" rIns="0" bIns="0" anchor="t" upright="1"/>
            <a:lstStyle/>
            <a:p>
              <a:pPr algn="l" rtl="0">
                <a:defRPr sz="1000"/>
              </a:pPr>
              <a:r>
                <a:rPr lang="en-US" sz="800" b="0" i="0" u="none" strike="noStrike" baseline="0">
                  <a:solidFill>
                    <a:srgbClr val="000000"/>
                  </a:solidFill>
                  <a:latin typeface="Segoe UI"/>
                  <a:cs typeface="Segoe UI"/>
                </a:rPr>
                <a:t>Group Box 59</a:t>
              </a:r>
            </a:p>
          </xdr:txBody>
        </xdr:sp>
        <xdr:clientData/>
      </xdr:twoCellAnchor>
    </mc:Choice>
    <mc:Fallback/>
  </mc:AlternateContent>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1DDE4-83C9-40F1-88BE-E9E7AB3DE58D}">
  <dimension ref="A1:E42"/>
  <sheetViews>
    <sheetView tabSelected="1" workbookViewId="0">
      <selection activeCell="E30" sqref="E30"/>
    </sheetView>
  </sheetViews>
  <sheetFormatPr defaultRowHeight="14.5" x14ac:dyDescent="0.35"/>
  <cols>
    <col min="1" max="1" width="79.54296875" customWidth="1"/>
  </cols>
  <sheetData>
    <row r="1" spans="1:5" x14ac:dyDescent="0.35">
      <c r="A1" s="6" t="s">
        <v>0</v>
      </c>
      <c r="B1" s="5" t="s">
        <v>3</v>
      </c>
      <c r="C1" s="5" t="s">
        <v>1</v>
      </c>
      <c r="D1" s="5" t="s">
        <v>2</v>
      </c>
    </row>
    <row r="2" spans="1:5" ht="29" x14ac:dyDescent="0.35">
      <c r="A2" s="2" t="s">
        <v>10</v>
      </c>
      <c r="B2" s="1">
        <v>0.8</v>
      </c>
      <c r="C2" s="1">
        <v>1</v>
      </c>
      <c r="D2" s="1">
        <f>B2*C2</f>
        <v>0.8</v>
      </c>
      <c r="E2" t="s">
        <v>42</v>
      </c>
    </row>
    <row r="3" spans="1:5" ht="29" x14ac:dyDescent="0.35">
      <c r="A3" s="2" t="s">
        <v>11</v>
      </c>
      <c r="B3">
        <v>1</v>
      </c>
      <c r="C3">
        <v>2</v>
      </c>
      <c r="D3" s="1">
        <f t="shared" ref="D3:D15" si="0">B3*C3</f>
        <v>2</v>
      </c>
    </row>
    <row r="4" spans="1:5" x14ac:dyDescent="0.35">
      <c r="A4" s="6" t="s">
        <v>12</v>
      </c>
      <c r="B4" s="3"/>
      <c r="C4" s="3"/>
      <c r="D4" s="3"/>
    </row>
    <row r="5" spans="1:5" x14ac:dyDescent="0.35">
      <c r="A5" s="1" t="s">
        <v>28</v>
      </c>
      <c r="B5" s="1">
        <v>1</v>
      </c>
      <c r="C5" s="1">
        <v>1</v>
      </c>
      <c r="D5" s="1">
        <f t="shared" si="0"/>
        <v>1</v>
      </c>
    </row>
    <row r="6" spans="1:5" x14ac:dyDescent="0.35">
      <c r="A6" s="1" t="s">
        <v>29</v>
      </c>
      <c r="B6" s="1">
        <v>1</v>
      </c>
      <c r="C6" s="1">
        <v>1</v>
      </c>
      <c r="D6" s="1">
        <f t="shared" ref="D6" si="1">B6*C6</f>
        <v>1</v>
      </c>
    </row>
    <row r="7" spans="1:5" ht="29" x14ac:dyDescent="0.35">
      <c r="A7" s="1" t="s">
        <v>30</v>
      </c>
      <c r="B7" s="1">
        <v>1</v>
      </c>
      <c r="C7">
        <v>3</v>
      </c>
      <c r="D7" s="1">
        <f t="shared" si="0"/>
        <v>3</v>
      </c>
    </row>
    <row r="8" spans="1:5" ht="29" x14ac:dyDescent="0.35">
      <c r="A8" s="12" t="s">
        <v>27</v>
      </c>
      <c r="B8" s="1">
        <v>1</v>
      </c>
      <c r="C8">
        <v>5</v>
      </c>
      <c r="D8" s="1">
        <f t="shared" si="0"/>
        <v>5</v>
      </c>
    </row>
    <row r="9" spans="1:5" x14ac:dyDescent="0.35">
      <c r="A9" s="8" t="s">
        <v>13</v>
      </c>
      <c r="B9" s="1">
        <v>1</v>
      </c>
      <c r="C9">
        <v>4</v>
      </c>
      <c r="D9" s="1">
        <f t="shared" si="0"/>
        <v>4</v>
      </c>
      <c r="E9" t="s">
        <v>43</v>
      </c>
    </row>
    <row r="10" spans="1:5" x14ac:dyDescent="0.35">
      <c r="A10" s="6" t="s">
        <v>31</v>
      </c>
      <c r="B10" s="3"/>
      <c r="C10" s="3"/>
      <c r="D10" s="3"/>
    </row>
    <row r="11" spans="1:5" ht="58" x14ac:dyDescent="0.35">
      <c r="A11" s="2" t="s">
        <v>32</v>
      </c>
      <c r="B11" s="1">
        <v>1</v>
      </c>
      <c r="C11">
        <v>5</v>
      </c>
      <c r="D11" s="1">
        <f t="shared" si="0"/>
        <v>5</v>
      </c>
      <c r="E11" t="s">
        <v>44</v>
      </c>
    </row>
    <row r="12" spans="1:5" x14ac:dyDescent="0.35">
      <c r="A12" s="2" t="s">
        <v>34</v>
      </c>
      <c r="B12" s="1">
        <v>1</v>
      </c>
      <c r="C12">
        <v>2</v>
      </c>
      <c r="D12" s="1">
        <f t="shared" ref="D12" si="2">B12*C12</f>
        <v>2</v>
      </c>
    </row>
    <row r="13" spans="1:5" ht="32.5" customHeight="1" x14ac:dyDescent="0.35">
      <c r="A13" s="1" t="s">
        <v>33</v>
      </c>
      <c r="B13" s="1">
        <v>1</v>
      </c>
      <c r="C13">
        <v>6</v>
      </c>
      <c r="D13" s="1">
        <f t="shared" si="0"/>
        <v>6</v>
      </c>
      <c r="E13" t="s">
        <v>45</v>
      </c>
    </row>
    <row r="14" spans="1:5" ht="43.5" x14ac:dyDescent="0.35">
      <c r="A14" s="1" t="s">
        <v>14</v>
      </c>
      <c r="B14" s="1">
        <v>1</v>
      </c>
      <c r="C14">
        <v>4</v>
      </c>
      <c r="D14" s="1">
        <f t="shared" si="0"/>
        <v>4</v>
      </c>
      <c r="E14" t="s">
        <v>40</v>
      </c>
    </row>
    <row r="15" spans="1:5" ht="29" x14ac:dyDescent="0.35">
      <c r="A15" s="13" t="s">
        <v>15</v>
      </c>
      <c r="B15" s="1">
        <v>1</v>
      </c>
      <c r="C15">
        <v>3</v>
      </c>
      <c r="D15" s="1">
        <f t="shared" si="0"/>
        <v>3</v>
      </c>
    </row>
    <row r="16" spans="1:5" x14ac:dyDescent="0.35">
      <c r="A16" s="6" t="s">
        <v>16</v>
      </c>
      <c r="B16" s="3"/>
      <c r="C16" s="3"/>
      <c r="D16" s="3"/>
    </row>
    <row r="17" spans="1:5" ht="29" x14ac:dyDescent="0.35">
      <c r="A17" s="2" t="s">
        <v>17</v>
      </c>
      <c r="B17" s="1">
        <v>1</v>
      </c>
      <c r="C17">
        <v>2</v>
      </c>
      <c r="D17" s="1">
        <f t="shared" ref="D17:D22" si="3">B17*C17</f>
        <v>2</v>
      </c>
    </row>
    <row r="18" spans="1:5" ht="29" x14ac:dyDescent="0.35">
      <c r="A18" s="2" t="s">
        <v>35</v>
      </c>
      <c r="B18" s="1">
        <v>1</v>
      </c>
      <c r="C18">
        <v>5</v>
      </c>
      <c r="D18" s="1">
        <f t="shared" si="3"/>
        <v>5</v>
      </c>
    </row>
    <row r="19" spans="1:5" x14ac:dyDescent="0.35">
      <c r="A19" s="2" t="s">
        <v>36</v>
      </c>
      <c r="B19" s="1">
        <v>1</v>
      </c>
      <c r="C19">
        <v>1</v>
      </c>
      <c r="D19" s="1">
        <f t="shared" si="3"/>
        <v>1</v>
      </c>
    </row>
    <row r="20" spans="1:5" x14ac:dyDescent="0.35">
      <c r="A20" s="2" t="s">
        <v>18</v>
      </c>
      <c r="B20">
        <v>1</v>
      </c>
      <c r="C20">
        <v>3</v>
      </c>
      <c r="D20" s="1">
        <f t="shared" si="3"/>
        <v>3</v>
      </c>
    </row>
    <row r="21" spans="1:5" ht="20" customHeight="1" x14ac:dyDescent="0.35">
      <c r="A21" s="2" t="s">
        <v>19</v>
      </c>
      <c r="B21">
        <v>1</v>
      </c>
      <c r="C21">
        <v>3</v>
      </c>
      <c r="D21" s="1">
        <f t="shared" si="3"/>
        <v>3</v>
      </c>
    </row>
    <row r="22" spans="1:5" x14ac:dyDescent="0.35">
      <c r="A22" s="2" t="s">
        <v>20</v>
      </c>
      <c r="B22" s="1">
        <v>1</v>
      </c>
      <c r="C22">
        <v>3</v>
      </c>
      <c r="D22" s="1">
        <f t="shared" si="3"/>
        <v>3</v>
      </c>
      <c r="E22" t="s">
        <v>46</v>
      </c>
    </row>
    <row r="23" spans="1:5" x14ac:dyDescent="0.35">
      <c r="A23" s="6" t="s">
        <v>21</v>
      </c>
      <c r="B23" s="3"/>
      <c r="C23" s="3"/>
      <c r="D23" s="3"/>
    </row>
    <row r="24" spans="1:5" ht="29" x14ac:dyDescent="0.35">
      <c r="A24" s="2" t="s">
        <v>22</v>
      </c>
      <c r="B24">
        <v>1</v>
      </c>
      <c r="C24">
        <v>3</v>
      </c>
      <c r="D24" s="1">
        <f>B24*C24</f>
        <v>3</v>
      </c>
    </row>
    <row r="25" spans="1:5" x14ac:dyDescent="0.35">
      <c r="A25" s="2" t="s">
        <v>23</v>
      </c>
      <c r="B25">
        <v>1</v>
      </c>
      <c r="C25">
        <v>3</v>
      </c>
      <c r="D25" s="1">
        <f>B25*C25</f>
        <v>3</v>
      </c>
    </row>
    <row r="26" spans="1:5" x14ac:dyDescent="0.35">
      <c r="A26" s="2" t="s">
        <v>24</v>
      </c>
      <c r="B26">
        <v>1</v>
      </c>
      <c r="C26">
        <v>2</v>
      </c>
      <c r="D26" s="1">
        <f>B26*C26</f>
        <v>2</v>
      </c>
    </row>
    <row r="27" spans="1:5" x14ac:dyDescent="0.35">
      <c r="A27" s="2" t="s">
        <v>37</v>
      </c>
      <c r="B27">
        <v>1</v>
      </c>
      <c r="C27">
        <v>2</v>
      </c>
      <c r="D27" s="1">
        <f>B27*C27</f>
        <v>2</v>
      </c>
    </row>
    <row r="28" spans="1:5" x14ac:dyDescent="0.35">
      <c r="A28" s="6" t="s">
        <v>26</v>
      </c>
      <c r="B28" s="7"/>
      <c r="C28" s="7"/>
      <c r="D28" s="7"/>
    </row>
    <row r="29" spans="1:5" ht="29.5" thickBot="1" x14ac:dyDescent="0.4">
      <c r="A29" s="1" t="s">
        <v>25</v>
      </c>
      <c r="B29" s="4">
        <v>1</v>
      </c>
      <c r="C29" s="4">
        <v>4</v>
      </c>
      <c r="D29" s="4">
        <f>B29*C29</f>
        <v>4</v>
      </c>
    </row>
    <row r="30" spans="1:5" x14ac:dyDescent="0.35">
      <c r="A30" s="9" t="s">
        <v>7</v>
      </c>
      <c r="B30">
        <f>SUM(B2:B29)</f>
        <v>22.8</v>
      </c>
      <c r="C30">
        <f>SUM(C2:C29)</f>
        <v>68</v>
      </c>
      <c r="D30">
        <f>SUM(D2:D29)</f>
        <v>67.8</v>
      </c>
    </row>
    <row r="31" spans="1:5" x14ac:dyDescent="0.35">
      <c r="A31" s="9"/>
    </row>
    <row r="32" spans="1:5" ht="43.5" x14ac:dyDescent="0.35">
      <c r="A32" s="2" t="s">
        <v>5</v>
      </c>
      <c r="E32" t="s">
        <v>6</v>
      </c>
    </row>
    <row r="33" spans="1:5" ht="23" customHeight="1" x14ac:dyDescent="0.35">
      <c r="B33">
        <v>5</v>
      </c>
      <c r="C33">
        <v>3</v>
      </c>
      <c r="D33">
        <f>B33*C33</f>
        <v>15</v>
      </c>
      <c r="E33" t="s">
        <v>41</v>
      </c>
    </row>
    <row r="34" spans="1:5" ht="43.5" x14ac:dyDescent="0.35">
      <c r="A34" s="2" t="s">
        <v>38</v>
      </c>
      <c r="E34" t="s">
        <v>39</v>
      </c>
    </row>
    <row r="35" spans="1:5" ht="25.5" customHeight="1" x14ac:dyDescent="0.35">
      <c r="B35">
        <v>5</v>
      </c>
      <c r="C35">
        <v>4</v>
      </c>
      <c r="D35">
        <f>B35*C35</f>
        <v>20</v>
      </c>
    </row>
    <row r="38" spans="1:5" x14ac:dyDescent="0.35">
      <c r="A38" s="5" t="s">
        <v>4</v>
      </c>
      <c r="D38">
        <f t="shared" ref="D38" si="4">SUM(D30:D35)</f>
        <v>102.8</v>
      </c>
    </row>
    <row r="40" spans="1:5" x14ac:dyDescent="0.35">
      <c r="A40" s="11" t="s">
        <v>9</v>
      </c>
      <c r="B40" s="11">
        <v>0</v>
      </c>
      <c r="C40" s="11"/>
      <c r="D40" s="11">
        <f>-10*B40</f>
        <v>0</v>
      </c>
    </row>
    <row r="42" spans="1:5" x14ac:dyDescent="0.35">
      <c r="A42" s="10" t="s">
        <v>8</v>
      </c>
      <c r="B42" s="10"/>
      <c r="C42" s="10"/>
      <c r="D42" s="10">
        <f>D38+D40</f>
        <v>102.8</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Option Button 1">
              <controlPr defaultSize="0" autoFill="0" autoLine="0" autoPict="0">
                <anchor moveWithCells="1">
                  <from>
                    <xdr:col>0</xdr:col>
                    <xdr:colOff>88900</xdr:colOff>
                    <xdr:row>32</xdr:row>
                    <xdr:rowOff>25400</xdr:rowOff>
                  </from>
                  <to>
                    <xdr:col>0</xdr:col>
                    <xdr:colOff>1130300</xdr:colOff>
                    <xdr:row>32</xdr:row>
                    <xdr:rowOff>254000</xdr:rowOff>
                  </to>
                </anchor>
              </controlPr>
            </control>
          </mc:Choice>
        </mc:AlternateContent>
        <mc:AlternateContent xmlns:mc="http://schemas.openxmlformats.org/markup-compatibility/2006">
          <mc:Choice Requires="x14">
            <control shapeId="1026" r:id="rId5" name="Option Button 2">
              <controlPr defaultSize="0" autoFill="0" autoLine="0" autoPict="0">
                <anchor moveWithCells="1">
                  <from>
                    <xdr:col>0</xdr:col>
                    <xdr:colOff>1244600</xdr:colOff>
                    <xdr:row>32</xdr:row>
                    <xdr:rowOff>25400</xdr:rowOff>
                  </from>
                  <to>
                    <xdr:col>0</xdr:col>
                    <xdr:colOff>2146300</xdr:colOff>
                    <xdr:row>32</xdr:row>
                    <xdr:rowOff>234950</xdr:rowOff>
                  </to>
                </anchor>
              </controlPr>
            </control>
          </mc:Choice>
        </mc:AlternateContent>
        <mc:AlternateContent xmlns:mc="http://schemas.openxmlformats.org/markup-compatibility/2006">
          <mc:Choice Requires="x14">
            <control shapeId="1027" r:id="rId6" name="Option Button 3">
              <controlPr defaultSize="0" autoFill="0" autoLine="0" autoPict="0">
                <anchor moveWithCells="1">
                  <from>
                    <xdr:col>0</xdr:col>
                    <xdr:colOff>2012950</xdr:colOff>
                    <xdr:row>32</xdr:row>
                    <xdr:rowOff>25400</xdr:rowOff>
                  </from>
                  <to>
                    <xdr:col>0</xdr:col>
                    <xdr:colOff>3302000</xdr:colOff>
                    <xdr:row>32</xdr:row>
                    <xdr:rowOff>241300</xdr:rowOff>
                  </to>
                </anchor>
              </controlPr>
            </control>
          </mc:Choice>
        </mc:AlternateContent>
        <mc:AlternateContent xmlns:mc="http://schemas.openxmlformats.org/markup-compatibility/2006">
          <mc:Choice Requires="x14">
            <control shapeId="1028" r:id="rId7" name="Option Button 4">
              <controlPr defaultSize="0" autoFill="0" autoLine="0" autoPict="0">
                <anchor moveWithCells="1">
                  <from>
                    <xdr:col>0</xdr:col>
                    <xdr:colOff>3467100</xdr:colOff>
                    <xdr:row>32</xdr:row>
                    <xdr:rowOff>25400</xdr:rowOff>
                  </from>
                  <to>
                    <xdr:col>0</xdr:col>
                    <xdr:colOff>4375150</xdr:colOff>
                    <xdr:row>32</xdr:row>
                    <xdr:rowOff>234950</xdr:rowOff>
                  </to>
                </anchor>
              </controlPr>
            </control>
          </mc:Choice>
        </mc:AlternateContent>
        <mc:AlternateContent xmlns:mc="http://schemas.openxmlformats.org/markup-compatibility/2006">
          <mc:Choice Requires="x14">
            <control shapeId="1029" r:id="rId8" name="Option Button 5">
              <controlPr defaultSize="0" autoFill="0" autoLine="0" autoPict="0">
                <anchor moveWithCells="1">
                  <from>
                    <xdr:col>0</xdr:col>
                    <xdr:colOff>4127500</xdr:colOff>
                    <xdr:row>32</xdr:row>
                    <xdr:rowOff>25400</xdr:rowOff>
                  </from>
                  <to>
                    <xdr:col>0</xdr:col>
                    <xdr:colOff>5035550</xdr:colOff>
                    <xdr:row>32</xdr:row>
                    <xdr:rowOff>234950</xdr:rowOff>
                  </to>
                </anchor>
              </controlPr>
            </control>
          </mc:Choice>
        </mc:AlternateContent>
        <mc:AlternateContent xmlns:mc="http://schemas.openxmlformats.org/markup-compatibility/2006">
          <mc:Choice Requires="x14">
            <control shapeId="1030" r:id="rId9" name="Option Button 6">
              <controlPr defaultSize="0" autoFill="0" autoLine="0" autoPict="0">
                <anchor moveWithCells="1">
                  <from>
                    <xdr:col>0</xdr:col>
                    <xdr:colOff>88900</xdr:colOff>
                    <xdr:row>34</xdr:row>
                    <xdr:rowOff>25400</xdr:rowOff>
                  </from>
                  <to>
                    <xdr:col>0</xdr:col>
                    <xdr:colOff>1130300</xdr:colOff>
                    <xdr:row>34</xdr:row>
                    <xdr:rowOff>254000</xdr:rowOff>
                  </to>
                </anchor>
              </controlPr>
            </control>
          </mc:Choice>
        </mc:AlternateContent>
        <mc:AlternateContent xmlns:mc="http://schemas.openxmlformats.org/markup-compatibility/2006">
          <mc:Choice Requires="x14">
            <control shapeId="1031" r:id="rId10" name="Option Button 7">
              <controlPr defaultSize="0" autoFill="0" autoLine="0" autoPict="0">
                <anchor moveWithCells="1">
                  <from>
                    <xdr:col>0</xdr:col>
                    <xdr:colOff>1244600</xdr:colOff>
                    <xdr:row>34</xdr:row>
                    <xdr:rowOff>25400</xdr:rowOff>
                  </from>
                  <to>
                    <xdr:col>0</xdr:col>
                    <xdr:colOff>2146300</xdr:colOff>
                    <xdr:row>34</xdr:row>
                    <xdr:rowOff>234950</xdr:rowOff>
                  </to>
                </anchor>
              </controlPr>
            </control>
          </mc:Choice>
        </mc:AlternateContent>
        <mc:AlternateContent xmlns:mc="http://schemas.openxmlformats.org/markup-compatibility/2006">
          <mc:Choice Requires="x14">
            <control shapeId="1032" r:id="rId11" name="Option Button 8">
              <controlPr defaultSize="0" autoFill="0" autoLine="0" autoPict="0">
                <anchor moveWithCells="1">
                  <from>
                    <xdr:col>0</xdr:col>
                    <xdr:colOff>2012950</xdr:colOff>
                    <xdr:row>34</xdr:row>
                    <xdr:rowOff>25400</xdr:rowOff>
                  </from>
                  <to>
                    <xdr:col>0</xdr:col>
                    <xdr:colOff>3302000</xdr:colOff>
                    <xdr:row>34</xdr:row>
                    <xdr:rowOff>241300</xdr:rowOff>
                  </to>
                </anchor>
              </controlPr>
            </control>
          </mc:Choice>
        </mc:AlternateContent>
        <mc:AlternateContent xmlns:mc="http://schemas.openxmlformats.org/markup-compatibility/2006">
          <mc:Choice Requires="x14">
            <control shapeId="1033" r:id="rId12" name="Option Button 9">
              <controlPr defaultSize="0" autoFill="0" autoLine="0" autoPict="0">
                <anchor moveWithCells="1">
                  <from>
                    <xdr:col>0</xdr:col>
                    <xdr:colOff>3467100</xdr:colOff>
                    <xdr:row>34</xdr:row>
                    <xdr:rowOff>25400</xdr:rowOff>
                  </from>
                  <to>
                    <xdr:col>0</xdr:col>
                    <xdr:colOff>4375150</xdr:colOff>
                    <xdr:row>34</xdr:row>
                    <xdr:rowOff>234950</xdr:rowOff>
                  </to>
                </anchor>
              </controlPr>
            </control>
          </mc:Choice>
        </mc:AlternateContent>
        <mc:AlternateContent xmlns:mc="http://schemas.openxmlformats.org/markup-compatibility/2006">
          <mc:Choice Requires="x14">
            <control shapeId="1034" r:id="rId13" name="Option Button 10">
              <controlPr defaultSize="0" autoFill="0" autoLine="0" autoPict="0">
                <anchor moveWithCells="1">
                  <from>
                    <xdr:col>0</xdr:col>
                    <xdr:colOff>4127500</xdr:colOff>
                    <xdr:row>34</xdr:row>
                    <xdr:rowOff>25400</xdr:rowOff>
                  </from>
                  <to>
                    <xdr:col>0</xdr:col>
                    <xdr:colOff>5035550</xdr:colOff>
                    <xdr:row>34</xdr:row>
                    <xdr:rowOff>234950</xdr:rowOff>
                  </to>
                </anchor>
              </controlPr>
            </control>
          </mc:Choice>
        </mc:AlternateContent>
        <mc:AlternateContent xmlns:mc="http://schemas.openxmlformats.org/markup-compatibility/2006">
          <mc:Choice Requires="x14">
            <control shapeId="1035" r:id="rId14" name="Group Box 11">
              <controlPr defaultSize="0" autoFill="0" autoPict="0">
                <anchor moveWithCells="1">
                  <from>
                    <xdr:col>0</xdr:col>
                    <xdr:colOff>69850</xdr:colOff>
                    <xdr:row>32</xdr:row>
                    <xdr:rowOff>6350</xdr:rowOff>
                  </from>
                  <to>
                    <xdr:col>0</xdr:col>
                    <xdr:colOff>5245100</xdr:colOff>
                    <xdr:row>32</xdr:row>
                    <xdr:rowOff>266700</xdr:rowOff>
                  </to>
                </anchor>
              </controlPr>
            </control>
          </mc:Choice>
        </mc:AlternateContent>
        <mc:AlternateContent xmlns:mc="http://schemas.openxmlformats.org/markup-compatibility/2006">
          <mc:Choice Requires="x14">
            <control shapeId="1036" r:id="rId15" name="Group Box 12">
              <controlPr defaultSize="0" autoFill="0" autoPict="0">
                <anchor moveWithCells="1">
                  <from>
                    <xdr:col>0</xdr:col>
                    <xdr:colOff>50800</xdr:colOff>
                    <xdr:row>34</xdr:row>
                    <xdr:rowOff>6350</xdr:rowOff>
                  </from>
                  <to>
                    <xdr:col>0</xdr:col>
                    <xdr:colOff>5321300</xdr:colOff>
                    <xdr:row>34</xdr:row>
                    <xdr:rowOff>266700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Sabalowsky, Andrew</dc:creator>
  <cp:lastModifiedBy>Sabalowsky, Andrew</cp:lastModifiedBy>
  <dcterms:created xsi:type="dcterms:W3CDTF">2023-01-30T15:07:52Z</dcterms:created>
  <dcterms:modified xsi:type="dcterms:W3CDTF">2024-10-27T20:59:51Z</dcterms:modified>
</cp:coreProperties>
</file>