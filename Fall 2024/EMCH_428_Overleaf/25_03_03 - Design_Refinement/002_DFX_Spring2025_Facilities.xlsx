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emailsc-my.sharepoint.com/personal/sabalows_mailbox_sc_edu/Documents/Documents/EMCH427_428/Spring2025_Artifacts/002/DFX_Report/"/>
    </mc:Choice>
  </mc:AlternateContent>
  <xr:revisionPtr revIDLastSave="0" documentId="8_{A96E3FD7-3A8E-466D-8741-6FAA9967E543}" xr6:coauthVersionLast="47" xr6:coauthVersionMax="47" xr10:uidLastSave="{00000000-0000-0000-0000-000000000000}"/>
  <bookViews>
    <workbookView xWindow="-108" yWindow="-108" windowWidth="23256" windowHeight="12456" xr2:uid="{994E41A3-3804-4642-8A49-5B1F63D1BCE9}"/>
  </bookViews>
  <sheets>
    <sheet name="Faciliti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1" l="1"/>
  <c r="B34" i="1"/>
  <c r="D33" i="1"/>
  <c r="D32" i="1"/>
  <c r="D31" i="1"/>
  <c r="D29" i="1"/>
  <c r="D28" i="1"/>
  <c r="D27" i="1"/>
  <c r="D25" i="1"/>
  <c r="D24" i="1"/>
  <c r="D23" i="1"/>
  <c r="D22" i="1"/>
  <c r="D21" i="1"/>
  <c r="D20" i="1"/>
  <c r="D18" i="1"/>
  <c r="D17" i="1"/>
  <c r="D16" i="1"/>
  <c r="D14" i="1"/>
  <c r="D13" i="1"/>
  <c r="D12" i="1"/>
  <c r="D10" i="1"/>
  <c r="D9" i="1"/>
  <c r="D8" i="1"/>
  <c r="D7" i="1"/>
  <c r="D5" i="1"/>
  <c r="D4" i="1"/>
  <c r="D3" i="1"/>
  <c r="D2" i="1"/>
  <c r="D34" i="1" s="1"/>
</calcChain>
</file>

<file path=xl/sharedStrings.xml><?xml version="1.0" encoding="utf-8"?>
<sst xmlns="http://schemas.openxmlformats.org/spreadsheetml/2006/main" count="47" uniqueCount="47">
  <si>
    <t>Introduction</t>
  </si>
  <si>
    <t>Input</t>
  </si>
  <si>
    <t>Factor</t>
  </si>
  <si>
    <t>Score</t>
  </si>
  <si>
    <t>Statement of what major subject/theme of the report is (i.e. design refinements)</t>
  </si>
  <si>
    <t>Statement listing all parameters considered for refinement</t>
  </si>
  <si>
    <t>Statement of KEY (not necessarily all) outcomes, observations, optimizations resulting from this process/iteration (compared to starting concept)</t>
  </si>
  <si>
    <t>Statement of recommendations for future builds or modifications</t>
  </si>
  <si>
    <t>Design for manufacturability and assemblability</t>
  </si>
  <si>
    <t xml:space="preserve">Sates all aspects considered relevant to the product's manufacture/assembly including: process selection for manufacturing and assembly, material selection, component selection, Poka-yoke, part reduction, etc. </t>
  </si>
  <si>
    <t xml:space="preserve">Supply list of each refinement principle employed with explanations of each refinement action/choice made for each principle (brief but clear enough that the reader understands what changes and/or decisions were made.  </t>
  </si>
  <si>
    <t>Figure and/or Table is supplied to illustrate/demonstrate before/after changes resulting from refinement where appropriate</t>
  </si>
  <si>
    <t>Bonus points:  Not the most informative figure. Doesn't convey all the enhancementsthat you described.  Supplementing with table would also demonstrate reduction in total part counts</t>
  </si>
  <si>
    <t>Statement of what tradeoffs were made as a result of optimizing for the manufacturability and assemblabilty is supplied.  (Note… stating that no cost to other parameters MIGHT be a valid conclusion/outcome, though RARELY the case)</t>
  </si>
  <si>
    <t>Design for Cost</t>
  </si>
  <si>
    <t>List of what aspects of the full-scale product that affect cost were considered in the design (Manufacturing process, material selection, standardiztion, bulk orders, robustness,maintainability, etc.)</t>
  </si>
  <si>
    <t>List of the specific modifications or features of the design that relate to above list are explained (this can be bulleted list, table, and/or illustration)</t>
  </si>
  <si>
    <t>Relevant recommendations are supplied regarding saving cost in future use and/or iterations on a new/improved product (NOTE: that might differ from current build)</t>
  </si>
  <si>
    <t>Good.  Note that the discussion of standardized diameter throughout for bulk ordering also should be discussed in manufacturability section as making plumbing assembly easier and faster</t>
  </si>
  <si>
    <t>Design for Safety</t>
  </si>
  <si>
    <t>A list is supplied identifying all potential and reasonable safety hazards of concern with the product and its use, with context for each item</t>
  </si>
  <si>
    <t>Is hig temp in the enclosure (or surface temperature of pump) an issue of concern?</t>
  </si>
  <si>
    <t>Health and Safety Solutions: A list of explanations of relevant solutions/features/design elements to ensure safety with respect to each above mentioned hazard(s) is supplied.  An illustrative, properly titled figure is supplied if helpful and relevant)</t>
  </si>
  <si>
    <t>Weak.  As ENGINEERS… how do you address these in your design?  You've got water and electrical wiring in close proximity… how are you making sure likelihood of those two contacting each other is reduced. There needs to be more thought than just a circuit breaker.  Are you using wiring rated for wet use? Conduit? Are the wiring junctions sealed in any way? Prevent it in the first place, and explain how.  You also mention slipping hazard. How is this addressed? What about hot components or temps in the enclosure? How are you addressing this?</t>
  </si>
  <si>
    <t>Recommendations [and/or warnings]: Statement of recommendations and warnings regarding the product itself, usage, maintenance, etc. is supplied</t>
  </si>
  <si>
    <t>Design for Customer Requirements.</t>
  </si>
  <si>
    <t>Product Mission: A statement is supplied reminding the reader of the [updated/correct] product mission statement</t>
  </si>
  <si>
    <t>A statement reminding reader that all needs and parameters were assessed in a Metrics Matrix is supplied</t>
  </si>
  <si>
    <t xml:space="preserve">Customer needs, requirements, and associated metrics: A statement reminding reader that all needs and parameters were assessed in a Metrics Matrix is supplied </t>
  </si>
  <si>
    <t>The [correct/updated] Metrics Matrix is supplied</t>
  </si>
  <si>
    <t xml:space="preserve">This is not the Metrics Matrix.  This is a list of some metrics, but not the full blown matrix. </t>
  </si>
  <si>
    <t>A proper figure number and title for the above matrix is supplied</t>
  </si>
  <si>
    <t>see above comment</t>
  </si>
  <si>
    <t>Product Parameters refined: A statement of which of the above needs and parameters were considered for refinement is supplied, including statement(s) as to why those specific paramters were focused upon</t>
  </si>
  <si>
    <t>This list is not comprehensive enough, and much of it is redundant and already in the required elements. What OTHER parameters di you try to optimize the design around?... Ease of use? Faster deliver? Hannds-free? Energy efficient?... What all is important to the sponsor?</t>
  </si>
  <si>
    <t>Design for [Parameter 1]; Design for [Parameter 2]; Design for [Paremeter n]… as separate sub-sections within the Design for Customer Requirements</t>
  </si>
  <si>
    <t>A statement of why "Paramter x" was considered for the refinement is supplied</t>
  </si>
  <si>
    <t>An explanation of relevant solutions/features/design elements that address that parameter is supplied.  An illustrative, properly titled figure/table is supplied if helpful and relevant.</t>
  </si>
  <si>
    <t>Recommendations [or] tradeoffs: Statement of recommendations and/or tradeoffs with respect to any other parameters is supplied</t>
  </si>
  <si>
    <t>See above about missing key requirement.  Half of what discussion you do have is redundant and really just rehashing the manufacturability discussion</t>
  </si>
  <si>
    <t>Conclusions [and/or] Recommendations</t>
  </si>
  <si>
    <t>Key refinements [, features, and changes]: A summary of KEY refinements, features, and/or changes made is supplied.</t>
  </si>
  <si>
    <t>Recommendations: Relevant recommendations regarding product use, production processes, or future iterations on producing another one are supplied.</t>
  </si>
  <si>
    <t>Tradeoffs/compromises: Tradeoffs or compromises made with brief justification for decision process are stated Tradeoffs/compromises made with brief justification for decision process are stated</t>
  </si>
  <si>
    <t>This section  good.  It adresses the points requested, and thoughtful insights on recommendatins and tradeoffs</t>
  </si>
  <si>
    <t>Sum</t>
  </si>
  <si>
    <r>
      <rPr>
        <b/>
        <sz val="11"/>
        <color theme="1"/>
        <rFont val="Aptos Narrow"/>
        <family val="2"/>
        <scheme val="minor"/>
      </rPr>
      <t>NOTE</t>
    </r>
    <r>
      <rPr>
        <sz val="11"/>
        <color theme="1"/>
        <rFont val="Aptos Narrow"/>
        <family val="2"/>
        <scheme val="minor"/>
      </rPr>
      <t>:  Any list of references or supplemental materials should be supplied at the end in an Appendix.  No appendix required if no references or other materials needed for this unit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</si>
</sst>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right/>
      <top/>
      <bottom style="medium">
        <color indexed="64"/>
      </bottom>
      <diagonal/>
    </border>
  </borders>
  <cellStyleXfs count="1">
    <xf numFmtId="0" fontId="0" fillId="0" borderId="0"/>
  </cellStyleXfs>
  <cellXfs count="8">
    <xf numFmtId="0" fontId="0" fillId="0" borderId="0" xfId="0"/>
    <xf numFmtId="0" fontId="1" fillId="2" borderId="0" xfId="0" applyFont="1" applyFill="1" applyAlignment="1">
      <alignment horizontal="left" vertical="center" wrapText="1"/>
    </xf>
    <xf numFmtId="0" fontId="1" fillId="0" borderId="0" xfId="0" applyFont="1"/>
    <xf numFmtId="0" fontId="0" fillId="0" borderId="0" xfId="0" applyAlignment="1">
      <alignment horizontal="left" vertical="center" wrapText="1"/>
    </xf>
    <xf numFmtId="0" fontId="0" fillId="0" borderId="0" xfId="0" applyAlignment="1">
      <alignment wrapText="1"/>
    </xf>
    <xf numFmtId="0" fontId="0" fillId="2" borderId="0" xfId="0" applyFill="1" applyAlignment="1">
      <alignment wrapText="1"/>
    </xf>
    <xf numFmtId="0" fontId="0" fillId="0" borderId="1" xfId="0" applyBorder="1" applyAlignment="1">
      <alignment horizontal="lef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39657-D9D0-4F20-85BD-F69BD931B34D}">
  <dimension ref="A1:F37"/>
  <sheetViews>
    <sheetView tabSelected="1" topLeftCell="A26" workbookViewId="0">
      <selection activeCell="B22" sqref="B22:E24"/>
    </sheetView>
  </sheetViews>
  <sheetFormatPr defaultRowHeight="14.4" x14ac:dyDescent="0.3"/>
  <cols>
    <col min="1" max="1" width="79.5546875" customWidth="1"/>
  </cols>
  <sheetData>
    <row r="1" spans="1:6" x14ac:dyDescent="0.3">
      <c r="A1" s="1" t="s">
        <v>0</v>
      </c>
      <c r="B1" s="2" t="s">
        <v>1</v>
      </c>
      <c r="C1" s="2" t="s">
        <v>2</v>
      </c>
      <c r="D1" s="2" t="s">
        <v>3</v>
      </c>
    </row>
    <row r="2" spans="1:6" x14ac:dyDescent="0.3">
      <c r="A2" s="3" t="s">
        <v>4</v>
      </c>
      <c r="B2" s="4">
        <v>1</v>
      </c>
      <c r="C2" s="4">
        <v>1</v>
      </c>
      <c r="D2" s="4">
        <f>B2*C2</f>
        <v>1</v>
      </c>
    </row>
    <row r="3" spans="1:6" x14ac:dyDescent="0.3">
      <c r="A3" s="3" t="s">
        <v>5</v>
      </c>
      <c r="B3">
        <v>1</v>
      </c>
      <c r="C3">
        <v>4</v>
      </c>
      <c r="D3" s="4">
        <f t="shared" ref="D3:D14" si="0">B3*C3</f>
        <v>4</v>
      </c>
    </row>
    <row r="4" spans="1:6" ht="28.8" x14ac:dyDescent="0.3">
      <c r="A4" s="3" t="s">
        <v>6</v>
      </c>
      <c r="B4">
        <v>1</v>
      </c>
      <c r="C4">
        <v>3</v>
      </c>
      <c r="D4" s="4">
        <f t="shared" si="0"/>
        <v>3</v>
      </c>
    </row>
    <row r="5" spans="1:6" x14ac:dyDescent="0.3">
      <c r="A5" s="3" t="s">
        <v>7</v>
      </c>
      <c r="B5">
        <v>1</v>
      </c>
      <c r="C5">
        <v>3</v>
      </c>
      <c r="D5" s="4">
        <f t="shared" si="0"/>
        <v>3</v>
      </c>
    </row>
    <row r="6" spans="1:6" x14ac:dyDescent="0.3">
      <c r="A6" s="1" t="s">
        <v>8</v>
      </c>
      <c r="B6" s="5"/>
      <c r="C6" s="5"/>
      <c r="D6" s="5"/>
    </row>
    <row r="7" spans="1:6" ht="43.2" x14ac:dyDescent="0.3">
      <c r="A7" s="3" t="s">
        <v>9</v>
      </c>
      <c r="B7">
        <v>1</v>
      </c>
      <c r="C7">
        <v>5</v>
      </c>
      <c r="D7" s="4">
        <f t="shared" si="0"/>
        <v>5</v>
      </c>
    </row>
    <row r="8" spans="1:6" ht="43.2" x14ac:dyDescent="0.3">
      <c r="A8" s="3" t="s">
        <v>10</v>
      </c>
      <c r="B8">
        <v>1</v>
      </c>
      <c r="C8">
        <v>5</v>
      </c>
      <c r="D8" s="4">
        <f t="shared" si="0"/>
        <v>5</v>
      </c>
    </row>
    <row r="9" spans="1:6" ht="28.8" x14ac:dyDescent="0.3">
      <c r="A9" s="3" t="s">
        <v>11</v>
      </c>
      <c r="B9">
        <v>0.5</v>
      </c>
      <c r="C9">
        <v>3</v>
      </c>
      <c r="D9" s="4">
        <f t="shared" si="0"/>
        <v>1.5</v>
      </c>
      <c r="F9" t="s">
        <v>12</v>
      </c>
    </row>
    <row r="10" spans="1:6" ht="43.2" x14ac:dyDescent="0.3">
      <c r="A10" s="3" t="s">
        <v>13</v>
      </c>
      <c r="B10" s="4">
        <v>1</v>
      </c>
      <c r="C10" s="4">
        <v>5</v>
      </c>
      <c r="D10" s="4">
        <f t="shared" si="0"/>
        <v>5</v>
      </c>
    </row>
    <row r="11" spans="1:6" x14ac:dyDescent="0.3">
      <c r="A11" s="1" t="s">
        <v>14</v>
      </c>
      <c r="B11" s="5"/>
      <c r="C11" s="5"/>
      <c r="D11" s="5"/>
    </row>
    <row r="12" spans="1:6" ht="43.2" x14ac:dyDescent="0.3">
      <c r="A12" s="3" t="s">
        <v>15</v>
      </c>
      <c r="B12">
        <v>1</v>
      </c>
      <c r="C12">
        <v>5</v>
      </c>
      <c r="D12" s="4">
        <f t="shared" si="0"/>
        <v>5</v>
      </c>
    </row>
    <row r="13" spans="1:6" ht="28.8" x14ac:dyDescent="0.3">
      <c r="A13" s="3" t="s">
        <v>16</v>
      </c>
      <c r="B13">
        <v>1</v>
      </c>
      <c r="C13">
        <v>5</v>
      </c>
      <c r="D13" s="4">
        <f t="shared" si="0"/>
        <v>5</v>
      </c>
    </row>
    <row r="14" spans="1:6" ht="28.8" x14ac:dyDescent="0.3">
      <c r="A14" s="3" t="s">
        <v>17</v>
      </c>
      <c r="B14">
        <v>1</v>
      </c>
      <c r="C14">
        <v>5</v>
      </c>
      <c r="D14" s="4">
        <f t="shared" si="0"/>
        <v>5</v>
      </c>
      <c r="E14" t="s">
        <v>18</v>
      </c>
    </row>
    <row r="15" spans="1:6" x14ac:dyDescent="0.3">
      <c r="A15" s="1" t="s">
        <v>19</v>
      </c>
      <c r="B15" s="5"/>
      <c r="C15" s="5"/>
      <c r="D15" s="5"/>
    </row>
    <row r="16" spans="1:6" ht="28.8" x14ac:dyDescent="0.3">
      <c r="A16" s="3" t="s">
        <v>20</v>
      </c>
      <c r="B16">
        <v>1</v>
      </c>
      <c r="C16">
        <v>5</v>
      </c>
      <c r="D16" s="4">
        <f>B16*C16</f>
        <v>5</v>
      </c>
      <c r="E16" t="s">
        <v>21</v>
      </c>
    </row>
    <row r="17" spans="1:5" ht="43.2" x14ac:dyDescent="0.3">
      <c r="A17" s="3" t="s">
        <v>22</v>
      </c>
      <c r="B17">
        <v>0.5</v>
      </c>
      <c r="C17">
        <v>5</v>
      </c>
      <c r="D17" s="4">
        <f>B17*C17</f>
        <v>2.5</v>
      </c>
      <c r="E17" t="s">
        <v>23</v>
      </c>
    </row>
    <row r="18" spans="1:5" ht="28.8" x14ac:dyDescent="0.3">
      <c r="A18" s="3" t="s">
        <v>24</v>
      </c>
      <c r="B18">
        <v>1</v>
      </c>
      <c r="C18">
        <v>4</v>
      </c>
      <c r="D18" s="4">
        <f>B18*C18</f>
        <v>4</v>
      </c>
    </row>
    <row r="19" spans="1:5" x14ac:dyDescent="0.3">
      <c r="A19" s="1" t="s">
        <v>25</v>
      </c>
      <c r="B19" s="5"/>
      <c r="C19" s="5"/>
      <c r="D19" s="5"/>
    </row>
    <row r="20" spans="1:5" ht="28.8" x14ac:dyDescent="0.3">
      <c r="A20" s="3" t="s">
        <v>26</v>
      </c>
      <c r="B20">
        <v>1</v>
      </c>
      <c r="C20">
        <v>4</v>
      </c>
      <c r="D20" s="4">
        <f t="shared" ref="D20:D25" si="1">B20*C20</f>
        <v>4</v>
      </c>
    </row>
    <row r="21" spans="1:5" ht="28.8" x14ac:dyDescent="0.3">
      <c r="A21" s="3" t="s">
        <v>27</v>
      </c>
      <c r="B21">
        <v>1</v>
      </c>
      <c r="C21">
        <v>3</v>
      </c>
      <c r="D21" s="4">
        <f t="shared" si="1"/>
        <v>3</v>
      </c>
    </row>
    <row r="22" spans="1:5" ht="28.8" x14ac:dyDescent="0.3">
      <c r="A22" s="3" t="s">
        <v>28</v>
      </c>
      <c r="B22">
        <v>1</v>
      </c>
      <c r="C22">
        <v>3</v>
      </c>
      <c r="D22" s="4">
        <f t="shared" si="1"/>
        <v>3</v>
      </c>
    </row>
    <row r="23" spans="1:5" x14ac:dyDescent="0.3">
      <c r="A23" s="3" t="s">
        <v>29</v>
      </c>
      <c r="B23">
        <v>0</v>
      </c>
      <c r="C23">
        <v>3</v>
      </c>
      <c r="D23" s="4">
        <f t="shared" si="1"/>
        <v>0</v>
      </c>
      <c r="E23" t="s">
        <v>30</v>
      </c>
    </row>
    <row r="24" spans="1:5" x14ac:dyDescent="0.3">
      <c r="A24" s="3" t="s">
        <v>31</v>
      </c>
      <c r="B24">
        <v>1</v>
      </c>
      <c r="C24">
        <v>2</v>
      </c>
      <c r="D24" s="4">
        <f t="shared" si="1"/>
        <v>2</v>
      </c>
      <c r="E24" t="s">
        <v>32</v>
      </c>
    </row>
    <row r="25" spans="1:5" ht="43.2" x14ac:dyDescent="0.3">
      <c r="A25" s="3" t="s">
        <v>33</v>
      </c>
      <c r="B25">
        <v>0.5</v>
      </c>
      <c r="C25">
        <v>5</v>
      </c>
      <c r="D25" s="4">
        <f t="shared" si="1"/>
        <v>2.5</v>
      </c>
      <c r="E25" t="s">
        <v>34</v>
      </c>
    </row>
    <row r="26" spans="1:5" ht="28.8" x14ac:dyDescent="0.3">
      <c r="A26" s="1" t="s">
        <v>35</v>
      </c>
      <c r="B26" s="5"/>
      <c r="C26" s="5"/>
      <c r="D26" s="5"/>
    </row>
    <row r="27" spans="1:5" x14ac:dyDescent="0.3">
      <c r="A27" s="3" t="s">
        <v>36</v>
      </c>
      <c r="B27">
        <v>0.2</v>
      </c>
      <c r="C27">
        <v>4</v>
      </c>
      <c r="D27" s="4">
        <f>B27*C27</f>
        <v>0.8</v>
      </c>
    </row>
    <row r="28" spans="1:5" ht="28.8" x14ac:dyDescent="0.3">
      <c r="A28" s="3" t="s">
        <v>37</v>
      </c>
      <c r="B28">
        <v>0.2</v>
      </c>
      <c r="C28">
        <v>5</v>
      </c>
      <c r="D28" s="4">
        <f>B28*C28</f>
        <v>1</v>
      </c>
    </row>
    <row r="29" spans="1:5" ht="28.8" x14ac:dyDescent="0.3">
      <c r="A29" s="3" t="s">
        <v>38</v>
      </c>
      <c r="B29">
        <v>0.2</v>
      </c>
      <c r="C29">
        <v>4</v>
      </c>
      <c r="D29" s="4">
        <f>B29*C29</f>
        <v>0.8</v>
      </c>
      <c r="E29" t="s">
        <v>39</v>
      </c>
    </row>
    <row r="30" spans="1:5" x14ac:dyDescent="0.3">
      <c r="A30" s="1" t="s">
        <v>40</v>
      </c>
      <c r="B30" s="5"/>
      <c r="C30" s="5"/>
      <c r="D30" s="5"/>
    </row>
    <row r="31" spans="1:5" ht="28.8" x14ac:dyDescent="0.3">
      <c r="A31" s="3" t="s">
        <v>41</v>
      </c>
      <c r="B31">
        <v>1</v>
      </c>
      <c r="C31">
        <v>4</v>
      </c>
      <c r="D31" s="4">
        <f>B31*C31</f>
        <v>4</v>
      </c>
    </row>
    <row r="32" spans="1:5" ht="28.8" x14ac:dyDescent="0.3">
      <c r="A32" s="3" t="s">
        <v>42</v>
      </c>
      <c r="B32">
        <v>1</v>
      </c>
      <c r="C32">
        <v>4</v>
      </c>
      <c r="D32" s="4">
        <f>B32*C32</f>
        <v>4</v>
      </c>
    </row>
    <row r="33" spans="1:5" ht="43.8" thickBot="1" x14ac:dyDescent="0.35">
      <c r="A33" s="6" t="s">
        <v>43</v>
      </c>
      <c r="B33" s="7">
        <v>1</v>
      </c>
      <c r="C33" s="7">
        <v>4</v>
      </c>
      <c r="D33" s="7">
        <f>B33*C33</f>
        <v>4</v>
      </c>
      <c r="E33" t="s">
        <v>44</v>
      </c>
    </row>
    <row r="34" spans="1:5" x14ac:dyDescent="0.3">
      <c r="A34" s="2" t="s">
        <v>45</v>
      </c>
      <c r="B34">
        <f>SUM(B2:B33)</f>
        <v>21.099999999999998</v>
      </c>
      <c r="C34">
        <f>SUM(C2:C33)</f>
        <v>103</v>
      </c>
      <c r="D34">
        <f>SUM(D2:D33)</f>
        <v>83.1</v>
      </c>
    </row>
    <row r="37" spans="1:5" x14ac:dyDescent="0.3">
      <c r="A37" t="s">
        <v>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Sabalowsky, Andrew</dc:creator>
  <cp:lastModifiedBy>Sabalowsky, Andrew</cp:lastModifiedBy>
  <dcterms:created xsi:type="dcterms:W3CDTF">2025-04-11T01:23:49Z</dcterms:created>
  <dcterms:modified xsi:type="dcterms:W3CDTF">2025-04-11T01:24:55Z</dcterms:modified>
</cp:coreProperties>
</file>