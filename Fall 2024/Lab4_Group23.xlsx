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135" documentId="8_{9F015E56-8334-D947-A8B7-8C6FC1D77AF8}" xr6:coauthVersionLast="47" xr6:coauthVersionMax="47" xr10:uidLastSave="{FB671A86-5B50-744F-90EF-F7206FA55DC2}"/>
  <bookViews>
    <workbookView xWindow="0" yWindow="760" windowWidth="34200" windowHeight="21380" activeTab="3" xr2:uid="{00000000-000D-0000-FFFF-FFFF00000000}"/>
  </bookViews>
  <sheets>
    <sheet name="8-Layer" sheetId="1" r:id="rId1"/>
    <sheet name="6-Layer" sheetId="3" r:id="rId2"/>
    <sheet name="4-Layer" sheetId="4" r:id="rId3"/>
    <sheet name="T-Test" sheetId="5" r:id="rId4"/>
    <sheet name="Explanation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5" l="1"/>
  <c r="F19" i="5" s="1"/>
  <c r="E18" i="5"/>
  <c r="E17" i="5"/>
  <c r="E12" i="5"/>
  <c r="E11" i="5"/>
  <c r="E10" i="5"/>
  <c r="F10" i="5" s="1"/>
  <c r="D20" i="5"/>
  <c r="D19" i="5"/>
  <c r="D18" i="5"/>
  <c r="D17" i="5"/>
  <c r="C19" i="5"/>
  <c r="C18" i="5"/>
  <c r="C17" i="5"/>
  <c r="B20" i="5"/>
  <c r="B19" i="5"/>
  <c r="B18" i="5"/>
  <c r="B17" i="5"/>
  <c r="G18" i="5"/>
  <c r="F12" i="5"/>
  <c r="F11" i="5"/>
  <c r="D10" i="5"/>
  <c r="D13" i="5"/>
  <c r="G12" i="5" s="1"/>
  <c r="D12" i="5"/>
  <c r="D11" i="5"/>
  <c r="G10" i="5"/>
  <c r="C12" i="5"/>
  <c r="C11" i="5"/>
  <c r="C10" i="5"/>
  <c r="B13" i="5"/>
  <c r="B12" i="5"/>
  <c r="B11" i="5"/>
  <c r="B10" i="5"/>
  <c r="B3" i="5"/>
  <c r="F5" i="5"/>
  <c r="F3" i="5"/>
  <c r="F4" i="5"/>
  <c r="D6" i="5"/>
  <c r="E5" i="5"/>
  <c r="E4" i="5"/>
  <c r="E3" i="5"/>
  <c r="D3" i="5"/>
  <c r="D4" i="5"/>
  <c r="D5" i="5"/>
  <c r="C5" i="5"/>
  <c r="C4" i="5"/>
  <c r="C3" i="5"/>
  <c r="B6" i="5"/>
  <c r="B5" i="5"/>
  <c r="B4" i="5"/>
  <c r="H7" i="1"/>
  <c r="I7" i="1"/>
  <c r="J7" i="1"/>
  <c r="H8" i="1"/>
  <c r="I8" i="1"/>
  <c r="J8" i="1"/>
  <c r="I8" i="4"/>
  <c r="J8" i="4"/>
  <c r="I9" i="4"/>
  <c r="J9" i="4"/>
  <c r="H9" i="4"/>
  <c r="H8" i="4"/>
  <c r="I10" i="3"/>
  <c r="J10" i="3"/>
  <c r="H10" i="3"/>
  <c r="I9" i="3"/>
  <c r="J9" i="3"/>
  <c r="H9" i="3"/>
  <c r="G5" i="5"/>
  <c r="G4" i="5"/>
  <c r="G3" i="5"/>
  <c r="B3" i="4"/>
  <c r="B2" i="4"/>
  <c r="F7" i="4"/>
  <c r="G7" i="4" s="1"/>
  <c r="H7" i="4" s="1"/>
  <c r="I7" i="4" s="1"/>
  <c r="J7" i="4" s="1"/>
  <c r="F8" i="3"/>
  <c r="G8" i="3" s="1"/>
  <c r="H8" i="3" s="1"/>
  <c r="I8" i="3" s="1"/>
  <c r="J8" i="3" s="1"/>
  <c r="F7" i="3"/>
  <c r="G7" i="3" s="1"/>
  <c r="H7" i="3" s="1"/>
  <c r="I7" i="3" s="1"/>
  <c r="J7" i="3" s="1"/>
  <c r="B3" i="3"/>
  <c r="B2" i="3"/>
  <c r="B8" i="4"/>
  <c r="F6" i="4"/>
  <c r="G6" i="4" s="1"/>
  <c r="H6" i="4" s="1"/>
  <c r="I6" i="4" s="1"/>
  <c r="J6" i="4" s="1"/>
  <c r="F5" i="4"/>
  <c r="G5" i="4" s="1"/>
  <c r="H5" i="4" s="1"/>
  <c r="I5" i="4" s="1"/>
  <c r="J5" i="4" s="1"/>
  <c r="F4" i="4"/>
  <c r="G4" i="4" s="1"/>
  <c r="H4" i="4" s="1"/>
  <c r="I4" i="4" s="1"/>
  <c r="J4" i="4" s="1"/>
  <c r="F3" i="4"/>
  <c r="G3" i="4" s="1"/>
  <c r="H3" i="4" s="1"/>
  <c r="I3" i="4" s="1"/>
  <c r="J3" i="4" s="1"/>
  <c r="F2" i="4"/>
  <c r="G2" i="4" s="1"/>
  <c r="H2" i="4" s="1"/>
  <c r="I2" i="4" s="1"/>
  <c r="J2" i="4" s="1"/>
  <c r="B8" i="3"/>
  <c r="F6" i="3"/>
  <c r="G6" i="3" s="1"/>
  <c r="H6" i="3" s="1"/>
  <c r="I6" i="3" s="1"/>
  <c r="J6" i="3" s="1"/>
  <c r="F5" i="3"/>
  <c r="G5" i="3" s="1"/>
  <c r="H5" i="3" s="1"/>
  <c r="I5" i="3" s="1"/>
  <c r="J5" i="3" s="1"/>
  <c r="F4" i="3"/>
  <c r="G4" i="3" s="1"/>
  <c r="H4" i="3" s="1"/>
  <c r="I4" i="3" s="1"/>
  <c r="J4" i="3" s="1"/>
  <c r="F3" i="3"/>
  <c r="G3" i="3" s="1"/>
  <c r="H3" i="3" s="1"/>
  <c r="I3" i="3" s="1"/>
  <c r="J3" i="3" s="1"/>
  <c r="F2" i="3"/>
  <c r="G2" i="3" s="1"/>
  <c r="H2" i="3" s="1"/>
  <c r="I2" i="3" s="1"/>
  <c r="J2" i="3" s="1"/>
  <c r="H3" i="1"/>
  <c r="I3" i="1" s="1"/>
  <c r="J3" i="1" s="1"/>
  <c r="H4" i="1"/>
  <c r="I4" i="1" s="1"/>
  <c r="J4" i="1" s="1"/>
  <c r="H5" i="1"/>
  <c r="I5" i="1" s="1"/>
  <c r="J5" i="1" s="1"/>
  <c r="H6" i="1"/>
  <c r="I6" i="1" s="1"/>
  <c r="J6" i="1" s="1"/>
  <c r="H2" i="1"/>
  <c r="I2" i="1" s="1"/>
  <c r="J2" i="1" s="1"/>
  <c r="B3" i="1"/>
  <c r="B8" i="1"/>
  <c r="F3" i="1"/>
  <c r="G3" i="1" s="1"/>
  <c r="F4" i="1"/>
  <c r="G4" i="1" s="1"/>
  <c r="F5" i="1"/>
  <c r="G5" i="1" s="1"/>
  <c r="F6" i="1"/>
  <c r="G6" i="1" s="1"/>
  <c r="F2" i="1"/>
  <c r="G2" i="1" s="1"/>
  <c r="F18" i="5" l="1"/>
  <c r="H18" i="5" s="1"/>
  <c r="F17" i="5"/>
  <c r="G19" i="5"/>
  <c r="H19" i="5" s="1"/>
  <c r="G17" i="5"/>
  <c r="G11" i="5"/>
  <c r="H10" i="5"/>
  <c r="H12" i="5"/>
  <c r="H5" i="5"/>
  <c r="H4" i="5"/>
  <c r="H3" i="5"/>
  <c r="H17" i="5" l="1"/>
  <c r="H11" i="5"/>
</calcChain>
</file>

<file path=xl/sharedStrings.xml><?xml version="1.0" encoding="utf-8"?>
<sst xmlns="http://schemas.openxmlformats.org/spreadsheetml/2006/main" count="112" uniqueCount="39">
  <si>
    <t>Specifics</t>
  </si>
  <si>
    <t>METRIC units</t>
  </si>
  <si>
    <t>Distance (in)</t>
  </si>
  <si>
    <t>Time (s)</t>
  </si>
  <si>
    <t>Distance (m)</t>
  </si>
  <si>
    <t>Velocity (m/s)</t>
  </si>
  <si>
    <t>Flow Rate (m^3/s)</t>
  </si>
  <si>
    <t>Keff (m^2)</t>
  </si>
  <si>
    <t>Kfab (m^2)</t>
  </si>
  <si>
    <t>Width(m)</t>
  </si>
  <si>
    <t>Length(m)</t>
  </si>
  <si>
    <t>thick/sheet (m)</t>
  </si>
  <si>
    <t># of sheet</t>
  </si>
  <si>
    <t>viscosity (Pa*s)</t>
  </si>
  <si>
    <t>P Delta (Pa)</t>
  </si>
  <si>
    <t>k_DM (m^2)</t>
  </si>
  <si>
    <t>8 Layers</t>
  </si>
  <si>
    <t>6 Layers</t>
  </si>
  <si>
    <t>Comparison</t>
  </si>
  <si>
    <t>Mean</t>
  </si>
  <si>
    <t>StDev</t>
  </si>
  <si>
    <t>t_experimental</t>
  </si>
  <si>
    <t>t_theoretical</t>
  </si>
  <si>
    <t>Means equal?</t>
  </si>
  <si>
    <t>K_eff</t>
  </si>
  <si>
    <t>K_fab</t>
  </si>
  <si>
    <t>Q_eff</t>
  </si>
  <si>
    <t># of samples</t>
  </si>
  <si>
    <t>Column</t>
  </si>
  <si>
    <t>Explanation</t>
  </si>
  <si>
    <t>Input the distance resin flowed (in inches)</t>
  </si>
  <si>
    <t>Input the time it took for the resin to flow the given distance (in seconds)</t>
  </si>
  <si>
    <t>Automatically calculated as Distance (in inches) * 0.0254</t>
  </si>
  <si>
    <t>Automatically calculated as Distance (m) / Time (s)</t>
  </si>
  <si>
    <t>Automatically calculated as Velocity (m/s) * Cross-sectional Area</t>
  </si>
  <si>
    <t>Automatically calculated using Darcy's Law (based on Flow Rate)</t>
  </si>
  <si>
    <t>Automatically calculated using relationship between Keff and KDM</t>
  </si>
  <si>
    <t>St Dev</t>
  </si>
  <si>
    <t>4 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</si>
</sst>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2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4" fillId="4" borderId="4" applyNumberFormat="0" applyFont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3" borderId="2" xfId="2"/>
    <xf numFmtId="0" fontId="2" fillId="2" borderId="2" xfId="1"/>
    <xf numFmtId="0" fontId="0" fillId="0" borderId="1" xfId="0" applyBorder="1"/>
    <xf numFmtId="0" fontId="0" fillId="0" borderId="3" xfId="0" applyBorder="1"/>
    <xf numFmtId="0" fontId="3" fillId="3" borderId="5" xfId="2" applyBorder="1"/>
    <xf numFmtId="0" fontId="3" fillId="3" borderId="1" xfId="2" applyBorder="1"/>
    <xf numFmtId="0" fontId="3" fillId="3" borderId="6" xfId="2" applyBorder="1"/>
    <xf numFmtId="0" fontId="1" fillId="0" borderId="1" xfId="0" applyFont="1" applyBorder="1"/>
    <xf numFmtId="0" fontId="0" fillId="4" borderId="4" xfId="4" applyFont="1"/>
    <xf numFmtId="0" fontId="5" fillId="0" borderId="1" xfId="3" applyBorder="1"/>
    <xf numFmtId="0" fontId="5" fillId="0" borderId="1" xfId="3" applyBorder="1" applyAlignment="1">
      <alignment horizontal="center"/>
    </xf>
    <xf numFmtId="0" fontId="5" fillId="4" borderId="4" xfId="3" applyFill="1" applyBorder="1"/>
    <xf numFmtId="0" fontId="5" fillId="4" borderId="4" xfId="3" applyFill="1" applyBorder="1" applyAlignment="1">
      <alignment horizontal="center"/>
    </xf>
  </cellXfs>
  <cellStyles count="5">
    <cellStyle name="Calculation" xfId="2" builtinId="22"/>
    <cellStyle name="Heading 4" xfId="3" builtinId="19"/>
    <cellStyle name="Input" xfId="1" builtinId="20"/>
    <cellStyle name="Normal" xfId="0" builtinId="0"/>
    <cellStyle name="Note" xfId="4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zoomScale="150" zoomScaleNormal="100" workbookViewId="0">
      <selection activeCell="H7" sqref="H7:J7"/>
    </sheetView>
  </sheetViews>
  <sheetFormatPr baseColWidth="10" defaultColWidth="8.83203125" defaultRowHeight="15" x14ac:dyDescent="0.2"/>
  <cols>
    <col min="1" max="1" width="13.83203125" customWidth="1"/>
    <col min="2" max="2" width="12.6640625" customWidth="1"/>
    <col min="4" max="4" width="10.6640625" bestFit="1" customWidth="1"/>
    <col min="5" max="5" width="7" bestFit="1" customWidth="1"/>
    <col min="6" max="6" width="10.6640625" bestFit="1" customWidth="1"/>
    <col min="7" max="7" width="12.1640625" bestFit="1" customWidth="1"/>
    <col min="8" max="8" width="15" bestFit="1" customWidth="1"/>
    <col min="9" max="9" width="14.5" customWidth="1"/>
    <col min="10" max="10" width="12.1640625" bestFit="1" customWidth="1"/>
  </cols>
  <sheetData>
    <row r="1" spans="1:10" x14ac:dyDescent="0.2">
      <c r="A1" s="2" t="s">
        <v>0</v>
      </c>
      <c r="B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6" x14ac:dyDescent="0.2">
      <c r="A2" s="2" t="s">
        <v>9</v>
      </c>
      <c r="B2" s="4">
        <v>0.1016</v>
      </c>
      <c r="D2" s="4">
        <v>1</v>
      </c>
      <c r="E2" s="4">
        <v>29</v>
      </c>
      <c r="F2" s="3">
        <f>D2*0.0254</f>
        <v>2.5399999999999999E-2</v>
      </c>
      <c r="G2" s="3">
        <f>F2/E2</f>
        <v>8.7586206896551725E-4</v>
      </c>
      <c r="H2" s="3">
        <f>G2*$B$2*$B$5*$B$4</f>
        <v>2.1357020689655169E-7</v>
      </c>
      <c r="I2" s="3">
        <f>(H2*$B$6*(F2)/($B$2*$B$5*$B$4*$B$7))</f>
        <v>1.4271386882428512E-10</v>
      </c>
      <c r="J2" s="3">
        <f xml:space="preserve"> 1 / ( (1 / I2) - (1 /$B$8) )</f>
        <v>1.4752054170977752E-10</v>
      </c>
    </row>
    <row r="3" spans="1:10" ht="16" x14ac:dyDescent="0.2">
      <c r="A3" s="2" t="s">
        <v>10</v>
      </c>
      <c r="B3" s="4">
        <f>7*0.0254</f>
        <v>0.17779999999999999</v>
      </c>
      <c r="D3" s="4">
        <v>2</v>
      </c>
      <c r="E3" s="4">
        <v>67</v>
      </c>
      <c r="F3" s="3">
        <f t="shared" ref="F3:F6" si="0">D3*0.0254</f>
        <v>5.0799999999999998E-2</v>
      </c>
      <c r="G3" s="3">
        <f t="shared" ref="G3:G6" si="1">F3/E3</f>
        <v>7.5820895522388059E-4</v>
      </c>
      <c r="H3" s="3">
        <f t="shared" ref="H3:H6" si="2">G3*$B$2*$B$5*$B$4</f>
        <v>1.8488167164179101E-7</v>
      </c>
      <c r="I3" s="3">
        <f t="shared" ref="I3:I6" si="3">(H3*$B$6*(F3)/($B$2*$B$5*$B$4*$B$7))</f>
        <v>2.470866982629414E-10</v>
      </c>
      <c r="J3" s="3">
        <f t="shared" ref="J3:J6" si="4" xml:space="preserve"> 1 / ( (1 / I3) - (1 /$B$8) )</f>
        <v>2.6185880500731028E-10</v>
      </c>
    </row>
    <row r="4" spans="1:10" ht="16" x14ac:dyDescent="0.2">
      <c r="A4" s="2" t="s">
        <v>11</v>
      </c>
      <c r="B4" s="4">
        <v>2.9999999999999997E-4</v>
      </c>
      <c r="D4" s="4">
        <v>3</v>
      </c>
      <c r="E4" s="4">
        <v>106</v>
      </c>
      <c r="F4" s="3">
        <f t="shared" si="0"/>
        <v>7.619999999999999E-2</v>
      </c>
      <c r="G4" s="3">
        <f t="shared" si="1"/>
        <v>7.1886792452830178E-4</v>
      </c>
      <c r="H4" s="3">
        <f t="shared" si="2"/>
        <v>1.7528875471698108E-7</v>
      </c>
      <c r="I4" s="3">
        <f t="shared" si="3"/>
        <v>3.5139924304847553E-10</v>
      </c>
      <c r="J4" s="3">
        <f t="shared" si="4"/>
        <v>3.8205043820648889E-10</v>
      </c>
    </row>
    <row r="5" spans="1:10" ht="16" x14ac:dyDescent="0.2">
      <c r="A5" s="2" t="s">
        <v>12</v>
      </c>
      <c r="B5" s="4">
        <v>8</v>
      </c>
      <c r="D5" s="4">
        <v>4</v>
      </c>
      <c r="E5" s="4">
        <v>176</v>
      </c>
      <c r="F5" s="3">
        <f t="shared" si="0"/>
        <v>0.1016</v>
      </c>
      <c r="G5" s="3">
        <f t="shared" si="1"/>
        <v>5.7727272727272727E-4</v>
      </c>
      <c r="H5" s="3">
        <f t="shared" si="2"/>
        <v>1.4076218181818181E-7</v>
      </c>
      <c r="I5" s="3">
        <f t="shared" si="3"/>
        <v>3.7624565417311541E-10</v>
      </c>
      <c r="J5" s="3">
        <f t="shared" si="4"/>
        <v>4.1160266663111113E-10</v>
      </c>
    </row>
    <row r="6" spans="1:10" ht="16" x14ac:dyDescent="0.2">
      <c r="A6" s="2" t="s">
        <v>13</v>
      </c>
      <c r="B6" s="4">
        <v>0.65</v>
      </c>
      <c r="D6" s="4">
        <v>5</v>
      </c>
      <c r="E6" s="4">
        <v>250</v>
      </c>
      <c r="F6" s="3">
        <f t="shared" si="0"/>
        <v>0.127</v>
      </c>
      <c r="G6" s="7">
        <f t="shared" si="1"/>
        <v>5.0799999999999999E-4</v>
      </c>
      <c r="H6" s="3">
        <f t="shared" si="2"/>
        <v>1.2387071999999997E-7</v>
      </c>
      <c r="I6" s="3">
        <f t="shared" si="3"/>
        <v>4.1387021959042683E-10</v>
      </c>
      <c r="J6" s="3">
        <f t="shared" si="4"/>
        <v>4.5705805462040898E-10</v>
      </c>
    </row>
    <row r="7" spans="1:10" ht="16" x14ac:dyDescent="0.2">
      <c r="A7" s="2" t="s">
        <v>14</v>
      </c>
      <c r="B7" s="4">
        <v>101325</v>
      </c>
      <c r="G7" s="10" t="s">
        <v>37</v>
      </c>
      <c r="H7" s="9">
        <f>STDEV(H2:H6)</f>
        <v>3.571947492031783E-8</v>
      </c>
      <c r="I7" s="3">
        <f t="shared" ref="I7:J7" si="5">STDEV(I2:I6)</f>
        <v>1.1041322274204789E-10</v>
      </c>
      <c r="J7" s="3">
        <f t="shared" si="5"/>
        <v>1.2593014338579692E-10</v>
      </c>
    </row>
    <row r="8" spans="1:10" ht="16" x14ac:dyDescent="0.2">
      <c r="A8" s="2" t="s">
        <v>15</v>
      </c>
      <c r="B8" s="4">
        <f>4.38*10^-9</f>
        <v>4.3800000000000002E-9</v>
      </c>
      <c r="G8" s="10" t="s">
        <v>19</v>
      </c>
      <c r="H8" s="9">
        <f>AVERAGE(H2:H6)</f>
        <v>1.676747070147011E-7</v>
      </c>
      <c r="I8" s="3">
        <f t="shared" ref="I8:J8" si="6">AVERAGE(I2:I6)</f>
        <v>3.0626313677984886E-10</v>
      </c>
      <c r="J8" s="3">
        <f t="shared" si="6"/>
        <v>3.3201810123501935E-10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83B3-798E-694E-A686-FAD452AC8352}">
  <dimension ref="A1:J10"/>
  <sheetViews>
    <sheetView zoomScale="150" zoomScaleNormal="150" workbookViewId="0">
      <selection activeCell="G9" sqref="G9:J10"/>
    </sheetView>
  </sheetViews>
  <sheetFormatPr baseColWidth="10" defaultColWidth="11.5" defaultRowHeight="15" x14ac:dyDescent="0.2"/>
  <cols>
    <col min="1" max="1" width="13" bestFit="1" customWidth="1"/>
    <col min="2" max="2" width="11.1640625" bestFit="1" customWidth="1"/>
    <col min="4" max="4" width="10.6640625" bestFit="1" customWidth="1"/>
    <col min="5" max="5" width="7" bestFit="1" customWidth="1"/>
    <col min="6" max="6" width="10.6640625" bestFit="1" customWidth="1"/>
    <col min="7" max="7" width="12.1640625" bestFit="1" customWidth="1"/>
    <col min="8" max="8" width="14.83203125" bestFit="1" customWidth="1"/>
    <col min="9" max="10" width="12.1640625" bestFit="1" customWidth="1"/>
  </cols>
  <sheetData>
    <row r="1" spans="1:10" x14ac:dyDescent="0.2">
      <c r="A1" s="2" t="s">
        <v>0</v>
      </c>
      <c r="B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6" x14ac:dyDescent="0.2">
      <c r="A2" s="2" t="s">
        <v>9</v>
      </c>
      <c r="B2" s="4">
        <f>3.5*0.0254</f>
        <v>8.8899999999999993E-2</v>
      </c>
      <c r="D2" s="4">
        <v>1</v>
      </c>
      <c r="E2" s="4">
        <v>33</v>
      </c>
      <c r="F2" s="3">
        <f>D2*0.0254</f>
        <v>2.5399999999999999E-2</v>
      </c>
      <c r="G2" s="3">
        <f>F2/E2</f>
        <v>7.6969696969696969E-4</v>
      </c>
      <c r="H2" s="3">
        <f>G2*$B$2*$B$5*$B$4</f>
        <v>1.2316690909090908E-7</v>
      </c>
      <c r="I2" s="3">
        <f>(H2*$B$6*(F2)/($B$2*$B$5*$B$4*$B$7))</f>
        <v>1.2541521805770509E-10</v>
      </c>
      <c r="J2" s="3">
        <f xml:space="preserve"> 1 / ( (1 / I2) - (1 /$B$8) )</f>
        <v>1.2911216563933987E-10</v>
      </c>
    </row>
    <row r="3" spans="1:10" ht="16" x14ac:dyDescent="0.2">
      <c r="A3" s="2" t="s">
        <v>10</v>
      </c>
      <c r="B3" s="4">
        <f>7.5*0.0254</f>
        <v>0.1905</v>
      </c>
      <c r="D3" s="4">
        <v>2</v>
      </c>
      <c r="E3" s="4">
        <v>45</v>
      </c>
      <c r="F3" s="3">
        <f t="shared" ref="F3:F6" si="0">D3*0.0254</f>
        <v>5.0799999999999998E-2</v>
      </c>
      <c r="G3" s="3">
        <f t="shared" ref="G3:G6" si="1">F3/E3</f>
        <v>1.1288888888888889E-3</v>
      </c>
      <c r="H3" s="3">
        <f t="shared" ref="H3:H8" si="2">G3*$B$2*$B$5*$B$4</f>
        <v>1.8064479999999998E-7</v>
      </c>
      <c r="I3" s="3">
        <f t="shared" ref="I3:I6" si="3">(H3*$B$6*(F3)/($B$2*$B$5*$B$4*$B$7))</f>
        <v>3.6788463963593493E-10</v>
      </c>
      <c r="J3" s="3">
        <f t="shared" ref="J3:J8" si="4" xml:space="preserve"> 1 / ( (1 / I3) - (1 /$B$8) )</f>
        <v>4.0161724598546435E-10</v>
      </c>
    </row>
    <row r="4" spans="1:10" ht="16" x14ac:dyDescent="0.2">
      <c r="A4" s="2" t="s">
        <v>11</v>
      </c>
      <c r="B4" s="4">
        <v>2.9999999999999997E-4</v>
      </c>
      <c r="D4" s="4">
        <v>3</v>
      </c>
      <c r="E4" s="4">
        <v>54</v>
      </c>
      <c r="F4" s="3">
        <f t="shared" si="0"/>
        <v>7.619999999999999E-2</v>
      </c>
      <c r="G4" s="3">
        <f t="shared" si="1"/>
        <v>1.411111111111111E-3</v>
      </c>
      <c r="H4" s="3">
        <f t="shared" si="2"/>
        <v>2.2580599999999995E-7</v>
      </c>
      <c r="I4" s="3">
        <f t="shared" si="3"/>
        <v>6.897836993173779E-10</v>
      </c>
      <c r="J4" s="3">
        <f t="shared" si="4"/>
        <v>8.1871965132538119E-10</v>
      </c>
    </row>
    <row r="5" spans="1:10" ht="16" x14ac:dyDescent="0.2">
      <c r="A5" s="2" t="s">
        <v>12</v>
      </c>
      <c r="B5" s="4">
        <v>6</v>
      </c>
      <c r="D5" s="4">
        <v>4</v>
      </c>
      <c r="E5" s="4">
        <v>73</v>
      </c>
      <c r="F5" s="3">
        <f t="shared" si="0"/>
        <v>0.1016</v>
      </c>
      <c r="G5" s="3">
        <f t="shared" si="1"/>
        <v>1.3917808219178081E-3</v>
      </c>
      <c r="H5" s="3">
        <f t="shared" si="2"/>
        <v>2.227127671232876E-7</v>
      </c>
      <c r="I5" s="3">
        <f t="shared" si="3"/>
        <v>9.0711281006120918E-10</v>
      </c>
      <c r="J5" s="3">
        <f t="shared" si="4"/>
        <v>1.144049285441409E-9</v>
      </c>
    </row>
    <row r="6" spans="1:10" ht="16" x14ac:dyDescent="0.2">
      <c r="A6" s="2" t="s">
        <v>13</v>
      </c>
      <c r="B6" s="4">
        <v>0.65</v>
      </c>
      <c r="D6" s="4">
        <v>5</v>
      </c>
      <c r="E6" s="4">
        <v>100</v>
      </c>
      <c r="F6" s="3">
        <f t="shared" si="0"/>
        <v>0.127</v>
      </c>
      <c r="G6" s="3">
        <f t="shared" si="1"/>
        <v>1.2700000000000001E-3</v>
      </c>
      <c r="H6" s="3">
        <f t="shared" si="2"/>
        <v>2.0322539999999996E-7</v>
      </c>
      <c r="I6" s="3">
        <f t="shared" si="3"/>
        <v>1.0346755489760671E-9</v>
      </c>
      <c r="J6" s="3">
        <f t="shared" si="4"/>
        <v>1.3546903957635744E-9</v>
      </c>
    </row>
    <row r="7" spans="1:10" ht="16" x14ac:dyDescent="0.2">
      <c r="A7" s="2" t="s">
        <v>14</v>
      </c>
      <c r="B7" s="4">
        <v>101325</v>
      </c>
      <c r="D7" s="4">
        <v>6</v>
      </c>
      <c r="E7" s="4">
        <v>133</v>
      </c>
      <c r="F7" s="3">
        <f t="shared" ref="F7:F8" si="5">D7*0.0254</f>
        <v>0.15239999999999998</v>
      </c>
      <c r="G7" s="3">
        <f t="shared" ref="G7:G8" si="6">F7/E7</f>
        <v>1.1458646616541353E-3</v>
      </c>
      <c r="H7" s="3">
        <f t="shared" si="2"/>
        <v>1.8336126315789467E-7</v>
      </c>
      <c r="I7" s="3">
        <f t="shared" ref="I7:I8" si="7">(H7*$B$6*(F7)/($B$2*$B$5*$B$4*$B$7))</f>
        <v>1.1202502184402526E-9</v>
      </c>
      <c r="J7" s="3">
        <f t="shared" si="4"/>
        <v>1.5052369922762959E-9</v>
      </c>
    </row>
    <row r="8" spans="1:10" ht="16" x14ac:dyDescent="0.2">
      <c r="A8" s="2" t="s">
        <v>15</v>
      </c>
      <c r="B8" s="4">
        <f>4.38*10^-9</f>
        <v>4.3800000000000002E-9</v>
      </c>
      <c r="D8" s="4">
        <v>7</v>
      </c>
      <c r="E8" s="4">
        <v>159</v>
      </c>
      <c r="F8" s="3">
        <f t="shared" si="5"/>
        <v>0.17779999999999999</v>
      </c>
      <c r="G8" s="3">
        <f t="shared" si="6"/>
        <v>1.1182389937106918E-3</v>
      </c>
      <c r="H8" s="7">
        <f t="shared" si="2"/>
        <v>1.7894060377358487E-7</v>
      </c>
      <c r="I8" s="7">
        <f t="shared" si="7"/>
        <v>1.2754491043981705E-9</v>
      </c>
      <c r="J8" s="7">
        <f t="shared" si="4"/>
        <v>1.7994445139160872E-9</v>
      </c>
    </row>
    <row r="9" spans="1:10" ht="16" x14ac:dyDescent="0.2">
      <c r="G9" s="2" t="s">
        <v>37</v>
      </c>
      <c r="H9" s="8">
        <f>STDEV(H2:H8)</f>
        <v>3.4704967934282223E-8</v>
      </c>
      <c r="I9" s="8">
        <f t="shared" ref="I9:J9" si="8">STDEV(I2:I8)</f>
        <v>4.1796979373227987E-10</v>
      </c>
      <c r="J9" s="8">
        <f t="shared" si="8"/>
        <v>6.0373325435497311E-10</v>
      </c>
    </row>
    <row r="10" spans="1:10" ht="16" x14ac:dyDescent="0.2">
      <c r="G10" s="2" t="s">
        <v>19</v>
      </c>
      <c r="H10" s="8">
        <f>AVERAGE(H2:H8)</f>
        <v>1.8826539187795374E-7</v>
      </c>
      <c r="I10" s="8">
        <f t="shared" ref="I10:J10" si="9">AVERAGE(I2:I8)</f>
        <v>7.8865303412667391E-10</v>
      </c>
      <c r="J10" s="8">
        <f t="shared" si="9"/>
        <v>1.0218386071925075E-9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14C3-E3CB-6D40-A501-BD087B292C91}">
  <dimension ref="A1:J9"/>
  <sheetViews>
    <sheetView zoomScale="150" zoomScaleNormal="150" workbookViewId="0">
      <selection activeCell="H22" sqref="H22"/>
    </sheetView>
  </sheetViews>
  <sheetFormatPr baseColWidth="10" defaultColWidth="11.5" defaultRowHeight="15" x14ac:dyDescent="0.2"/>
  <cols>
    <col min="1" max="1" width="13" bestFit="1" customWidth="1"/>
    <col min="2" max="2" width="11.1640625" bestFit="1" customWidth="1"/>
    <col min="4" max="4" width="10.6640625" bestFit="1" customWidth="1"/>
    <col min="5" max="5" width="7" bestFit="1" customWidth="1"/>
    <col min="6" max="6" width="10.6640625" bestFit="1" customWidth="1"/>
    <col min="7" max="7" width="12.1640625" bestFit="1" customWidth="1"/>
    <col min="8" max="8" width="14.83203125" bestFit="1" customWidth="1"/>
    <col min="9" max="10" width="12.1640625" bestFit="1" customWidth="1"/>
  </cols>
  <sheetData>
    <row r="1" spans="1:10" x14ac:dyDescent="0.2">
      <c r="A1" s="2" t="s">
        <v>0</v>
      </c>
      <c r="B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6" x14ac:dyDescent="0.2">
      <c r="A2" s="2" t="s">
        <v>9</v>
      </c>
      <c r="B2" s="4">
        <f>4*0.0254</f>
        <v>0.1016</v>
      </c>
      <c r="D2" s="4">
        <v>1</v>
      </c>
      <c r="E2" s="4">
        <v>20</v>
      </c>
      <c r="F2" s="3">
        <f>D2*0.0254</f>
        <v>2.5399999999999999E-2</v>
      </c>
      <c r="G2" s="3">
        <f>F2/E2</f>
        <v>1.2699999999999999E-3</v>
      </c>
      <c r="H2" s="3">
        <f>G2*$B$2*$B$5*$B$4</f>
        <v>3.0967679999999994E-7</v>
      </c>
      <c r="I2" s="3">
        <f>(H2*$B$6*(F2)/($B$2*$B$5*$B$4*$B$7))</f>
        <v>2.0693510979521344E-10</v>
      </c>
      <c r="J2" s="3">
        <f xml:space="preserve"> 1 / ( (1 / I2) - (1 /$B$8) )</f>
        <v>2.1719666593982821E-10</v>
      </c>
    </row>
    <row r="3" spans="1:10" ht="16" x14ac:dyDescent="0.2">
      <c r="A3" s="2" t="s">
        <v>10</v>
      </c>
      <c r="B3" s="4">
        <f>7.5*0.0254</f>
        <v>0.1905</v>
      </c>
      <c r="D3" s="4">
        <v>2</v>
      </c>
      <c r="E3" s="4">
        <v>39</v>
      </c>
      <c r="F3" s="3">
        <f t="shared" ref="F3:F6" si="0">D3*0.0254</f>
        <v>5.0799999999999998E-2</v>
      </c>
      <c r="G3" s="3">
        <f t="shared" ref="G3:G6" si="1">F3/E3</f>
        <v>1.3025641025641026E-3</v>
      </c>
      <c r="H3" s="3">
        <f t="shared" ref="H3:H7" si="2">G3*$B$2*$B$5*$B$4</f>
        <v>3.1761723076923077E-7</v>
      </c>
      <c r="I3" s="3">
        <f t="shared" ref="I3:I6" si="3">(H3*$B$6*(F3)/($B$2*$B$5*$B$4*$B$7))</f>
        <v>4.2448227650300198E-10</v>
      </c>
      <c r="J3" s="3">
        <f t="shared" ref="J3:J7" si="4" xml:space="preserve"> 1 / ( (1 / I3) - (1 /$B$8) )</f>
        <v>4.7003515116080341E-10</v>
      </c>
    </row>
    <row r="4" spans="1:10" ht="16" x14ac:dyDescent="0.2">
      <c r="A4" s="2" t="s">
        <v>11</v>
      </c>
      <c r="B4" s="4">
        <v>2.9999999999999997E-4</v>
      </c>
      <c r="D4" s="4">
        <v>3</v>
      </c>
      <c r="E4" s="4">
        <v>107</v>
      </c>
      <c r="F4" s="3">
        <f t="shared" si="0"/>
        <v>7.619999999999999E-2</v>
      </c>
      <c r="G4" s="3">
        <f t="shared" si="1"/>
        <v>7.1214953271028032E-4</v>
      </c>
      <c r="H4" s="3">
        <f t="shared" si="2"/>
        <v>1.7365054205607472E-7</v>
      </c>
      <c r="I4" s="3">
        <f t="shared" si="3"/>
        <v>3.4811513797325612E-10</v>
      </c>
      <c r="J4" s="3">
        <f t="shared" si="4"/>
        <v>3.781715888475061E-10</v>
      </c>
    </row>
    <row r="5" spans="1:10" ht="16" x14ac:dyDescent="0.2">
      <c r="A5" s="2" t="s">
        <v>12</v>
      </c>
      <c r="B5" s="4">
        <v>8</v>
      </c>
      <c r="D5" s="4">
        <v>4</v>
      </c>
      <c r="E5" s="4">
        <v>193</v>
      </c>
      <c r="F5" s="3">
        <f t="shared" si="0"/>
        <v>0.1016</v>
      </c>
      <c r="G5" s="3">
        <f t="shared" si="1"/>
        <v>5.2642487046632126E-4</v>
      </c>
      <c r="H5" s="3">
        <f t="shared" si="2"/>
        <v>1.2836344041450775E-7</v>
      </c>
      <c r="I5" s="3">
        <f t="shared" si="3"/>
        <v>3.4310484525631242E-10</v>
      </c>
      <c r="J5" s="3">
        <f t="shared" si="4"/>
        <v>3.7226610169866176E-10</v>
      </c>
    </row>
    <row r="6" spans="1:10" ht="16" x14ac:dyDescent="0.2">
      <c r="A6" s="2" t="s">
        <v>13</v>
      </c>
      <c r="B6" s="4">
        <v>0.65</v>
      </c>
      <c r="D6" s="4">
        <v>5</v>
      </c>
      <c r="E6" s="4">
        <v>311</v>
      </c>
      <c r="F6" s="3">
        <f t="shared" si="0"/>
        <v>0.127</v>
      </c>
      <c r="G6" s="3">
        <f t="shared" si="1"/>
        <v>4.0836012861736337E-4</v>
      </c>
      <c r="H6" s="3">
        <f t="shared" si="2"/>
        <v>9.9574533762057877E-8</v>
      </c>
      <c r="I6" s="3">
        <f t="shared" si="3"/>
        <v>3.326931025646519E-10</v>
      </c>
      <c r="J6" s="3">
        <f t="shared" si="4"/>
        <v>3.6004084349436282E-10</v>
      </c>
    </row>
    <row r="7" spans="1:10" ht="16" x14ac:dyDescent="0.2">
      <c r="A7" s="2" t="s">
        <v>14</v>
      </c>
      <c r="B7" s="4">
        <v>101325</v>
      </c>
      <c r="D7" s="4">
        <v>6</v>
      </c>
      <c r="E7" s="4">
        <v>463</v>
      </c>
      <c r="F7" s="3">
        <f t="shared" ref="F7" si="5">D7*0.0254</f>
        <v>0.15239999999999998</v>
      </c>
      <c r="G7" s="3">
        <f t="shared" ref="G7" si="6">F7/E7</f>
        <v>3.2915766738660904E-4</v>
      </c>
      <c r="H7" s="3">
        <f t="shared" si="2"/>
        <v>8.0261805615550743E-8</v>
      </c>
      <c r="I7" s="3">
        <f t="shared" ref="I7" si="7">(H7*$B$6*(F7)/($B$2*$B$5*$B$4*$B$7))</f>
        <v>3.2179973877441394E-10</v>
      </c>
      <c r="J7" s="3">
        <f t="shared" si="4"/>
        <v>3.4731722564284345E-10</v>
      </c>
    </row>
    <row r="8" spans="1:10" ht="16" x14ac:dyDescent="0.2">
      <c r="A8" s="2" t="s">
        <v>15</v>
      </c>
      <c r="B8" s="4">
        <f>4.38*10^-9</f>
        <v>4.3800000000000002E-9</v>
      </c>
      <c r="G8" s="2" t="s">
        <v>37</v>
      </c>
      <c r="H8" s="8">
        <f>STDEV(H2:H7)</f>
        <v>1.0462850668460477E-7</v>
      </c>
      <c r="I8" s="8">
        <f t="shared" ref="I8:J8" si="8">STDEV(I2:I7)</f>
        <v>7.0206676944482555E-11</v>
      </c>
      <c r="J8" s="8">
        <f t="shared" si="8"/>
        <v>8.1369137629159751E-11</v>
      </c>
    </row>
    <row r="9" spans="1:10" ht="16" x14ac:dyDescent="0.2">
      <c r="G9" s="2" t="s">
        <v>19</v>
      </c>
      <c r="H9" s="8">
        <f>AVERAGE(H2:H7)</f>
        <v>1.8485739210290364E-7</v>
      </c>
      <c r="I9" s="8">
        <f t="shared" ref="I9:J9" si="9">AVERAGE(I2:I7)</f>
        <v>3.2952170181114162E-10</v>
      </c>
      <c r="J9" s="8">
        <f t="shared" si="9"/>
        <v>3.575045961306676E-10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055D-E340-7D4D-B29B-BBE025C8299B}">
  <dimension ref="A1:H20"/>
  <sheetViews>
    <sheetView tabSelected="1" zoomScale="115" workbookViewId="0">
      <selection activeCell="E28" sqref="E28"/>
    </sheetView>
  </sheetViews>
  <sheetFormatPr baseColWidth="10" defaultColWidth="11.5" defaultRowHeight="15" x14ac:dyDescent="0.2"/>
  <cols>
    <col min="2" max="5" width="11.83203125" bestFit="1" customWidth="1"/>
    <col min="6" max="6" width="14.1640625" customWidth="1"/>
    <col min="7" max="8" width="12.33203125" customWidth="1"/>
  </cols>
  <sheetData>
    <row r="1" spans="1:8" x14ac:dyDescent="0.2">
      <c r="A1" s="12"/>
      <c r="B1" s="13" t="s">
        <v>16</v>
      </c>
      <c r="C1" s="13"/>
      <c r="D1" s="13" t="s">
        <v>17</v>
      </c>
      <c r="E1" s="13"/>
      <c r="F1" s="13" t="s">
        <v>18</v>
      </c>
      <c r="G1" s="13"/>
      <c r="H1" s="13"/>
    </row>
    <row r="2" spans="1:8" x14ac:dyDescent="0.2">
      <c r="A2" s="11"/>
      <c r="B2" s="11" t="s">
        <v>19</v>
      </c>
      <c r="C2" s="11" t="s">
        <v>20</v>
      </c>
      <c r="D2" s="11" t="s">
        <v>19</v>
      </c>
      <c r="E2" s="11" t="s">
        <v>20</v>
      </c>
      <c r="F2" s="11" t="s">
        <v>21</v>
      </c>
      <c r="G2" s="11" t="s">
        <v>22</v>
      </c>
      <c r="H2" s="11" t="s">
        <v>23</v>
      </c>
    </row>
    <row r="3" spans="1:8" x14ac:dyDescent="0.2">
      <c r="A3" s="11" t="s">
        <v>24</v>
      </c>
      <c r="B3" s="5">
        <f>'8-Layer'!$I$8</f>
        <v>3.0626313677984886E-10</v>
      </c>
      <c r="C3" s="5">
        <f>'8-Layer'!I7</f>
        <v>1.1041322274204789E-10</v>
      </c>
      <c r="D3" s="5">
        <f>'6-Layer'!I10</f>
        <v>7.8865303412667391E-10</v>
      </c>
      <c r="E3" s="5">
        <f>'6-Layer'!I9</f>
        <v>4.1796979373227987E-10</v>
      </c>
      <c r="F3" s="5">
        <f>ABS((B3-D3)/SQRT(C3^2/B6+E3^2/D6))</f>
        <v>2.9144803027662767</v>
      </c>
      <c r="G3" s="5">
        <f>_xlfn.T.INV.2T(0.1, B6+D6-2)</f>
        <v>1.812461122811676</v>
      </c>
      <c r="H3" s="5" t="b">
        <f>IF(F3&lt;=G3, TRUE, FALSE)</f>
        <v>0</v>
      </c>
    </row>
    <row r="4" spans="1:8" x14ac:dyDescent="0.2">
      <c r="A4" s="11" t="s">
        <v>25</v>
      </c>
      <c r="B4" s="5">
        <f>'8-Layer'!J8</f>
        <v>3.3201810123501935E-10</v>
      </c>
      <c r="C4" s="5">
        <f>'8-Layer'!J7</f>
        <v>1.2593014338579692E-10</v>
      </c>
      <c r="D4" s="5">
        <f>'6-Layer'!J10</f>
        <v>1.0218386071925075E-9</v>
      </c>
      <c r="E4" s="5">
        <f>'6-Layer'!J9</f>
        <v>6.0373325435497311E-10</v>
      </c>
      <c r="F4" s="5">
        <f>ABS((B4-D4)/SQRT(C4^2/B6+E4^2/D6))</f>
        <v>2.9349486207742999</v>
      </c>
      <c r="G4" s="5">
        <f>_xlfn.T.INV.2T(0.1, B6+D6-2)</f>
        <v>1.812461122811676</v>
      </c>
      <c r="H4" s="5" t="b">
        <f t="shared" ref="H4:H5" si="0">IF(F4&lt;=G4, TRUE, FALSE)</f>
        <v>0</v>
      </c>
    </row>
    <row r="5" spans="1:8" x14ac:dyDescent="0.2">
      <c r="A5" s="11" t="s">
        <v>26</v>
      </c>
      <c r="B5" s="5">
        <f>'8-Layer'!H8</f>
        <v>1.676747070147011E-7</v>
      </c>
      <c r="C5" s="5">
        <f>'8-Layer'!H7</f>
        <v>3.571947492031783E-8</v>
      </c>
      <c r="D5" s="5">
        <f>'6-Layer'!H10</f>
        <v>1.8826539187795374E-7</v>
      </c>
      <c r="E5" s="5">
        <f>'6-Layer'!H9</f>
        <v>3.4704967934282223E-8</v>
      </c>
      <c r="F5" s="5">
        <f>ABS((B5-D5)/SQRT(C5^2/B6+E5^2/D6))</f>
        <v>0.99617515672130286</v>
      </c>
      <c r="G5" s="5">
        <f>_xlfn.T.INV.2T(0.1, B6+D6-2)</f>
        <v>1.812461122811676</v>
      </c>
      <c r="H5" s="5" t="b">
        <f t="shared" si="0"/>
        <v>1</v>
      </c>
    </row>
    <row r="6" spans="1:8" x14ac:dyDescent="0.2">
      <c r="A6" s="11" t="s">
        <v>27</v>
      </c>
      <c r="B6" s="6">
        <f>'8-Layer'!D6</f>
        <v>5</v>
      </c>
      <c r="D6" s="6">
        <f>'6-Layer'!D8</f>
        <v>7</v>
      </c>
    </row>
    <row r="8" spans="1:8" x14ac:dyDescent="0.2">
      <c r="A8" s="12"/>
      <c r="B8" s="13" t="s">
        <v>16</v>
      </c>
      <c r="C8" s="13"/>
      <c r="D8" s="13" t="s">
        <v>38</v>
      </c>
      <c r="E8" s="13"/>
      <c r="F8" s="13" t="s">
        <v>18</v>
      </c>
      <c r="G8" s="13"/>
      <c r="H8" s="13"/>
    </row>
    <row r="9" spans="1:8" x14ac:dyDescent="0.2">
      <c r="A9" s="11"/>
      <c r="B9" s="11" t="s">
        <v>19</v>
      </c>
      <c r="C9" s="11" t="s">
        <v>20</v>
      </c>
      <c r="D9" s="11" t="s">
        <v>19</v>
      </c>
      <c r="E9" s="11" t="s">
        <v>20</v>
      </c>
      <c r="F9" s="11" t="s">
        <v>21</v>
      </c>
      <c r="G9" s="11" t="s">
        <v>22</v>
      </c>
      <c r="H9" s="11" t="s">
        <v>23</v>
      </c>
    </row>
    <row r="10" spans="1:8" x14ac:dyDescent="0.2">
      <c r="A10" s="11" t="s">
        <v>24</v>
      </c>
      <c r="B10" s="5">
        <f>'8-Layer'!$I$8</f>
        <v>3.0626313677984886E-10</v>
      </c>
      <c r="C10" s="5">
        <f>'8-Layer'!I7</f>
        <v>1.1041322274204789E-10</v>
      </c>
      <c r="D10" s="5">
        <f>'4-Layer'!I9</f>
        <v>3.2952170181114162E-10</v>
      </c>
      <c r="E10" s="5">
        <f>'4-Layer'!I8</f>
        <v>7.0206676944482555E-11</v>
      </c>
      <c r="F10" s="5">
        <f>ABS((B10-D10)/SQRT(C10^2/B13+E10^2/D13))</f>
        <v>0.40737398175080153</v>
      </c>
      <c r="G10" s="5">
        <f>_xlfn.T.INV.2T(0.1, B13+D13-2)</f>
        <v>1.8331129326562374</v>
      </c>
      <c r="H10" s="5" t="b">
        <f>IF(F10&lt;=G10, TRUE, FALSE)</f>
        <v>1</v>
      </c>
    </row>
    <row r="11" spans="1:8" x14ac:dyDescent="0.2">
      <c r="A11" s="11" t="s">
        <v>25</v>
      </c>
      <c r="B11" s="5">
        <f>'8-Layer'!J8</f>
        <v>3.3201810123501935E-10</v>
      </c>
      <c r="C11" s="5">
        <f>'8-Layer'!J7</f>
        <v>1.2593014338579692E-10</v>
      </c>
      <c r="D11" s="5">
        <f>'4-Layer'!J9</f>
        <v>3.575045961306676E-10</v>
      </c>
      <c r="E11" s="5">
        <f>'4-Layer'!J8</f>
        <v>8.1369137629159751E-11</v>
      </c>
      <c r="F11" s="5">
        <f>ABS((B11-D11)/SQRT(C11^2/B13+E11^2/D13))</f>
        <v>0.38979246208021245</v>
      </c>
      <c r="G11" s="5">
        <f>_xlfn.T.INV.2T(0.1, B13+D13-2)</f>
        <v>1.8331129326562374</v>
      </c>
      <c r="H11" s="5" t="b">
        <f t="shared" ref="H11:H12" si="1">IF(F11&lt;=G11, TRUE, FALSE)</f>
        <v>1</v>
      </c>
    </row>
    <row r="12" spans="1:8" x14ac:dyDescent="0.2">
      <c r="A12" s="11" t="s">
        <v>26</v>
      </c>
      <c r="B12" s="5">
        <f>'8-Layer'!H8</f>
        <v>1.676747070147011E-7</v>
      </c>
      <c r="C12" s="5">
        <f>'8-Layer'!H7</f>
        <v>3.571947492031783E-8</v>
      </c>
      <c r="D12" s="5">
        <f>'4-Layer'!H9</f>
        <v>1.8485739210290364E-7</v>
      </c>
      <c r="E12" s="5">
        <f>'4-Layer'!H8</f>
        <v>1.0462850668460477E-7</v>
      </c>
      <c r="F12" s="5">
        <f>ABS((B12-D12)/SQRT(C12^2/B13+E12^2/D13))</f>
        <v>0.37678274618660212</v>
      </c>
      <c r="G12" s="5">
        <f>_xlfn.T.INV.2T(0.1, B13+D13-2)</f>
        <v>1.8331129326562374</v>
      </c>
      <c r="H12" s="5" t="b">
        <f t="shared" si="1"/>
        <v>1</v>
      </c>
    </row>
    <row r="13" spans="1:8" x14ac:dyDescent="0.2">
      <c r="A13" s="11" t="s">
        <v>27</v>
      </c>
      <c r="B13" s="6">
        <f>'8-Layer'!D6</f>
        <v>5</v>
      </c>
      <c r="D13" s="6">
        <f>'4-Layer'!D7</f>
        <v>6</v>
      </c>
    </row>
    <row r="15" spans="1:8" x14ac:dyDescent="0.2">
      <c r="A15" s="14"/>
      <c r="B15" s="15" t="s">
        <v>17</v>
      </c>
      <c r="C15" s="15"/>
      <c r="D15" s="15" t="s">
        <v>38</v>
      </c>
      <c r="E15" s="15"/>
      <c r="F15" s="15" t="s">
        <v>18</v>
      </c>
      <c r="G15" s="15"/>
      <c r="H15" s="15"/>
    </row>
    <row r="16" spans="1:8" x14ac:dyDescent="0.2">
      <c r="A16" s="11"/>
      <c r="B16" s="11" t="s">
        <v>19</v>
      </c>
      <c r="C16" s="11" t="s">
        <v>20</v>
      </c>
      <c r="D16" s="11" t="s">
        <v>19</v>
      </c>
      <c r="E16" s="11" t="s">
        <v>20</v>
      </c>
      <c r="F16" s="11" t="s">
        <v>21</v>
      </c>
      <c r="G16" s="11" t="s">
        <v>22</v>
      </c>
      <c r="H16" s="11" t="s">
        <v>23</v>
      </c>
    </row>
    <row r="17" spans="1:8" x14ac:dyDescent="0.2">
      <c r="A17" s="11" t="s">
        <v>24</v>
      </c>
      <c r="B17" s="5">
        <f>'6-Layer'!I10</f>
        <v>7.8865303412667391E-10</v>
      </c>
      <c r="C17" s="5">
        <f>'6-Layer'!I9</f>
        <v>4.1796979373227987E-10</v>
      </c>
      <c r="D17" s="5">
        <f>'4-Layer'!I9</f>
        <v>3.2952170181114162E-10</v>
      </c>
      <c r="E17" s="5">
        <f>'4-Layer'!I8</f>
        <v>7.0206676944482555E-11</v>
      </c>
      <c r="F17" s="5">
        <f>(B17-D17)/SQRT(C17^2/B20+E17^2/D20)</f>
        <v>2.8596207776845932</v>
      </c>
      <c r="G17" s="5">
        <f>_xlfn.T.INV.2T(0.1, B20+D20-2)</f>
        <v>1.7958848187040437</v>
      </c>
      <c r="H17" s="5" t="b">
        <f>IF(F17&lt;=G17, TRUE, FALSE)</f>
        <v>0</v>
      </c>
    </row>
    <row r="18" spans="1:8" x14ac:dyDescent="0.2">
      <c r="A18" s="11" t="s">
        <v>25</v>
      </c>
      <c r="B18" s="5">
        <f>'6-Layer'!J10</f>
        <v>1.0218386071925075E-9</v>
      </c>
      <c r="C18" s="5">
        <f>'6-Layer'!J9</f>
        <v>6.0373325435497311E-10</v>
      </c>
      <c r="D18" s="5">
        <f>'4-Layer'!J9</f>
        <v>3.575045961306676E-10</v>
      </c>
      <c r="E18" s="5">
        <f>'4-Layer'!J8</f>
        <v>8.1369137629159751E-11</v>
      </c>
      <c r="F18" s="5">
        <f>(B18-D18)/SQRT(C18^2/B20+E18^2/D20)</f>
        <v>2.8809562610888526</v>
      </c>
      <c r="G18" s="5">
        <f>_xlfn.T.INV.2T(0.1, B20+D20-2)</f>
        <v>1.7958848187040437</v>
      </c>
      <c r="H18" s="5" t="b">
        <f t="shared" ref="H18:H19" si="2">IF(F18&lt;=G18, TRUE, FALSE)</f>
        <v>0</v>
      </c>
    </row>
    <row r="19" spans="1:8" x14ac:dyDescent="0.2">
      <c r="A19" s="11" t="s">
        <v>26</v>
      </c>
      <c r="B19" s="5">
        <f>'6-Layer'!H10</f>
        <v>1.8826539187795374E-7</v>
      </c>
      <c r="C19" s="5">
        <f>'6-Layer'!H9</f>
        <v>3.4704967934282223E-8</v>
      </c>
      <c r="D19" s="5">
        <f>'4-Layer'!H9</f>
        <v>1.8485739210290364E-7</v>
      </c>
      <c r="E19" s="5">
        <f>'4-Layer'!H8</f>
        <v>1.0462850668460477E-7</v>
      </c>
      <c r="F19" s="5">
        <f>(B19-D19)/SQRT(C19^2/B20+E19^2/D20)</f>
        <v>7.6270376339566542E-2</v>
      </c>
      <c r="G19" s="5">
        <f>_xlfn.T.INV.2T(0.1, B20+D20-2)</f>
        <v>1.7958848187040437</v>
      </c>
      <c r="H19" s="5" t="b">
        <f t="shared" si="2"/>
        <v>1</v>
      </c>
    </row>
    <row r="20" spans="1:8" x14ac:dyDescent="0.2">
      <c r="A20" s="11" t="s">
        <v>27</v>
      </c>
      <c r="B20" s="6">
        <f>'6-Layer'!D8</f>
        <v>7</v>
      </c>
      <c r="D20" s="6">
        <f>'4-Layer'!D7</f>
        <v>6</v>
      </c>
    </row>
  </sheetData>
  <mergeCells count="9">
    <mergeCell ref="B15:C15"/>
    <mergeCell ref="D15:E15"/>
    <mergeCell ref="F15:H15"/>
    <mergeCell ref="B1:C1"/>
    <mergeCell ref="D1:E1"/>
    <mergeCell ref="F1:H1"/>
    <mergeCell ref="B8:C8"/>
    <mergeCell ref="D8:E8"/>
    <mergeCell ref="F8:H8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workbookViewId="0">
      <selection activeCell="B9" sqref="B9"/>
    </sheetView>
  </sheetViews>
  <sheetFormatPr baseColWidth="10" defaultColWidth="8.83203125" defaultRowHeight="15" x14ac:dyDescent="0.2"/>
  <cols>
    <col min="1" max="1" width="14.5" bestFit="1" customWidth="1"/>
    <col min="2" max="2" width="56.6640625" bestFit="1" customWidth="1"/>
  </cols>
  <sheetData>
    <row r="1" spans="1:2" x14ac:dyDescent="0.2">
      <c r="A1" s="1" t="s">
        <v>28</v>
      </c>
      <c r="B1" s="1" t="s">
        <v>29</v>
      </c>
    </row>
    <row r="2" spans="1:2" x14ac:dyDescent="0.2">
      <c r="A2" t="s">
        <v>2</v>
      </c>
      <c r="B2" t="s">
        <v>30</v>
      </c>
    </row>
    <row r="3" spans="1:2" x14ac:dyDescent="0.2">
      <c r="A3" t="s">
        <v>3</v>
      </c>
      <c r="B3" t="s">
        <v>31</v>
      </c>
    </row>
    <row r="4" spans="1:2" x14ac:dyDescent="0.2">
      <c r="A4" t="s">
        <v>4</v>
      </c>
      <c r="B4" t="s">
        <v>32</v>
      </c>
    </row>
    <row r="5" spans="1:2" x14ac:dyDescent="0.2">
      <c r="A5" t="s">
        <v>5</v>
      </c>
      <c r="B5" t="s">
        <v>33</v>
      </c>
    </row>
    <row r="6" spans="1:2" x14ac:dyDescent="0.2">
      <c r="A6" t="s">
        <v>6</v>
      </c>
      <c r="B6" t="s">
        <v>34</v>
      </c>
    </row>
    <row r="7" spans="1:2" x14ac:dyDescent="0.2">
      <c r="A7" t="s">
        <v>7</v>
      </c>
      <c r="B7" t="s">
        <v>35</v>
      </c>
    </row>
    <row r="8" spans="1:2" x14ac:dyDescent="0.2">
      <c r="A8" t="s">
        <v>8</v>
      </c>
      <c r="B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8-Layer</vt:lpstr>
      <vt:lpstr>6-Layer</vt:lpstr>
      <vt:lpstr>4-Layer</vt:lpstr>
      <vt:lpstr>T-Test</vt:lpstr>
      <vt:lpstr>Explanations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Vaught, Jacob</cp:lastModifiedBy>
  <cp:revision/>
  <dcterms:created xsi:type="dcterms:W3CDTF">2024-10-02T00:52:31Z</dcterms:created>
  <dcterms:modified xsi:type="dcterms:W3CDTF">2024-10-03T21:15:42Z</dcterms:modified>
  <cp:category/>
  <cp:contentStatus/>
</cp:coreProperties>
</file>