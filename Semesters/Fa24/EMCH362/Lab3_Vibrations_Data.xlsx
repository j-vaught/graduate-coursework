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94" documentId="8_{3A141E73-93B8-407A-88BD-F28C58CF77EA}" xr6:coauthVersionLast="47" xr6:coauthVersionMax="47" xr10:uidLastSave="{8E129029-260B-45E7-B886-6DA69B8E78B3}"/>
  <bookViews>
    <workbookView xWindow="-120" yWindow="-120" windowWidth="29040" windowHeight="15720" xr2:uid="{E3F71B3D-F471-BE40-A178-90C2CDF038F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K13" i="1" s="1"/>
  <c r="J12" i="1"/>
  <c r="K12" i="1" s="1"/>
  <c r="J11" i="1"/>
  <c r="K11" i="1" s="1"/>
  <c r="J10" i="1"/>
  <c r="K10" i="1" s="1"/>
  <c r="J9" i="1"/>
  <c r="K9" i="1" s="1"/>
  <c r="H20" i="1"/>
  <c r="I20" i="1" s="1"/>
  <c r="H21" i="1"/>
  <c r="I21" i="1" s="1"/>
  <c r="H22" i="1"/>
  <c r="I22" i="1" s="1"/>
  <c r="H23" i="1"/>
  <c r="I23" i="1" s="1"/>
  <c r="H24" i="1"/>
  <c r="I24" i="1" s="1"/>
  <c r="M10" i="1"/>
  <c r="N10" i="1" s="1"/>
  <c r="M11" i="1"/>
  <c r="N11" i="1" s="1"/>
  <c r="M12" i="1"/>
  <c r="N12" i="1" s="1"/>
  <c r="M13" i="1"/>
  <c r="N13" i="1" s="1"/>
  <c r="M9" i="1"/>
  <c r="B8" i="2"/>
  <c r="B9" i="2"/>
  <c r="B7" i="2"/>
  <c r="C8" i="2"/>
  <c r="C9" i="2"/>
  <c r="G9" i="2" s="1"/>
  <c r="C7" i="2"/>
  <c r="G7" i="2" s="1"/>
  <c r="E3" i="1"/>
  <c r="B3" i="1"/>
  <c r="C5" i="2"/>
  <c r="G5" i="2" s="1"/>
  <c r="G4" i="2"/>
  <c r="C4" i="2"/>
  <c r="C3" i="2"/>
  <c r="G3" i="2" s="1"/>
  <c r="J2" i="1"/>
  <c r="J3" i="1" s="1"/>
  <c r="G8" i="2" l="1"/>
  <c r="M3" i="1"/>
  <c r="M2" i="1"/>
  <c r="S7" i="1" l="1"/>
  <c r="S4" i="1"/>
  <c r="S5" i="1"/>
  <c r="S8" i="1"/>
  <c r="S6" i="1"/>
</calcChain>
</file>

<file path=xl/sharedStrings.xml><?xml version="1.0" encoding="utf-8"?>
<sst xmlns="http://schemas.openxmlformats.org/spreadsheetml/2006/main" count="47" uniqueCount="33">
  <si>
    <t>width (in)</t>
  </si>
  <si>
    <t>Thickness(In)</t>
  </si>
  <si>
    <t>Length of Beam(in)</t>
  </si>
  <si>
    <t>Moment of Inertia(m^4)</t>
  </si>
  <si>
    <t>width(m)</t>
  </si>
  <si>
    <t>Thickness(m)</t>
  </si>
  <si>
    <t>Length(m)</t>
  </si>
  <si>
    <t>Area(m^2)</t>
  </si>
  <si>
    <t>Frequency</t>
  </si>
  <si>
    <t>BL at 1/2 Length</t>
  </si>
  <si>
    <t xml:space="preserve"> BL at full Length</t>
  </si>
  <si>
    <t>"free-free" beam</t>
  </si>
  <si>
    <t>Measured Frequency (Hz)</t>
  </si>
  <si>
    <t>Mode Shape</t>
  </si>
  <si>
    <t>Theoretical Values</t>
  </si>
  <si>
    <t>Experiemental Values</t>
  </si>
  <si>
    <t>No. of Nodes</t>
  </si>
  <si>
    <t>Node Position (m)</t>
  </si>
  <si>
    <t>Node Position (in)</t>
  </si>
  <si>
    <t>% Error</t>
  </si>
  <si>
    <t>N/A</t>
  </si>
  <si>
    <t>Cantilever Style beam</t>
  </si>
  <si>
    <t>Measured frequency (Hz)</t>
  </si>
  <si>
    <t>Node Position</t>
  </si>
  <si>
    <t>Node Position(in)</t>
  </si>
  <si>
    <t>NATURAL</t>
  </si>
  <si>
    <t>Beta_L</t>
  </si>
  <si>
    <t>L[m]</t>
  </si>
  <si>
    <t>E[Pa]</t>
  </si>
  <si>
    <t>I[m^4]</t>
  </si>
  <si>
    <t>rho[kg/m^3]</t>
  </si>
  <si>
    <t>A[m^2]</t>
  </si>
  <si>
    <t>f[Hz]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</si>
</sst>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39E2-DDC1-564F-8616-2394040CB26E}">
  <dimension ref="A2:S24"/>
  <sheetViews>
    <sheetView tabSelected="1" topLeftCell="G1" workbookViewId="0">
      <selection activeCell="Q3" sqref="Q3:S3"/>
    </sheetView>
  </sheetViews>
  <sheetFormatPr defaultColWidth="11" defaultRowHeight="15.75"/>
  <cols>
    <col min="2" max="2" width="22.25" bestFit="1" customWidth="1"/>
    <col min="3" max="3" width="11.375" bestFit="1" customWidth="1"/>
    <col min="4" max="4" width="11.875" bestFit="1" customWidth="1"/>
    <col min="5" max="5" width="12.5" bestFit="1" customWidth="1"/>
    <col min="6" max="6" width="15.75" bestFit="1" customWidth="1"/>
    <col min="7" max="7" width="15.25" bestFit="1" customWidth="1"/>
    <col min="8" max="8" width="15.75" bestFit="1" customWidth="1"/>
    <col min="9" max="9" width="19.875" customWidth="1"/>
    <col min="10" max="11" width="15.75" bestFit="1" customWidth="1"/>
    <col min="12" max="12" width="21.5" customWidth="1"/>
    <col min="13" max="13" width="15.75" bestFit="1" customWidth="1"/>
    <col min="15" max="15" width="14.375" bestFit="1" customWidth="1"/>
    <col min="16" max="16" width="14.625" bestFit="1" customWidth="1"/>
    <col min="18" max="18" width="14.375" bestFit="1" customWidth="1"/>
    <col min="19" max="19" width="14.625" bestFit="1" customWidth="1"/>
  </cols>
  <sheetData>
    <row r="2" spans="1:19">
      <c r="A2" t="s">
        <v>0</v>
      </c>
      <c r="B2">
        <v>0.5</v>
      </c>
      <c r="D2" t="s">
        <v>1</v>
      </c>
      <c r="E2">
        <v>0.13200000000000001</v>
      </c>
      <c r="I2" t="s">
        <v>2</v>
      </c>
      <c r="J2">
        <f>19.75*2</f>
        <v>39.5</v>
      </c>
      <c r="L2" t="s">
        <v>3</v>
      </c>
      <c r="M2">
        <f>((B3)*(E3^3))/12</f>
        <v>3.988828997809921E-11</v>
      </c>
    </row>
    <row r="3" spans="1:19">
      <c r="A3" t="s">
        <v>4</v>
      </c>
      <c r="B3">
        <f>B2*2.54/100</f>
        <v>1.2699999999999999E-2</v>
      </c>
      <c r="D3" t="s">
        <v>5</v>
      </c>
      <c r="E3">
        <f>E2*2.54/100</f>
        <v>3.3528000000000004E-3</v>
      </c>
      <c r="I3" t="s">
        <v>6</v>
      </c>
      <c r="J3">
        <f>J2*2.54/100</f>
        <v>1.0033000000000001</v>
      </c>
      <c r="L3" t="s">
        <v>7</v>
      </c>
      <c r="M3">
        <f>B3*E3</f>
        <v>4.2580560000000001E-5</v>
      </c>
      <c r="Q3" s="5" t="s">
        <v>8</v>
      </c>
      <c r="R3" s="5" t="s">
        <v>9</v>
      </c>
      <c r="S3" s="5" t="s">
        <v>10</v>
      </c>
    </row>
    <row r="4" spans="1:19">
      <c r="Q4">
        <v>15</v>
      </c>
      <c r="R4">
        <v>2.2016918573450188</v>
      </c>
      <c r="S4">
        <f>SQRT(B9*2*PI()*J3^2*SQRT(2700*M3/(69*10^9*M2)))</f>
        <v>4.4033837146900376</v>
      </c>
    </row>
    <row r="5" spans="1:19" ht="23.25">
      <c r="B5" s="4" t="s">
        <v>11</v>
      </c>
      <c r="C5" s="4"/>
      <c r="D5" s="4"/>
      <c r="E5" s="4"/>
      <c r="F5" s="4"/>
      <c r="G5" s="4"/>
      <c r="H5" s="4"/>
      <c r="I5" s="4"/>
      <c r="J5" s="4"/>
      <c r="Q5">
        <v>22</v>
      </c>
      <c r="R5">
        <v>2.6663812526016835</v>
      </c>
      <c r="S5">
        <f>SQRT(B10*2*PI()*J3^2*SQRT(2700*M3/(69*10^9*M2)))</f>
        <v>5.3327625052033669</v>
      </c>
    </row>
    <row r="6" spans="1:19">
      <c r="Q6">
        <v>30</v>
      </c>
      <c r="R6">
        <v>3.1136624848237351</v>
      </c>
      <c r="S6">
        <f>SQRT(B11*2*PI()*J3^2*SQRT(2700*M3/(69*10^9*M2)))</f>
        <v>6.2273249696474702</v>
      </c>
    </row>
    <row r="7" spans="1:19">
      <c r="B7" s="3" t="s">
        <v>12</v>
      </c>
      <c r="C7" s="3" t="s">
        <v>13</v>
      </c>
      <c r="D7" s="6" t="s">
        <v>14</v>
      </c>
      <c r="E7" s="6"/>
      <c r="F7" s="6"/>
      <c r="G7" s="6"/>
      <c r="H7" s="6" t="s">
        <v>15</v>
      </c>
      <c r="I7" s="6"/>
      <c r="J7" s="6"/>
      <c r="K7" s="6"/>
      <c r="L7" s="6"/>
      <c r="M7" s="6"/>
      <c r="N7" s="6"/>
      <c r="Q7">
        <v>35</v>
      </c>
      <c r="R7">
        <v>3.3631398644171542</v>
      </c>
      <c r="S7">
        <f>SQRT(B12*2*PI()*J3^2*SQRT(2700*M3/(69*10^9*M2)))</f>
        <v>6.7262797288343084</v>
      </c>
    </row>
    <row r="8" spans="1:19">
      <c r="B8" s="3"/>
      <c r="C8" s="3"/>
      <c r="D8" t="s">
        <v>8</v>
      </c>
      <c r="E8" t="s">
        <v>16</v>
      </c>
      <c r="F8" t="s">
        <v>17</v>
      </c>
      <c r="G8" t="s">
        <v>17</v>
      </c>
      <c r="H8" t="s">
        <v>16</v>
      </c>
      <c r="I8" t="s">
        <v>18</v>
      </c>
      <c r="J8" t="s">
        <v>17</v>
      </c>
      <c r="K8" s="5" t="s">
        <v>19</v>
      </c>
      <c r="L8" t="s">
        <v>18</v>
      </c>
      <c r="M8" t="s">
        <v>17</v>
      </c>
      <c r="N8" s="5" t="s">
        <v>19</v>
      </c>
      <c r="Q8">
        <v>33</v>
      </c>
      <c r="R8">
        <v>3.2656367642985935</v>
      </c>
      <c r="S8">
        <f>SQRT(B13*2*PI()*J3^2*SQRT(2700*M3/(69*10^9*M2)))</f>
        <v>6.531273528597187</v>
      </c>
    </row>
    <row r="9" spans="1:19">
      <c r="A9">
        <v>1</v>
      </c>
      <c r="B9">
        <v>15</v>
      </c>
      <c r="C9">
        <v>2</v>
      </c>
      <c r="E9">
        <v>2</v>
      </c>
      <c r="F9">
        <v>0.56280699999999995</v>
      </c>
      <c r="H9">
        <v>2</v>
      </c>
      <c r="I9">
        <v>11.5</v>
      </c>
      <c r="J9">
        <f>I9*2.54/100</f>
        <v>0.29210000000000003</v>
      </c>
      <c r="K9">
        <f>(F9-J9)/F9</f>
        <v>0.48099437284895169</v>
      </c>
      <c r="L9">
        <v>29.5</v>
      </c>
      <c r="M9">
        <f>L9*2.54/100</f>
        <v>0.74930000000000008</v>
      </c>
      <c r="N9" t="s">
        <v>20</v>
      </c>
    </row>
    <row r="10" spans="1:19">
      <c r="A10">
        <v>2</v>
      </c>
      <c r="B10">
        <v>22</v>
      </c>
      <c r="C10">
        <v>2</v>
      </c>
      <c r="E10">
        <v>2</v>
      </c>
      <c r="F10">
        <v>0.46507599999999999</v>
      </c>
      <c r="G10">
        <v>0.910887</v>
      </c>
      <c r="H10">
        <v>2</v>
      </c>
      <c r="I10">
        <v>7.25</v>
      </c>
      <c r="J10">
        <f>I10*2.54/100</f>
        <v>0.18414999999999998</v>
      </c>
      <c r="K10">
        <f>(F10-J10)/F10</f>
        <v>0.60404321014199835</v>
      </c>
      <c r="L10">
        <v>31</v>
      </c>
      <c r="M10">
        <f t="shared" ref="M10:M13" si="0">L10*2.54/100</f>
        <v>0.78739999999999999</v>
      </c>
      <c r="N10">
        <f>(G10-M10)/G10</f>
        <v>0.13556785858179995</v>
      </c>
    </row>
    <row r="11" spans="1:19">
      <c r="A11">
        <v>3</v>
      </c>
      <c r="B11">
        <v>30</v>
      </c>
      <c r="C11">
        <v>2</v>
      </c>
      <c r="E11">
        <v>2</v>
      </c>
      <c r="F11">
        <v>0.39182800000000001</v>
      </c>
      <c r="G11">
        <v>0.84054799999999996</v>
      </c>
      <c r="H11">
        <v>2</v>
      </c>
      <c r="I11">
        <v>5</v>
      </c>
      <c r="J11">
        <f>I11*2.54/100</f>
        <v>0.127</v>
      </c>
      <c r="K11">
        <f>(F11-J11)/F11</f>
        <v>0.67587819145135108</v>
      </c>
      <c r="L11">
        <v>34</v>
      </c>
      <c r="M11">
        <f t="shared" si="0"/>
        <v>0.86360000000000003</v>
      </c>
      <c r="N11">
        <f>ABS(G11-M11)/G11</f>
        <v>2.7424965617668561E-2</v>
      </c>
    </row>
    <row r="12" spans="1:19">
      <c r="A12">
        <v>4</v>
      </c>
      <c r="B12">
        <v>35</v>
      </c>
      <c r="C12">
        <v>2</v>
      </c>
      <c r="E12">
        <v>2</v>
      </c>
      <c r="F12">
        <v>0.36202699999999999</v>
      </c>
      <c r="G12">
        <v>0.80532899999999996</v>
      </c>
      <c r="H12">
        <v>2</v>
      </c>
      <c r="I12">
        <v>5.5</v>
      </c>
      <c r="J12">
        <f>I12*2.54/100</f>
        <v>0.13970000000000002</v>
      </c>
      <c r="K12">
        <f>(F12-J12)/F12</f>
        <v>0.61411717910542574</v>
      </c>
      <c r="L12">
        <v>33</v>
      </c>
      <c r="M12">
        <f t="shared" si="0"/>
        <v>0.83820000000000006</v>
      </c>
      <c r="N12">
        <f>ABS(G12-M12)/G12</f>
        <v>4.0816858699984845E-2</v>
      </c>
    </row>
    <row r="13" spans="1:19">
      <c r="A13">
        <v>5</v>
      </c>
      <c r="B13">
        <v>33</v>
      </c>
      <c r="C13">
        <v>2</v>
      </c>
      <c r="E13">
        <v>2</v>
      </c>
      <c r="F13">
        <v>0.37145899999999998</v>
      </c>
      <c r="G13">
        <v>0.820079</v>
      </c>
      <c r="H13">
        <v>2</v>
      </c>
      <c r="I13">
        <v>5.25</v>
      </c>
      <c r="J13">
        <f>I13*2.54/100</f>
        <v>0.13335</v>
      </c>
      <c r="K13">
        <f>(F13-J13)/F13</f>
        <v>0.64101017878150746</v>
      </c>
      <c r="L13">
        <v>32</v>
      </c>
      <c r="M13">
        <f t="shared" si="0"/>
        <v>0.81279999999999997</v>
      </c>
      <c r="N13">
        <f>(G13-M13)/G13</f>
        <v>8.8759741439544664E-3</v>
      </c>
    </row>
    <row r="17" spans="1:9" ht="23.25">
      <c r="A17" s="4" t="s">
        <v>21</v>
      </c>
      <c r="B17" s="4"/>
      <c r="C17" s="4"/>
      <c r="D17" s="4"/>
      <c r="E17" s="4"/>
      <c r="F17" s="4"/>
      <c r="G17" s="4"/>
      <c r="H17" s="4"/>
      <c r="I17" s="4"/>
    </row>
    <row r="18" spans="1:9">
      <c r="B18" s="3" t="s">
        <v>22</v>
      </c>
      <c r="C18" s="3" t="s">
        <v>13</v>
      </c>
      <c r="D18" s="6" t="s">
        <v>14</v>
      </c>
      <c r="E18" s="6"/>
      <c r="F18" s="6" t="s">
        <v>15</v>
      </c>
      <c r="G18" s="6"/>
      <c r="H18" s="6"/>
      <c r="I18" s="6"/>
    </row>
    <row r="19" spans="1:9">
      <c r="B19" s="3"/>
      <c r="C19" s="3"/>
      <c r="D19" t="s">
        <v>16</v>
      </c>
      <c r="E19" t="s">
        <v>23</v>
      </c>
      <c r="F19" t="s">
        <v>16</v>
      </c>
      <c r="G19" t="s">
        <v>24</v>
      </c>
      <c r="H19" t="s">
        <v>17</v>
      </c>
      <c r="I19" t="s">
        <v>19</v>
      </c>
    </row>
    <row r="20" spans="1:9">
      <c r="A20">
        <v>1</v>
      </c>
      <c r="B20">
        <v>15</v>
      </c>
      <c r="C20">
        <v>2</v>
      </c>
      <c r="D20">
        <v>1</v>
      </c>
      <c r="E20">
        <v>0.42097699999999999</v>
      </c>
      <c r="F20">
        <v>1</v>
      </c>
      <c r="G20" s="2">
        <v>11.5</v>
      </c>
      <c r="H20">
        <f>G20*2.54/100</f>
        <v>0.29210000000000003</v>
      </c>
      <c r="I20">
        <f>ABS(E20-H20)/E20</f>
        <v>0.30613786501400309</v>
      </c>
    </row>
    <row r="21" spans="1:9">
      <c r="A21">
        <v>2</v>
      </c>
      <c r="B21">
        <v>22</v>
      </c>
      <c r="C21">
        <v>2</v>
      </c>
      <c r="D21">
        <v>1</v>
      </c>
      <c r="E21">
        <v>0.351692</v>
      </c>
      <c r="F21">
        <v>1</v>
      </c>
      <c r="G21" s="2">
        <v>7.25</v>
      </c>
      <c r="H21">
        <f>G21*2.54/100</f>
        <v>0.18414999999999998</v>
      </c>
      <c r="I21">
        <f t="shared" ref="I21:I24" si="1">ABS(E21-H21)/E21</f>
        <v>0.47638843078602877</v>
      </c>
    </row>
    <row r="22" spans="1:9">
      <c r="A22">
        <v>3</v>
      </c>
      <c r="B22">
        <v>30</v>
      </c>
      <c r="C22">
        <v>2</v>
      </c>
      <c r="D22">
        <v>1</v>
      </c>
      <c r="E22">
        <v>0.31165599999999999</v>
      </c>
      <c r="F22">
        <v>1</v>
      </c>
      <c r="G22" s="2">
        <v>5</v>
      </c>
      <c r="H22">
        <f>G22*2.54/100</f>
        <v>0.127</v>
      </c>
      <c r="I22">
        <f t="shared" si="1"/>
        <v>0.59249942244012632</v>
      </c>
    </row>
    <row r="23" spans="1:9">
      <c r="A23">
        <v>4</v>
      </c>
      <c r="B23">
        <v>35</v>
      </c>
      <c r="C23">
        <v>2</v>
      </c>
      <c r="D23">
        <v>1</v>
      </c>
      <c r="E23">
        <v>0.29224</v>
      </c>
      <c r="F23">
        <v>1</v>
      </c>
      <c r="G23" s="2">
        <v>5.5</v>
      </c>
      <c r="H23">
        <f>G23*2.54/100</f>
        <v>0.13970000000000002</v>
      </c>
      <c r="I23">
        <f t="shared" si="1"/>
        <v>0.52196824527785379</v>
      </c>
    </row>
    <row r="24" spans="1:9">
      <c r="A24">
        <v>5</v>
      </c>
      <c r="B24">
        <v>33</v>
      </c>
      <c r="C24">
        <v>2</v>
      </c>
      <c r="D24">
        <v>1</v>
      </c>
      <c r="E24">
        <v>0.29991600000000002</v>
      </c>
      <c r="F24">
        <v>1</v>
      </c>
      <c r="G24" s="2">
        <v>5.25</v>
      </c>
      <c r="H24">
        <f>G24*2.54/100</f>
        <v>0.13335</v>
      </c>
      <c r="I24">
        <f t="shared" si="1"/>
        <v>0.55537550514143963</v>
      </c>
    </row>
  </sheetData>
  <mergeCells count="10">
    <mergeCell ref="B5:J5"/>
    <mergeCell ref="F18:I18"/>
    <mergeCell ref="B7:B8"/>
    <mergeCell ref="C7:C8"/>
    <mergeCell ref="B18:B19"/>
    <mergeCell ref="C18:C19"/>
    <mergeCell ref="D18:E18"/>
    <mergeCell ref="A17:I17"/>
    <mergeCell ref="D7:G7"/>
    <mergeCell ref="H7:N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7F45-0EB8-477B-8E53-6D62ED807379}">
  <dimension ref="A1:G9"/>
  <sheetViews>
    <sheetView workbookViewId="0">
      <selection activeCell="G3" sqref="G3"/>
    </sheetView>
  </sheetViews>
  <sheetFormatPr defaultRowHeight="15.75"/>
  <cols>
    <col min="3" max="3" width="11.875" bestFit="1" customWidth="1"/>
    <col min="5" max="6" width="11.875" customWidth="1"/>
    <col min="7" max="7" width="12.875" customWidth="1"/>
  </cols>
  <sheetData>
    <row r="1" spans="1:7">
      <c r="G1" s="1" t="s">
        <v>25</v>
      </c>
    </row>
    <row r="2" spans="1:7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  <row r="3" spans="1:7">
      <c r="A3">
        <v>4.7300000000000004</v>
      </c>
      <c r="B3">
        <v>1.0033020066040133</v>
      </c>
      <c r="C3">
        <f>69*10^9</f>
        <v>69000000000</v>
      </c>
      <c r="D3">
        <v>4.0194111535036719E-11</v>
      </c>
      <c r="E3">
        <v>2700</v>
      </c>
      <c r="F3">
        <v>4.2580560000000001E-5</v>
      </c>
      <c r="G3">
        <f>A3^2/(2*PI()*B3^2)*SQRT(C3*D3/(E3*F3))</f>
        <v>17.373897179904674</v>
      </c>
    </row>
    <row r="4" spans="1:7">
      <c r="A4">
        <v>7.8529999999999998</v>
      </c>
      <c r="B4">
        <v>1.0033020066040133</v>
      </c>
      <c r="C4">
        <f>69*10^9</f>
        <v>69000000000</v>
      </c>
      <c r="D4">
        <v>4.0194111535036719E-11</v>
      </c>
      <c r="E4">
        <v>2700</v>
      </c>
      <c r="F4">
        <v>4.2580560000000001E-5</v>
      </c>
      <c r="G4">
        <f>A4^2/(2*PI()*B4^2)*SQRT(C4*D4/(E4*F4))</f>
        <v>47.890145930609066</v>
      </c>
    </row>
    <row r="5" spans="1:7">
      <c r="A5">
        <v>10.996</v>
      </c>
      <c r="B5">
        <v>1.0033020066040133</v>
      </c>
      <c r="C5">
        <f>69*10^9</f>
        <v>69000000000</v>
      </c>
      <c r="D5">
        <v>4.0194111535036719E-11</v>
      </c>
      <c r="E5">
        <v>2700</v>
      </c>
      <c r="F5">
        <v>4.2580560000000001E-5</v>
      </c>
      <c r="G5">
        <f>A5^2/(2*PI()*B5^2)*SQRT(C5*D5/(E5*F5))</f>
        <v>93.895424097858964</v>
      </c>
    </row>
    <row r="7" spans="1:7">
      <c r="A7">
        <v>1.875</v>
      </c>
      <c r="B7">
        <f>1.00330200660401/2</f>
        <v>0.50165100330200496</v>
      </c>
      <c r="C7">
        <f>69*10^9</f>
        <v>69000000000</v>
      </c>
      <c r="D7">
        <v>4.0194111535036719E-11</v>
      </c>
      <c r="E7">
        <v>2700</v>
      </c>
      <c r="F7">
        <v>4.2580560000000001E-5</v>
      </c>
      <c r="G7">
        <f>A7^2/(2*PI()*B7^2)*SQRT(C7*D7/(E7*F7))</f>
        <v>10.920373715182702</v>
      </c>
    </row>
    <row r="8" spans="1:7">
      <c r="A8">
        <v>4.694</v>
      </c>
      <c r="B8">
        <f t="shared" ref="B8:B9" si="0">1.00330200660401/2</f>
        <v>0.50165100330200496</v>
      </c>
      <c r="C8">
        <f t="shared" ref="C8:C9" si="1">69*10^9</f>
        <v>69000000000</v>
      </c>
      <c r="D8">
        <v>4.0194111535036719E-11</v>
      </c>
      <c r="E8">
        <v>2700</v>
      </c>
      <c r="F8">
        <v>4.2580560000000001E-5</v>
      </c>
      <c r="G8">
        <f t="shared" ref="G8:G9" si="2">A8^2/(2*PI()*B8^2)*SQRT(C8*D8/(E8*F8))</f>
        <v>68.441753436246273</v>
      </c>
    </row>
    <row r="9" spans="1:7">
      <c r="A9">
        <v>7.8550000000000004</v>
      </c>
      <c r="B9">
        <f t="shared" si="0"/>
        <v>0.50165100330200496</v>
      </c>
      <c r="C9">
        <f t="shared" si="1"/>
        <v>69000000000</v>
      </c>
      <c r="D9">
        <v>4.0194111535036719E-11</v>
      </c>
      <c r="E9">
        <v>2700</v>
      </c>
      <c r="F9">
        <v>4.2580560000000001E-5</v>
      </c>
      <c r="G9">
        <f t="shared" si="2"/>
        <v>191.65816934679631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8" ma:contentTypeDescription="Create a new document." ma:contentTypeScope="" ma:versionID="f70d58e8bb7b566b8999b858925f11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1d51f28b925c538c9f3c4539f9f14034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638313-1e11-4999-9038-bfa2141b3777" xsi:nil="true"/>
  </documentManagement>
</p:properties>
</file>

<file path=customXml/itemProps1.xml><?xml version="1.0" encoding="utf-8"?>
<ds:datastoreItem xmlns:ds="http://schemas.openxmlformats.org/officeDocument/2006/customXml" ds:itemID="{14E1B051-9C7E-4141-A8A5-CFADBBBC0DF5}"/>
</file>

<file path=customXml/itemProps2.xml><?xml version="1.0" encoding="utf-8"?>
<ds:datastoreItem xmlns:ds="http://schemas.openxmlformats.org/officeDocument/2006/customXml" ds:itemID="{689AAC3F-FB04-4E19-BABC-28FB2486C28F}"/>
</file>

<file path=customXml/itemProps3.xml><?xml version="1.0" encoding="utf-8"?>
<ds:datastoreItem xmlns:ds="http://schemas.openxmlformats.org/officeDocument/2006/customXml" ds:itemID="{269BEA60-F4D8-4B0E-9171-23D117F7C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wenzelwilliamc@outlook.com</dc:creator>
  <cp:keywords/>
  <dc:description/>
  <cp:lastModifiedBy>Wenzel, William</cp:lastModifiedBy>
  <cp:revision/>
  <dcterms:created xsi:type="dcterms:W3CDTF">2024-02-16T21:37:22Z</dcterms:created>
  <dcterms:modified xsi:type="dcterms:W3CDTF">2024-02-17T00:42:31Z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