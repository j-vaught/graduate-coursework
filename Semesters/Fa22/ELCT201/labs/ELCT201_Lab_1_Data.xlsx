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48" documentId="8_{E661D87E-5FCC-4B4F-9384-54E16563A54E}" xr6:coauthVersionLast="47" xr6:coauthVersionMax="47" xr10:uidLastSave="{25DB1D2E-CF94-4519-B9B4-9D1E83D21B38}"/>
  <bookViews>
    <workbookView minimized="1" xWindow="2616" yWindow="2616" windowWidth="17280" windowHeight="8880" xr2:uid="{C1B592B3-7E8D-4FC0-9C13-B5D935465AE8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H8" i="1" s="1"/>
  <c r="G8" i="1" s="1"/>
  <c r="I9" i="1"/>
  <c r="H9" i="1" s="1"/>
  <c r="G9" i="1" s="1"/>
  <c r="I10" i="1"/>
  <c r="H10" i="1" s="1"/>
  <c r="G10" i="1" s="1"/>
  <c r="I11" i="1"/>
  <c r="I12" i="1"/>
  <c r="I13" i="1"/>
  <c r="I14" i="1"/>
  <c r="H14" i="1" s="1"/>
  <c r="J14" i="1" s="1"/>
  <c r="I15" i="1"/>
  <c r="H15" i="1" s="1"/>
  <c r="J15" i="1" s="1"/>
  <c r="I16" i="1"/>
  <c r="H16" i="1" s="1"/>
  <c r="J16" i="1" s="1"/>
  <c r="I17" i="1"/>
  <c r="I18" i="1"/>
  <c r="I6" i="1"/>
  <c r="H6" i="1" s="1"/>
  <c r="A7" i="1"/>
  <c r="A8" i="1"/>
  <c r="A9" i="1"/>
  <c r="A10" i="1"/>
  <c r="A11" i="1"/>
  <c r="A12" i="1"/>
  <c r="A13" i="1"/>
  <c r="A14" i="1"/>
  <c r="A15" i="1"/>
  <c r="A16" i="1"/>
  <c r="A17" i="1"/>
  <c r="A18" i="1"/>
  <c r="A6" i="1"/>
  <c r="G7" i="1"/>
  <c r="H7" i="1"/>
  <c r="H11" i="1"/>
  <c r="J11" i="1" s="1"/>
  <c r="H12" i="1"/>
  <c r="J12" i="1" s="1"/>
  <c r="H13" i="1"/>
  <c r="J13" i="1" s="1"/>
  <c r="H17" i="1"/>
  <c r="J17" i="1" s="1"/>
  <c r="H18" i="1"/>
  <c r="J18" i="1" s="1"/>
  <c r="G13" i="1" l="1"/>
  <c r="G12" i="1"/>
  <c r="G11" i="1"/>
  <c r="G6" i="1"/>
  <c r="J9" i="1"/>
  <c r="J8" i="1"/>
  <c r="J10" i="1"/>
  <c r="J7" i="1"/>
  <c r="J6" i="1"/>
</calcChain>
</file>

<file path=xl/sharedStrings.xml><?xml version="1.0" encoding="utf-8"?>
<sst xmlns="http://schemas.openxmlformats.org/spreadsheetml/2006/main" count="13" uniqueCount="13">
  <si>
    <t>Frequency (Hz)</t>
  </si>
  <si>
    <t>Phase of Vo (deg)</t>
  </si>
  <si>
    <t>Vin 
(Vrms)</t>
  </si>
  <si>
    <t>Vout 
(Vrms)</t>
  </si>
  <si>
    <t>Vin 
(Vp)</t>
  </si>
  <si>
    <t>Vout 
(Vp)</t>
  </si>
  <si>
    <t>Time shift 
of Vo</t>
  </si>
  <si>
    <t>Project 1</t>
  </si>
  <si>
    <t>ELCT 201 Fall 2022</t>
  </si>
  <si>
    <t>Frequency response measurements</t>
  </si>
  <si>
    <t>phase shift rad</t>
  </si>
  <si>
    <t>True Time shift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</si>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</sst>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1" fontId="1" fillId="0" borderId="1" xfId="0" applyNumberFormat="1" applyFon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Voltage(dB)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Sheet1!$B$6:$B$18</c:f>
              <c:numCache>
                <c:formatCode>General</c:formatCode>
                <c:ptCount val="13"/>
                <c:pt idx="0">
                  <c:v>10</c:v>
                </c:pt>
                <c:pt idx="1">
                  <c:v>20</c:v>
                </c:pt>
                <c:pt idx="2">
                  <c:v>60</c:v>
                </c:pt>
                <c:pt idx="3">
                  <c:v>100</c:v>
                </c:pt>
                <c:pt idx="4">
                  <c:v>200</c:v>
                </c:pt>
                <c:pt idx="5">
                  <c:v>600</c:v>
                </c:pt>
                <c:pt idx="6">
                  <c:v>1000</c:v>
                </c:pt>
                <c:pt idx="7">
                  <c:v>2000</c:v>
                </c:pt>
                <c:pt idx="8">
                  <c:v>6000</c:v>
                </c:pt>
                <c:pt idx="9">
                  <c:v>10000</c:v>
                </c:pt>
                <c:pt idx="10">
                  <c:v>20000</c:v>
                </c:pt>
                <c:pt idx="11">
                  <c:v>60000</c:v>
                </c:pt>
                <c:pt idx="12">
                  <c:v>100000</c:v>
                </c:pt>
              </c:numCache>
            </c:numRef>
          </c:xVal>
          <c:yVal>
            <c:numRef>
              <c:f>Sheet1!$A$6:$A$18</c:f>
              <c:numCache>
                <c:formatCode>General</c:formatCode>
                <c:ptCount val="13"/>
                <c:pt idx="0">
                  <c:v>2.7217219476819494</c:v>
                </c:pt>
                <c:pt idx="1">
                  <c:v>2.7534107447351017</c:v>
                </c:pt>
                <c:pt idx="2">
                  <c:v>2.8164436021862116</c:v>
                </c:pt>
                <c:pt idx="3">
                  <c:v>2.8101608607635913</c:v>
                </c:pt>
                <c:pt idx="4">
                  <c:v>2.7470822274146585</c:v>
                </c:pt>
                <c:pt idx="5">
                  <c:v>2.292219684643463</c:v>
                </c:pt>
                <c:pt idx="6">
                  <c:v>1.5328088734068379</c:v>
                </c:pt>
                <c:pt idx="7">
                  <c:v>-0.91514981121350236</c:v>
                </c:pt>
                <c:pt idx="8">
                  <c:v>-8.3133755126493831</c:v>
                </c:pt>
                <c:pt idx="9">
                  <c:v>-12.468460858869761</c:v>
                </c:pt>
                <c:pt idx="10">
                  <c:v>-18.272803386505036</c:v>
                </c:pt>
                <c:pt idx="11">
                  <c:v>-29.603440124485626</c:v>
                </c:pt>
                <c:pt idx="12">
                  <c:v>-35.391021572434525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2DBD-45EB-97EF-3BA98AD1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98832"/>
        <c:axId val="206299248"/>
      </c:scatterChart>
      <c:scatterChart>
        <c:scatterStyle val="smoothMarker"/>
        <c:varyColors val="0"/>
        <c:ser>
          <c:idx val="1"/>
          <c:order val="1"/>
          <c:tx>
            <c:v>Phase Shift(deg)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Sheet1!$B$6:$B$18</c:f>
              <c:numCache>
                <c:formatCode>General</c:formatCode>
                <c:ptCount val="13"/>
                <c:pt idx="0">
                  <c:v>10</c:v>
                </c:pt>
                <c:pt idx="1">
                  <c:v>20</c:v>
                </c:pt>
                <c:pt idx="2">
                  <c:v>60</c:v>
                </c:pt>
                <c:pt idx="3">
                  <c:v>100</c:v>
                </c:pt>
                <c:pt idx="4">
                  <c:v>200</c:v>
                </c:pt>
                <c:pt idx="5">
                  <c:v>600</c:v>
                </c:pt>
                <c:pt idx="6">
                  <c:v>1000</c:v>
                </c:pt>
                <c:pt idx="7">
                  <c:v>2000</c:v>
                </c:pt>
                <c:pt idx="8">
                  <c:v>6000</c:v>
                </c:pt>
                <c:pt idx="9">
                  <c:v>10000</c:v>
                </c:pt>
                <c:pt idx="10">
                  <c:v>20000</c:v>
                </c:pt>
                <c:pt idx="11">
                  <c:v>60000</c:v>
                </c:pt>
                <c:pt idx="12">
                  <c:v>100000</c:v>
                </c:pt>
              </c:numCache>
            </c:numRef>
          </c:xVal>
          <c:yVal>
            <c:numRef>
              <c:f>Sheet1!$H$6:$H$18</c:f>
              <c:numCache>
                <c:formatCode>0.0</c:formatCode>
                <c:ptCount val="13"/>
                <c:pt idx="0">
                  <c:v>-0.35999526270209958</c:v>
                </c:pt>
                <c:pt idx="1">
                  <c:v>-0.71996210430958363</c:v>
                </c:pt>
                <c:pt idx="2">
                  <c:v>-2.158977591116821</c:v>
                </c:pt>
                <c:pt idx="3">
                  <c:v>-3.5952737798681755</c:v>
                </c:pt>
                <c:pt idx="4">
                  <c:v>-7.1624558067258226</c:v>
                </c:pt>
                <c:pt idx="5">
                  <c:v>-20.655997382339656</c:v>
                </c:pt>
                <c:pt idx="6">
                  <c:v>-32.141907635342051</c:v>
                </c:pt>
                <c:pt idx="7">
                  <c:v>-51.488112746033416</c:v>
                </c:pt>
                <c:pt idx="8">
                  <c:v>-75.143948719088201</c:v>
                </c:pt>
                <c:pt idx="9">
                  <c:v>-80.956938920962315</c:v>
                </c:pt>
                <c:pt idx="10">
                  <c:v>-85.450134690878912</c:v>
                </c:pt>
                <c:pt idx="11">
                  <c:v>-88.480538552671376</c:v>
                </c:pt>
                <c:pt idx="12">
                  <c:v>-89.088186330386165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DBD-45EB-97EF-3BA98AD1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273248"/>
        <c:axId val="639273664"/>
      </c:scatterChart>
      <c:valAx>
        <c:axId val="2062988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99248"/>
        <c:crosses val="autoZero"/>
        <c:crossBetween val="midCat"/>
      </c:valAx>
      <c:valAx>
        <c:axId val="20629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98832"/>
        <c:crosses val="autoZero"/>
        <c:crossBetween val="midCat"/>
      </c:valAx>
      <c:valAx>
        <c:axId val="63927366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273248"/>
        <c:crosses val="max"/>
        <c:crossBetween val="midCat"/>
      </c:valAx>
      <c:valAx>
        <c:axId val="639273248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9273664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281940</xdr:colOff>
      <xdr:row>4</xdr:row>
      <xdr:rowOff>38100</xdr:rowOff>
    </xdr:from>
    <xdr:to>
      <xdr:col>20</xdr:col>
      <xdr:colOff>76200</xdr:colOff>
      <xdr:row>17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04A288-4B15-170D-4FBE-6536CF36E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3F7C-B0B7-40FF-B3E2-9A9EE5E7EED0}">
  <dimension ref="A1:J18"/>
  <sheetViews>
    <sheetView tabSelected="1" workbookViewId="0">
      <selection activeCell="B5" sqref="B5:H18"/>
    </sheetView>
  </sheetViews>
  <sheetFormatPr defaultRowHeight="14.4" x14ac:dyDescent="0.3"/>
  <cols>
    <col min="7" max="7" width="9.21875" customWidth="1"/>
  </cols>
  <sheetData>
    <row r="1" spans="1:10" x14ac:dyDescent="0.3">
      <c r="A1" t="s">
        <v>8</v>
      </c>
    </row>
    <row r="2" spans="1:10" x14ac:dyDescent="0.3">
      <c r="A2" t="s">
        <v>7</v>
      </c>
    </row>
    <row r="3" spans="1:10" x14ac:dyDescent="0.3">
      <c r="A3" t="s">
        <v>9</v>
      </c>
    </row>
    <row r="5" spans="1:10" ht="33" customHeight="1" x14ac:dyDescent="0.3">
      <c r="A5" t="s">
        <v>12</v>
      </c>
      <c r="B5" s="2" t="s">
        <v>0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1</v>
      </c>
      <c r="I5" s="4" t="s">
        <v>10</v>
      </c>
      <c r="J5" s="3" t="s">
        <v>11</v>
      </c>
    </row>
    <row r="6" spans="1:10" x14ac:dyDescent="0.3">
      <c r="A6">
        <f>20*LOG(D6)</f>
        <v>2.7217219476819494</v>
      </c>
      <c r="B6" s="1">
        <v>10</v>
      </c>
      <c r="C6" s="1">
        <v>1.38</v>
      </c>
      <c r="D6" s="1">
        <v>1.3680000000000001</v>
      </c>
      <c r="E6" s="1">
        <v>2</v>
      </c>
      <c r="F6" s="1">
        <v>2</v>
      </c>
      <c r="G6" s="5">
        <f>I6/B6/2/PI()*1000000</f>
        <v>-99.998684083916558</v>
      </c>
      <c r="H6" s="6">
        <f t="shared" ref="H6:H18" si="0">DEGREES(I6)</f>
        <v>-0.35999526270209958</v>
      </c>
      <c r="I6">
        <f>-ATAN(2*PI()*B6*1000*0.1*10^-6)</f>
        <v>-6.2831026257335765E-3</v>
      </c>
      <c r="J6" s="1">
        <f>H6/B6/360*1000000</f>
        <v>-99.998684083916544</v>
      </c>
    </row>
    <row r="7" spans="1:10" x14ac:dyDescent="0.3">
      <c r="A7">
        <f t="shared" ref="A7:A18" si="1">20*LOG(D7)</f>
        <v>2.7534107447351017</v>
      </c>
      <c r="B7" s="1">
        <v>20</v>
      </c>
      <c r="C7" s="1">
        <v>1.38</v>
      </c>
      <c r="D7" s="1">
        <v>1.373</v>
      </c>
      <c r="E7" s="1">
        <v>2</v>
      </c>
      <c r="F7" s="1">
        <v>2</v>
      </c>
      <c r="G7" s="5">
        <f t="shared" ref="G7:G13" si="2">H7/B7/360*1000000</f>
        <v>-99.994736709664394</v>
      </c>
      <c r="H7" s="6">
        <f t="shared" si="0"/>
        <v>-0.71996210430958363</v>
      </c>
      <c r="I7">
        <f t="shared" ref="I7:I18" si="3">-ATAN(2*PI()*B7*1000*0.1*10^-6)</f>
        <v>-1.256570920978909E-2</v>
      </c>
      <c r="J7" s="1">
        <f t="shared" ref="J7:J18" si="4">H7/B7/360*1000000</f>
        <v>-99.994736709664394</v>
      </c>
    </row>
    <row r="8" spans="1:10" x14ac:dyDescent="0.3">
      <c r="A8">
        <f t="shared" si="1"/>
        <v>2.8164436021862116</v>
      </c>
      <c r="B8" s="1">
        <v>60</v>
      </c>
      <c r="C8" s="1">
        <v>1.38</v>
      </c>
      <c r="D8" s="1">
        <v>1.383</v>
      </c>
      <c r="E8" s="1">
        <v>2</v>
      </c>
      <c r="F8" s="1">
        <v>2</v>
      </c>
      <c r="G8" s="5">
        <f t="shared" si="2"/>
        <v>-99.952666255408374</v>
      </c>
      <c r="H8" s="6">
        <f t="shared" si="0"/>
        <v>-2.158977591116821</v>
      </c>
      <c r="I8">
        <f t="shared" si="3"/>
        <v>-3.7681267441764407E-2</v>
      </c>
      <c r="J8" s="1">
        <f t="shared" si="4"/>
        <v>-99.952666255408374</v>
      </c>
    </row>
    <row r="9" spans="1:10" x14ac:dyDescent="0.3">
      <c r="A9">
        <f t="shared" si="1"/>
        <v>2.8101608607635913</v>
      </c>
      <c r="B9" s="1">
        <v>100</v>
      </c>
      <c r="C9" s="1">
        <v>1.38</v>
      </c>
      <c r="D9" s="1">
        <v>1.3819999999999999</v>
      </c>
      <c r="E9" s="1">
        <v>2</v>
      </c>
      <c r="F9" s="1">
        <v>2</v>
      </c>
      <c r="G9" s="5">
        <f t="shared" si="2"/>
        <v>-99.86871610744933</v>
      </c>
      <c r="H9" s="6">
        <f t="shared" si="0"/>
        <v>-3.5952737798681755</v>
      </c>
      <c r="I9">
        <f t="shared" si="3"/>
        <v>-6.2749364969321486E-2</v>
      </c>
      <c r="J9" s="1">
        <f t="shared" si="4"/>
        <v>-99.86871610744933</v>
      </c>
    </row>
    <row r="10" spans="1:10" x14ac:dyDescent="0.3">
      <c r="A10">
        <f t="shared" si="1"/>
        <v>2.7470822274146585</v>
      </c>
      <c r="B10" s="1">
        <v>200</v>
      </c>
      <c r="C10" s="1">
        <v>1.38</v>
      </c>
      <c r="D10" s="1">
        <v>1.3720000000000001</v>
      </c>
      <c r="E10" s="1">
        <v>2</v>
      </c>
      <c r="F10" s="1">
        <v>2</v>
      </c>
      <c r="G10" s="5">
        <f t="shared" si="2"/>
        <v>-99.47855287119198</v>
      </c>
      <c r="H10" s="6">
        <f t="shared" si="0"/>
        <v>-7.1624558067258226</v>
      </c>
      <c r="I10">
        <f t="shared" si="3"/>
        <v>-0.12500843635595221</v>
      </c>
      <c r="J10" s="1">
        <f t="shared" si="4"/>
        <v>-99.47855287119198</v>
      </c>
    </row>
    <row r="11" spans="1:10" x14ac:dyDescent="0.3">
      <c r="A11">
        <f t="shared" si="1"/>
        <v>2.292219684643463</v>
      </c>
      <c r="B11" s="1">
        <v>600</v>
      </c>
      <c r="C11" s="1">
        <v>1.38</v>
      </c>
      <c r="D11" s="1">
        <v>1.302</v>
      </c>
      <c r="E11" s="1">
        <v>2</v>
      </c>
      <c r="F11" s="1">
        <v>1.82</v>
      </c>
      <c r="G11" s="5">
        <f t="shared" si="2"/>
        <v>-95.62961751083175</v>
      </c>
      <c r="H11" s="6">
        <f t="shared" si="0"/>
        <v>-20.655997382339656</v>
      </c>
      <c r="I11">
        <f t="shared" si="3"/>
        <v>-0.36051516460515703</v>
      </c>
      <c r="J11" s="1">
        <f t="shared" si="4"/>
        <v>-95.62961751083175</v>
      </c>
    </row>
    <row r="12" spans="1:10" x14ac:dyDescent="0.3">
      <c r="A12">
        <f t="shared" si="1"/>
        <v>1.5328088734068379</v>
      </c>
      <c r="B12" s="1">
        <v>1000</v>
      </c>
      <c r="C12" s="1">
        <v>1.38</v>
      </c>
      <c r="D12" s="1">
        <v>1.1930000000000001</v>
      </c>
      <c r="E12" s="1">
        <v>2</v>
      </c>
      <c r="F12" s="1">
        <v>1.64</v>
      </c>
      <c r="G12" s="5">
        <f t="shared" si="2"/>
        <v>-89.283076764839038</v>
      </c>
      <c r="H12" s="6">
        <f t="shared" si="0"/>
        <v>-32.141907635342051</v>
      </c>
      <c r="I12">
        <f t="shared" si="3"/>
        <v>-0.5609821161086237</v>
      </c>
      <c r="J12" s="1">
        <f t="shared" si="4"/>
        <v>-89.283076764839038</v>
      </c>
    </row>
    <row r="13" spans="1:10" x14ac:dyDescent="0.3">
      <c r="A13">
        <f t="shared" si="1"/>
        <v>-0.91514981121350236</v>
      </c>
      <c r="B13" s="1">
        <v>2000</v>
      </c>
      <c r="C13" s="1">
        <v>1.38</v>
      </c>
      <c r="D13" s="1">
        <v>0.9</v>
      </c>
      <c r="E13" s="1">
        <v>2</v>
      </c>
      <c r="F13" s="1">
        <v>1.2</v>
      </c>
      <c r="G13" s="5">
        <f t="shared" si="2"/>
        <v>-71.511267702824199</v>
      </c>
      <c r="H13" s="6">
        <f t="shared" si="0"/>
        <v>-51.488112746033416</v>
      </c>
      <c r="I13">
        <f t="shared" si="3"/>
        <v>-0.8986370930563421</v>
      </c>
      <c r="J13" s="1">
        <f t="shared" si="4"/>
        <v>-71.511267702824199</v>
      </c>
    </row>
    <row r="14" spans="1:10" x14ac:dyDescent="0.3">
      <c r="A14">
        <f t="shared" si="1"/>
        <v>-8.3133755126493831</v>
      </c>
      <c r="B14" s="1">
        <v>6000</v>
      </c>
      <c r="C14" s="1">
        <v>1.38</v>
      </c>
      <c r="D14" s="1">
        <v>0.38400000000000001</v>
      </c>
      <c r="E14" s="1">
        <v>2</v>
      </c>
      <c r="F14" s="1">
        <v>0.46</v>
      </c>
      <c r="G14" s="1">
        <v>-33</v>
      </c>
      <c r="H14" s="6">
        <f t="shared" si="0"/>
        <v>-75.143948719088201</v>
      </c>
      <c r="I14">
        <f t="shared" si="3"/>
        <v>-1.3115093180978645</v>
      </c>
      <c r="J14" s="1">
        <f t="shared" si="4"/>
        <v>-34.788865147726021</v>
      </c>
    </row>
    <row r="15" spans="1:10" x14ac:dyDescent="0.3">
      <c r="A15">
        <f t="shared" si="1"/>
        <v>-12.468460858869761</v>
      </c>
      <c r="B15" s="1">
        <v>10000</v>
      </c>
      <c r="C15" s="1">
        <v>1.38</v>
      </c>
      <c r="D15" s="1">
        <v>0.23799999999999999</v>
      </c>
      <c r="E15" s="1">
        <v>2</v>
      </c>
      <c r="F15" s="1">
        <v>0.26</v>
      </c>
      <c r="G15" s="1">
        <v>-18</v>
      </c>
      <c r="H15" s="6">
        <f t="shared" si="0"/>
        <v>-80.956938920962315</v>
      </c>
      <c r="I15">
        <f t="shared" si="3"/>
        <v>-1.4129651365067377</v>
      </c>
      <c r="J15" s="1">
        <f t="shared" si="4"/>
        <v>-22.488038589156197</v>
      </c>
    </row>
    <row r="16" spans="1:10" x14ac:dyDescent="0.3">
      <c r="A16">
        <f t="shared" si="1"/>
        <v>-18.272803386505036</v>
      </c>
      <c r="B16" s="1">
        <v>20000</v>
      </c>
      <c r="C16" s="1">
        <v>1.38</v>
      </c>
      <c r="D16" s="1">
        <v>0.122</v>
      </c>
      <c r="E16" s="1">
        <v>2</v>
      </c>
      <c r="F16" s="1">
        <v>0.1</v>
      </c>
      <c r="G16" s="1">
        <v>-16</v>
      </c>
      <c r="H16" s="6">
        <f t="shared" si="0"/>
        <v>-85.450134690878912</v>
      </c>
      <c r="I16">
        <f t="shared" si="3"/>
        <v>-1.4913861966284641</v>
      </c>
      <c r="J16" s="1">
        <f t="shared" si="4"/>
        <v>-11.86807426262207</v>
      </c>
    </row>
    <row r="17" spans="1:10" x14ac:dyDescent="0.3">
      <c r="A17">
        <f t="shared" si="1"/>
        <v>-29.603440124485626</v>
      </c>
      <c r="B17" s="1">
        <v>60000</v>
      </c>
      <c r="C17" s="1">
        <v>1.38</v>
      </c>
      <c r="D17" s="1">
        <v>3.3099999999999997E-2</v>
      </c>
      <c r="E17" s="1">
        <v>2</v>
      </c>
      <c r="F17" s="1">
        <v>-2.4E-2</v>
      </c>
      <c r="G17" s="1">
        <v>-5</v>
      </c>
      <c r="H17" s="6">
        <f t="shared" si="0"/>
        <v>-88.480538552671376</v>
      </c>
      <c r="I17">
        <f t="shared" si="3"/>
        <v>-1.5442767216818938</v>
      </c>
      <c r="J17" s="1">
        <f t="shared" si="4"/>
        <v>-4.0963212292903419</v>
      </c>
    </row>
    <row r="18" spans="1:10" x14ac:dyDescent="0.3">
      <c r="A18">
        <f t="shared" si="1"/>
        <v>-35.391021572434525</v>
      </c>
      <c r="B18" s="1">
        <v>100000</v>
      </c>
      <c r="C18" s="1">
        <v>1.38</v>
      </c>
      <c r="D18" s="1">
        <v>1.7000000000000001E-2</v>
      </c>
      <c r="E18" s="1">
        <v>2</v>
      </c>
      <c r="F18" s="1">
        <v>-0.04</v>
      </c>
      <c r="G18" s="1">
        <v>-2.5</v>
      </c>
      <c r="H18" s="6">
        <f t="shared" si="0"/>
        <v>-89.088186330386165</v>
      </c>
      <c r="I18">
        <f t="shared" si="3"/>
        <v>-1.5548821760954434</v>
      </c>
      <c r="J18" s="1">
        <f t="shared" si="4"/>
        <v>-2.4746718425107264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3" ma:contentTypeDescription="Create a new document." ma:contentTypeScope="" ma:versionID="f557099976f4f16fa9627675cbeb3518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638d26fb7ab688331b9e3f60221f519a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8A827C-5B56-4444-9383-4C9F48B133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38313-1e11-4999-9038-bfa2141b3777"/>
    <ds:schemaRef ds:uri="593646a3-f4b2-4797-891f-a58c41aec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A71BD3-5A56-45F7-96F5-5BDC39B3C0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D74E8D-0343-48B7-ACA0-87724DFE889F}">
  <ds:schemaRefs>
    <ds:schemaRef ds:uri="http://schemas.microsoft.com/office/2006/metadata/properties"/>
    <ds:schemaRef ds:uri="593646a3-f4b2-4797-891f-a58c41aec49e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27638313-1e11-4999-9038-bfa2141b3777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DOUGAL, ROGER</dc:creator>
  <cp:lastModifiedBy>Vaught, Jacob</cp:lastModifiedBy>
  <dcterms:created xsi:type="dcterms:W3CDTF">2022-08-25T18:00:39Z</dcterms:created>
  <dcterms:modified xsi:type="dcterms:W3CDTF">2022-09-14T17:04:02Z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