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tudentmidlandstech-my.sharepoint.com/personal/jacobvaught_student_midlandstech_edu/Documents/"/>
    </mc:Choice>
  </mc:AlternateContent>
  <xr:revisionPtr revIDLastSave="42" documentId="8_{FC151B69-2A58-4278-99A6-81D3F56B0DA2}" xr6:coauthVersionLast="47" xr6:coauthVersionMax="47" xr10:uidLastSave="{A6B9A7F4-3C2A-4085-877C-72B590A42226}"/>
  <bookViews>
    <workbookView minimized="1" xWindow="1905" yWindow="1905" windowWidth="7500" windowHeight="6000" xr2:uid="{91C0419B-2016-45C5-A3CC-FCCB1F0162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9" i="1" l="1"/>
  <c r="Q10" i="1"/>
  <c r="Q9" i="1"/>
  <c r="I14" i="1"/>
  <c r="H14" i="1"/>
  <c r="G14" i="1"/>
  <c r="L14" i="1" s="1"/>
  <c r="I13" i="1"/>
  <c r="H13" i="1"/>
  <c r="G13" i="1"/>
  <c r="I12" i="1"/>
  <c r="H12" i="1"/>
  <c r="G12" i="1"/>
  <c r="L12" i="1" s="1"/>
  <c r="N27" i="1"/>
  <c r="I11" i="1"/>
  <c r="H11" i="1"/>
  <c r="G11" i="1"/>
  <c r="L11" i="1" s="1"/>
  <c r="I10" i="1"/>
  <c r="H10" i="1"/>
  <c r="G10" i="1"/>
  <c r="K10" i="1" s="1"/>
  <c r="N10" i="1" s="1"/>
  <c r="N25" i="1"/>
  <c r="I9" i="1"/>
  <c r="H9" i="1"/>
  <c r="G9" i="1"/>
  <c r="K9" i="1" s="1"/>
  <c r="O9" i="1" s="1"/>
  <c r="I8" i="1"/>
  <c r="H8" i="1"/>
  <c r="G8" i="1"/>
  <c r="K8" i="1" s="1"/>
  <c r="N23" i="1"/>
  <c r="I7" i="1"/>
  <c r="H7" i="1"/>
  <c r="G7" i="1"/>
  <c r="K7" i="1" s="1"/>
  <c r="M22" i="1"/>
  <c r="N22" i="1" s="1"/>
  <c r="I6" i="1"/>
  <c r="H6" i="1"/>
  <c r="G6" i="1"/>
  <c r="L6" i="1" s="1"/>
  <c r="I5" i="1"/>
  <c r="H5" i="1"/>
  <c r="G5" i="1"/>
  <c r="K5" i="1" s="1"/>
  <c r="N20" i="1"/>
  <c r="I4" i="1"/>
  <c r="H4" i="1"/>
  <c r="G4" i="1"/>
  <c r="L21" i="1" s="1"/>
  <c r="N19" i="1"/>
  <c r="I3" i="1"/>
  <c r="H3" i="1"/>
  <c r="G3" i="1"/>
  <c r="K3" i="1" s="1"/>
  <c r="N3" i="1" s="1"/>
  <c r="H18" i="1" l="1"/>
  <c r="P16" i="1"/>
  <c r="P17" i="1" s="1"/>
  <c r="L3" i="1"/>
  <c r="P18" i="1"/>
  <c r="O5" i="1"/>
  <c r="N5" i="1"/>
  <c r="L10" i="1"/>
  <c r="L9" i="1"/>
  <c r="L7" i="1"/>
  <c r="K14" i="1"/>
  <c r="O14" i="1" s="1"/>
  <c r="L5" i="1"/>
  <c r="K12" i="1"/>
  <c r="O7" i="1"/>
  <c r="N7" i="1"/>
  <c r="N8" i="1"/>
  <c r="O8" i="1"/>
  <c r="K6" i="1"/>
  <c r="N6" i="1" s="1"/>
  <c r="K4" i="1"/>
  <c r="N4" i="1" s="1"/>
  <c r="L8" i="1"/>
  <c r="K11" i="1"/>
  <c r="N9" i="1"/>
  <c r="K13" i="1"/>
  <c r="L13" i="1"/>
  <c r="L4" i="1"/>
  <c r="M26" i="1"/>
  <c r="N26" i="1" s="1"/>
  <c r="P19" i="1" l="1"/>
  <c r="N14" i="1"/>
  <c r="M24" i="1"/>
  <c r="N24" i="1" s="1"/>
  <c r="O12" i="1"/>
  <c r="N12" i="1"/>
  <c r="O4" i="1"/>
  <c r="O11" i="1"/>
  <c r="N11" i="1"/>
  <c r="M21" i="1" l="1"/>
  <c r="N21" i="1" s="1"/>
</calcChain>
</file>

<file path=xl/sharedStrings.xml><?xml version="1.0" encoding="utf-8"?>
<sst xmlns="http://schemas.openxmlformats.org/spreadsheetml/2006/main" count="82" uniqueCount="63">
  <si>
    <t>i</t>
  </si>
  <si>
    <t>j</t>
  </si>
  <si>
    <t>ACT</t>
  </si>
  <si>
    <t>a</t>
  </si>
  <si>
    <t>m</t>
  </si>
  <si>
    <t>b</t>
  </si>
  <si>
    <t>μ</t>
  </si>
  <si>
    <t>σ</t>
  </si>
  <si>
    <r>
      <t>σ</t>
    </r>
    <r>
      <rPr>
        <vertAlign val="superscript"/>
        <sz val="11"/>
        <color theme="1"/>
        <rFont val="Calibri"/>
        <family val="2"/>
        <scheme val="minor"/>
      </rPr>
      <t>2</t>
    </r>
  </si>
  <si>
    <t>NODE</t>
  </si>
  <si>
    <t>TE</t>
  </si>
  <si>
    <t>TL</t>
  </si>
  <si>
    <t>ES</t>
  </si>
  <si>
    <t>A</t>
  </si>
  <si>
    <t>B</t>
  </si>
  <si>
    <t>C</t>
  </si>
  <si>
    <t>E</t>
  </si>
  <si>
    <t>d1</t>
  </si>
  <si>
    <t>F</t>
  </si>
  <si>
    <t>G</t>
  </si>
  <si>
    <t>L</t>
  </si>
  <si>
    <t>d2</t>
  </si>
  <si>
    <t>M</t>
  </si>
  <si>
    <t>N</t>
  </si>
  <si>
    <t>P</t>
  </si>
  <si>
    <t>EF</t>
  </si>
  <si>
    <t>LS</t>
  </si>
  <si>
    <t>LF</t>
  </si>
  <si>
    <t>TF</t>
  </si>
  <si>
    <t>FF</t>
  </si>
  <si>
    <t>var</t>
  </si>
  <si>
    <t>std dev</t>
  </si>
  <si>
    <t>mean</t>
  </si>
  <si>
    <t>ESD</t>
  </si>
  <si>
    <t>EFD</t>
  </si>
  <si>
    <t>LSD</t>
  </si>
  <si>
    <t>LFD</t>
  </si>
  <si>
    <t>A-E-L-N</t>
  </si>
  <si>
    <t>Path(t)</t>
  </si>
  <si>
    <t>Activities</t>
  </si>
  <si>
    <t>Mean</t>
  </si>
  <si>
    <t>Variance</t>
  </si>
  <si>
    <r>
      <t>z</t>
    </r>
    <r>
      <rPr>
        <b/>
        <u/>
        <vertAlign val="subscript"/>
        <sz val="11"/>
        <color rgb="FF000000"/>
        <rFont val="Calibri"/>
        <family val="2"/>
        <scheme val="minor"/>
      </rPr>
      <t>1</t>
    </r>
    <r>
      <rPr>
        <b/>
        <u/>
        <sz val="11"/>
        <color rgb="FF000000"/>
        <rFont val="Calibri"/>
        <family val="2"/>
        <scheme val="minor"/>
      </rPr>
      <t>=(TE-μ)/σ</t>
    </r>
  </si>
  <si>
    <t>STD DEV</t>
  </si>
  <si>
    <r>
      <t>P(TE</t>
    </r>
    <r>
      <rPr>
        <b/>
        <u/>
        <vertAlign val="subscript"/>
        <sz val="11"/>
        <color rgb="FF000000"/>
        <rFont val="Calibri"/>
        <family val="2"/>
        <scheme val="minor"/>
      </rPr>
      <t xml:space="preserve">45 </t>
    </r>
    <r>
      <rPr>
        <b/>
        <u/>
        <sz val="11"/>
        <color rgb="FF000000"/>
        <rFont val="Calibri"/>
        <family val="2"/>
        <scheme val="minor"/>
      </rPr>
      <t>≤ 25)</t>
    </r>
  </si>
  <si>
    <t>X</t>
  </si>
  <si>
    <t>A, E, L, N</t>
  </si>
  <si>
    <t>P=0.18375</t>
  </si>
  <si>
    <t>Y</t>
  </si>
  <si>
    <t>B,F,M,P</t>
  </si>
  <si>
    <r>
      <t>P(TE</t>
    </r>
    <r>
      <rPr>
        <b/>
        <u/>
        <vertAlign val="subscript"/>
        <sz val="11"/>
        <color rgb="FF000000"/>
        <rFont val="Calibri"/>
        <family val="2"/>
        <scheme val="minor"/>
      </rPr>
      <t xml:space="preserve">45 </t>
    </r>
    <r>
      <rPr>
        <b/>
        <u/>
        <sz val="11"/>
        <color rgb="FF000000"/>
        <rFont val="Calibri"/>
        <family val="2"/>
        <scheme val="minor"/>
      </rPr>
      <t xml:space="preserve"> ≥ 27)</t>
    </r>
  </si>
  <si>
    <t>P=0.46735</t>
  </si>
  <si>
    <r>
      <t>P(TE</t>
    </r>
    <r>
      <rPr>
        <b/>
        <u/>
        <vertAlign val="subscript"/>
        <sz val="11"/>
        <color rgb="FF000000"/>
        <rFont val="Calibri"/>
        <family val="2"/>
        <scheme val="minor"/>
      </rPr>
      <t xml:space="preserve">35 </t>
    </r>
    <r>
      <rPr>
        <b/>
        <u/>
        <sz val="11"/>
        <color rgb="FF000000"/>
        <rFont val="Calibri"/>
        <family val="2"/>
        <scheme val="minor"/>
      </rPr>
      <t>≤ 20)</t>
    </r>
  </si>
  <si>
    <t>A, E, L</t>
  </si>
  <si>
    <t>P=0.24105</t>
  </si>
  <si>
    <t>A, C, G</t>
  </si>
  <si>
    <t>P=0.97397</t>
  </si>
  <si>
    <t>Z</t>
  </si>
  <si>
    <t>A, d1, L</t>
  </si>
  <si>
    <t>P=0.99996</t>
  </si>
  <si>
    <t>W</t>
  </si>
  <si>
    <t>B, F, d2</t>
  </si>
  <si>
    <t>P=1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</si>
</sst>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b/>
      <u/>
      <sz val="11"/>
      <color rgb="FF000000"/>
      <name val="Calibri"/>
      <family val="2"/>
      <scheme val="minor"/>
    </font>
    <font>
      <b/>
      <u/>
      <vertAlign val="subscript"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0" fillId="0" borderId="0" xfId="0" applyNumberFormat="1"/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BC419-763A-4BD7-BCF1-3A3B827EEC00}">
  <dimension ref="A1:Y41"/>
  <sheetViews>
    <sheetView tabSelected="1" topLeftCell="C1" zoomScale="145" zoomScaleNormal="145" workbookViewId="0">
      <selection activeCell="R12" sqref="R12"/>
    </sheetView>
  </sheetViews>
  <sheetFormatPr defaultRowHeight="15" x14ac:dyDescent="0.25"/>
  <cols>
    <col min="1" max="2" width="3" bestFit="1" customWidth="1"/>
    <col min="3" max="3" width="4.42578125" bestFit="1" customWidth="1"/>
    <col min="4" max="4" width="2" bestFit="1" customWidth="1"/>
    <col min="5" max="6" width="3" bestFit="1" customWidth="1"/>
    <col min="7" max="7" width="5.5703125" bestFit="1" customWidth="1"/>
    <col min="8" max="8" width="7.85546875" customWidth="1"/>
    <col min="9" max="9" width="7.28515625" customWidth="1"/>
    <col min="10" max="15" width="7" bestFit="1" customWidth="1"/>
    <col min="16" max="16" width="12" customWidth="1"/>
    <col min="19" max="19" width="7.140625" bestFit="1" customWidth="1"/>
    <col min="20" max="20" width="9.42578125" bestFit="1" customWidth="1"/>
    <col min="21" max="21" width="7.5703125" bestFit="1" customWidth="1"/>
    <col min="22" max="22" width="9.85546875" bestFit="1" customWidth="1"/>
    <col min="23" max="23" width="12.5703125" bestFit="1" customWidth="1"/>
    <col min="24" max="24" width="13.140625" bestFit="1" customWidth="1"/>
    <col min="25" max="25" width="16.28515625" bestFit="1" customWidth="1"/>
  </cols>
  <sheetData>
    <row r="1" spans="1:18" x14ac:dyDescent="0.25">
      <c r="G1" t="s">
        <v>32</v>
      </c>
      <c r="H1" t="s">
        <v>31</v>
      </c>
      <c r="I1" t="s">
        <v>30</v>
      </c>
      <c r="J1" t="s">
        <v>33</v>
      </c>
      <c r="K1" t="s">
        <v>34</v>
      </c>
      <c r="L1" t="s">
        <v>35</v>
      </c>
      <c r="M1" t="s">
        <v>36</v>
      </c>
    </row>
    <row r="2" spans="1:18" ht="17.25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5" t="s">
        <v>6</v>
      </c>
      <c r="H2" s="2" t="s">
        <v>7</v>
      </c>
      <c r="I2" s="2" t="s">
        <v>8</v>
      </c>
      <c r="J2" s="5" t="s">
        <v>12</v>
      </c>
      <c r="K2" s="5" t="s">
        <v>25</v>
      </c>
      <c r="L2" s="5" t="s">
        <v>26</v>
      </c>
      <c r="M2" s="5" t="s">
        <v>27</v>
      </c>
      <c r="N2" s="5" t="s">
        <v>28</v>
      </c>
      <c r="O2" s="5" t="s">
        <v>29</v>
      </c>
    </row>
    <row r="3" spans="1:18" x14ac:dyDescent="0.25">
      <c r="A3" s="2">
        <v>5</v>
      </c>
      <c r="B3" s="2">
        <v>10</v>
      </c>
      <c r="C3" s="2" t="s">
        <v>13</v>
      </c>
      <c r="D3" s="2">
        <v>1</v>
      </c>
      <c r="E3" s="2">
        <v>3</v>
      </c>
      <c r="F3" s="2">
        <v>5</v>
      </c>
      <c r="G3" s="2">
        <f t="shared" ref="G3:G14" si="0">(D3+4*E3+F3)/6</f>
        <v>3</v>
      </c>
      <c r="H3" s="3">
        <f t="shared" ref="H3:H14" si="1">(F3-D3)/6</f>
        <v>0.66666666666666663</v>
      </c>
      <c r="I3" s="3">
        <f t="shared" ref="I3:I14" si="2">((F3-D3)/6)^2</f>
        <v>0.44444444444444442</v>
      </c>
      <c r="J3" s="5">
        <v>0</v>
      </c>
      <c r="K3" s="5">
        <f>J3+G3</f>
        <v>3</v>
      </c>
      <c r="L3" s="5">
        <f>M3-G3</f>
        <v>0</v>
      </c>
      <c r="M3" s="5">
        <v>3</v>
      </c>
      <c r="N3" s="5">
        <f>M3-K3</f>
        <v>0</v>
      </c>
      <c r="O3" s="5">
        <v>0</v>
      </c>
    </row>
    <row r="4" spans="1:18" x14ac:dyDescent="0.25">
      <c r="A4" s="2">
        <v>5</v>
      </c>
      <c r="B4" s="2">
        <v>15</v>
      </c>
      <c r="C4" s="2" t="s">
        <v>14</v>
      </c>
      <c r="D4" s="2">
        <v>2</v>
      </c>
      <c r="E4" s="2">
        <v>5</v>
      </c>
      <c r="F4" s="2">
        <v>6</v>
      </c>
      <c r="G4" s="3">
        <f t="shared" si="0"/>
        <v>4.666666666666667</v>
      </c>
      <c r="H4" s="3">
        <f t="shared" si="1"/>
        <v>0.66666666666666663</v>
      </c>
      <c r="I4" s="3">
        <f t="shared" si="2"/>
        <v>0.44444444444444442</v>
      </c>
      <c r="J4" s="5">
        <v>0</v>
      </c>
      <c r="K4" s="6">
        <f t="shared" ref="K4:K14" si="3">J4+G4</f>
        <v>4.666666666666667</v>
      </c>
      <c r="L4" s="6">
        <f t="shared" ref="L4:L14" si="4">M4-G4</f>
        <v>0.66333333333333311</v>
      </c>
      <c r="M4" s="5">
        <v>5.33</v>
      </c>
      <c r="N4" s="6">
        <f t="shared" ref="N4:N14" si="5">M4-K4</f>
        <v>0.66333333333333311</v>
      </c>
      <c r="O4" s="7">
        <f>L21-K4</f>
        <v>0</v>
      </c>
    </row>
    <row r="5" spans="1:18" x14ac:dyDescent="0.25">
      <c r="A5" s="2">
        <v>10</v>
      </c>
      <c r="B5" s="2">
        <v>20</v>
      </c>
      <c r="C5" s="2" t="s">
        <v>15</v>
      </c>
      <c r="D5" s="2">
        <v>4</v>
      </c>
      <c r="E5" s="2">
        <v>6</v>
      </c>
      <c r="F5" s="2">
        <v>7</v>
      </c>
      <c r="G5" s="3">
        <f t="shared" si="0"/>
        <v>5.833333333333333</v>
      </c>
      <c r="H5" s="2">
        <f t="shared" si="1"/>
        <v>0.5</v>
      </c>
      <c r="I5" s="2">
        <f t="shared" si="2"/>
        <v>0.25</v>
      </c>
      <c r="J5" s="5">
        <v>3</v>
      </c>
      <c r="K5" s="6">
        <f t="shared" si="3"/>
        <v>8.8333333333333321</v>
      </c>
      <c r="L5" s="6">
        <f t="shared" si="4"/>
        <v>9.8336666666666659</v>
      </c>
      <c r="M5" s="5">
        <v>15.667</v>
      </c>
      <c r="N5" s="6">
        <f t="shared" si="5"/>
        <v>6.8336666666666677</v>
      </c>
      <c r="O5" s="7">
        <f>L22-K5</f>
        <v>-3.3333333333196435E-4</v>
      </c>
    </row>
    <row r="6" spans="1:18" x14ac:dyDescent="0.25">
      <c r="A6" s="2">
        <v>10</v>
      </c>
      <c r="B6" s="2">
        <v>25</v>
      </c>
      <c r="C6" s="2" t="s">
        <v>16</v>
      </c>
      <c r="D6" s="2">
        <v>8</v>
      </c>
      <c r="E6" s="2">
        <v>10</v>
      </c>
      <c r="F6" s="2">
        <v>12</v>
      </c>
      <c r="G6" s="2">
        <f t="shared" si="0"/>
        <v>10</v>
      </c>
      <c r="H6" s="3">
        <f t="shared" si="1"/>
        <v>0.66666666666666663</v>
      </c>
      <c r="I6" s="3">
        <f t="shared" si="2"/>
        <v>0.44444444444444442</v>
      </c>
      <c r="J6" s="5">
        <v>3</v>
      </c>
      <c r="K6" s="5">
        <f t="shared" si="3"/>
        <v>13</v>
      </c>
      <c r="L6" s="5">
        <f t="shared" si="4"/>
        <v>3</v>
      </c>
      <c r="M6" s="5">
        <v>13</v>
      </c>
      <c r="N6" s="5">
        <f t="shared" si="5"/>
        <v>0</v>
      </c>
      <c r="O6" s="5">
        <v>0</v>
      </c>
    </row>
    <row r="7" spans="1:18" x14ac:dyDescent="0.25">
      <c r="A7" s="2">
        <v>15</v>
      </c>
      <c r="B7" s="2">
        <v>25</v>
      </c>
      <c r="C7" s="2" t="s">
        <v>17</v>
      </c>
      <c r="D7" s="2">
        <v>0</v>
      </c>
      <c r="E7" s="2">
        <v>0</v>
      </c>
      <c r="F7" s="2">
        <v>0</v>
      </c>
      <c r="G7" s="2">
        <f t="shared" si="0"/>
        <v>0</v>
      </c>
      <c r="H7" s="2">
        <f t="shared" si="1"/>
        <v>0</v>
      </c>
      <c r="I7" s="2">
        <f t="shared" si="2"/>
        <v>0</v>
      </c>
      <c r="J7" s="5">
        <v>4.66</v>
      </c>
      <c r="K7" s="5">
        <f t="shared" si="3"/>
        <v>4.66</v>
      </c>
      <c r="L7" s="5">
        <f t="shared" si="4"/>
        <v>13</v>
      </c>
      <c r="M7" s="5">
        <v>13</v>
      </c>
      <c r="N7" s="5">
        <f t="shared" si="5"/>
        <v>8.34</v>
      </c>
      <c r="O7" s="5">
        <f>L23-K7</f>
        <v>8.34</v>
      </c>
    </row>
    <row r="8" spans="1:18" x14ac:dyDescent="0.25">
      <c r="A8" s="2">
        <v>15</v>
      </c>
      <c r="B8" s="2">
        <v>30</v>
      </c>
      <c r="C8" s="2" t="s">
        <v>18</v>
      </c>
      <c r="D8" s="2">
        <v>4</v>
      </c>
      <c r="E8" s="2">
        <v>8</v>
      </c>
      <c r="F8" s="2">
        <v>9</v>
      </c>
      <c r="G8" s="2">
        <f t="shared" si="0"/>
        <v>7.5</v>
      </c>
      <c r="H8" s="3">
        <f t="shared" si="1"/>
        <v>0.83333333333333337</v>
      </c>
      <c r="I8" s="3">
        <f t="shared" si="2"/>
        <v>0.69444444444444453</v>
      </c>
      <c r="J8" s="5">
        <v>4.66</v>
      </c>
      <c r="K8" s="5">
        <f t="shared" si="3"/>
        <v>12.16</v>
      </c>
      <c r="L8" s="5">
        <f t="shared" si="4"/>
        <v>5.3330000000000002</v>
      </c>
      <c r="M8" s="5">
        <v>12.833</v>
      </c>
      <c r="N8" s="5">
        <f t="shared" si="5"/>
        <v>0.67300000000000004</v>
      </c>
      <c r="O8" s="7">
        <f>L24-K8</f>
        <v>6.0000000000002274E-3</v>
      </c>
    </row>
    <row r="9" spans="1:18" x14ac:dyDescent="0.25">
      <c r="A9" s="2">
        <v>20</v>
      </c>
      <c r="B9" s="2">
        <v>35</v>
      </c>
      <c r="C9" s="2" t="s">
        <v>19</v>
      </c>
      <c r="D9" s="2">
        <v>5</v>
      </c>
      <c r="E9" s="2">
        <v>7</v>
      </c>
      <c r="F9" s="2">
        <v>14</v>
      </c>
      <c r="G9" s="3">
        <f t="shared" si="0"/>
        <v>7.833333333333333</v>
      </c>
      <c r="H9" s="2">
        <f t="shared" si="1"/>
        <v>1.5</v>
      </c>
      <c r="I9" s="2">
        <f t="shared" si="2"/>
        <v>2.25</v>
      </c>
      <c r="J9" s="5">
        <v>8.8330000000000002</v>
      </c>
      <c r="K9" s="6">
        <f t="shared" si="3"/>
        <v>16.666333333333334</v>
      </c>
      <c r="L9" s="6">
        <f t="shared" si="4"/>
        <v>15.666666666666668</v>
      </c>
      <c r="M9" s="5">
        <v>23.5</v>
      </c>
      <c r="N9" s="6">
        <f t="shared" si="5"/>
        <v>6.8336666666666659</v>
      </c>
      <c r="O9" s="6">
        <f>L25-K9</f>
        <v>6.8336666666666659</v>
      </c>
      <c r="Q9" s="4">
        <f>G4+G7+G10</f>
        <v>15.166666666666668</v>
      </c>
      <c r="R9">
        <f>(20-Q9)/SQRT(Q10)</f>
        <v>2.9445038788874944</v>
      </c>
    </row>
    <row r="10" spans="1:18" x14ac:dyDescent="0.25">
      <c r="A10" s="2">
        <v>25</v>
      </c>
      <c r="B10" s="2">
        <v>35</v>
      </c>
      <c r="C10" s="2" t="s">
        <v>20</v>
      </c>
      <c r="D10" s="2">
        <v>7</v>
      </c>
      <c r="E10" s="2">
        <v>10</v>
      </c>
      <c r="F10" s="2">
        <v>16</v>
      </c>
      <c r="G10" s="2">
        <f t="shared" si="0"/>
        <v>10.5</v>
      </c>
      <c r="H10" s="2">
        <f t="shared" si="1"/>
        <v>1.5</v>
      </c>
      <c r="I10" s="2">
        <f t="shared" si="2"/>
        <v>2.25</v>
      </c>
      <c r="J10" s="5">
        <v>13</v>
      </c>
      <c r="K10" s="5">
        <f t="shared" si="3"/>
        <v>23.5</v>
      </c>
      <c r="L10" s="5">
        <f t="shared" si="4"/>
        <v>13</v>
      </c>
      <c r="M10" s="5">
        <v>23.5</v>
      </c>
      <c r="N10" s="5">
        <f t="shared" si="5"/>
        <v>0</v>
      </c>
      <c r="O10" s="5">
        <v>0</v>
      </c>
      <c r="Q10" s="4">
        <f>I4+I7+I10</f>
        <v>2.6944444444444446</v>
      </c>
    </row>
    <row r="11" spans="1:18" x14ac:dyDescent="0.25">
      <c r="A11" s="2">
        <v>30</v>
      </c>
      <c r="B11" s="2">
        <v>35</v>
      </c>
      <c r="C11" s="2" t="s">
        <v>21</v>
      </c>
      <c r="D11" s="2">
        <v>0</v>
      </c>
      <c r="E11" s="2">
        <v>0</v>
      </c>
      <c r="F11" s="2">
        <v>0</v>
      </c>
      <c r="G11" s="2">
        <f t="shared" si="0"/>
        <v>0</v>
      </c>
      <c r="H11" s="2">
        <f t="shared" si="1"/>
        <v>0</v>
      </c>
      <c r="I11" s="2">
        <f t="shared" si="2"/>
        <v>0</v>
      </c>
      <c r="J11" s="5">
        <v>12.166</v>
      </c>
      <c r="K11" s="5">
        <f t="shared" si="3"/>
        <v>12.166</v>
      </c>
      <c r="L11" s="5">
        <f t="shared" si="4"/>
        <v>23.5</v>
      </c>
      <c r="M11" s="5">
        <v>23.5</v>
      </c>
      <c r="N11" s="5">
        <f t="shared" si="5"/>
        <v>11.334</v>
      </c>
      <c r="O11" s="5">
        <f>L25-K11</f>
        <v>11.334</v>
      </c>
    </row>
    <row r="12" spans="1:18" x14ac:dyDescent="0.25">
      <c r="A12" s="2">
        <v>30</v>
      </c>
      <c r="B12" s="2">
        <v>40</v>
      </c>
      <c r="C12" s="2" t="s">
        <v>22</v>
      </c>
      <c r="D12" s="2">
        <v>6</v>
      </c>
      <c r="E12" s="2">
        <v>9</v>
      </c>
      <c r="F12" s="2">
        <v>12</v>
      </c>
      <c r="G12" s="2">
        <f t="shared" si="0"/>
        <v>9</v>
      </c>
      <c r="H12" s="2">
        <f t="shared" si="1"/>
        <v>1</v>
      </c>
      <c r="I12" s="2">
        <f t="shared" si="2"/>
        <v>1</v>
      </c>
      <c r="J12" s="5">
        <v>12.166</v>
      </c>
      <c r="K12" s="5">
        <f t="shared" si="3"/>
        <v>21.166</v>
      </c>
      <c r="L12" s="5">
        <f t="shared" si="4"/>
        <v>12.832999999999998</v>
      </c>
      <c r="M12" s="5">
        <v>21.832999999999998</v>
      </c>
      <c r="N12" s="5">
        <f t="shared" si="5"/>
        <v>0.66699999999999804</v>
      </c>
      <c r="O12" s="7">
        <f>L26-K12</f>
        <v>0</v>
      </c>
    </row>
    <row r="13" spans="1:18" x14ac:dyDescent="0.25">
      <c r="A13" s="2">
        <v>35</v>
      </c>
      <c r="B13" s="2">
        <v>45</v>
      </c>
      <c r="C13" s="2" t="s">
        <v>23</v>
      </c>
      <c r="D13" s="2">
        <v>1</v>
      </c>
      <c r="E13" s="2">
        <v>3</v>
      </c>
      <c r="F13" s="2">
        <v>7</v>
      </c>
      <c r="G13" s="3">
        <f t="shared" si="0"/>
        <v>3.3333333333333335</v>
      </c>
      <c r="H13" s="2">
        <f t="shared" si="1"/>
        <v>1</v>
      </c>
      <c r="I13" s="2">
        <f t="shared" si="2"/>
        <v>1</v>
      </c>
      <c r="J13" s="5">
        <v>23.5</v>
      </c>
      <c r="K13" s="6">
        <f t="shared" si="3"/>
        <v>26.833333333333332</v>
      </c>
      <c r="L13" s="6">
        <f t="shared" si="4"/>
        <v>23.499666666666666</v>
      </c>
      <c r="M13" s="5">
        <v>26.832999999999998</v>
      </c>
      <c r="N13" s="7">
        <v>0</v>
      </c>
      <c r="O13" s="5">
        <v>0</v>
      </c>
    </row>
    <row r="14" spans="1:18" x14ac:dyDescent="0.25">
      <c r="A14" s="2">
        <v>40</v>
      </c>
      <c r="B14" s="2">
        <v>45</v>
      </c>
      <c r="C14" s="2" t="s">
        <v>24</v>
      </c>
      <c r="D14" s="2">
        <v>3</v>
      </c>
      <c r="E14" s="2">
        <v>5</v>
      </c>
      <c r="F14" s="2">
        <v>7</v>
      </c>
      <c r="G14" s="2">
        <f t="shared" si="0"/>
        <v>5</v>
      </c>
      <c r="H14" s="3">
        <f t="shared" si="1"/>
        <v>0.66666666666666663</v>
      </c>
      <c r="I14" s="3">
        <f t="shared" si="2"/>
        <v>0.44444444444444442</v>
      </c>
      <c r="J14" s="5">
        <v>21.166</v>
      </c>
      <c r="K14" s="5">
        <f t="shared" si="3"/>
        <v>26.166</v>
      </c>
      <c r="L14" s="5">
        <f t="shared" si="4"/>
        <v>21.832999999999998</v>
      </c>
      <c r="M14" s="2">
        <v>26.832999999999998</v>
      </c>
      <c r="N14" s="5">
        <f t="shared" si="5"/>
        <v>0.66699999999999804</v>
      </c>
      <c r="O14" s="8">
        <f>L27-K14</f>
        <v>0.66699999999999804</v>
      </c>
    </row>
    <row r="16" spans="1:18" x14ac:dyDescent="0.25">
      <c r="H16" t="s">
        <v>37</v>
      </c>
      <c r="P16" s="4">
        <f>I4+I8+I12+I14</f>
        <v>2.583333333333333</v>
      </c>
    </row>
    <row r="17" spans="8:25" x14ac:dyDescent="0.25">
      <c r="P17">
        <f>SQRT(P16)</f>
        <v>1.607275126832159</v>
      </c>
    </row>
    <row r="18" spans="8:25" x14ac:dyDescent="0.25">
      <c r="H18" s="4">
        <f>SQRT(I3+I6+I10+I13)</f>
        <v>2.0344259359556172</v>
      </c>
      <c r="K18" s="2" t="s">
        <v>9</v>
      </c>
      <c r="L18" s="2" t="s">
        <v>10</v>
      </c>
      <c r="M18" s="2" t="s">
        <v>11</v>
      </c>
      <c r="N18" s="2" t="s">
        <v>12</v>
      </c>
      <c r="P18" s="4">
        <f>G14+G12+G8+G4</f>
        <v>26.166666666666668</v>
      </c>
      <c r="Q18">
        <v>25</v>
      </c>
    </row>
    <row r="19" spans="8:25" x14ac:dyDescent="0.25">
      <c r="K19" s="2">
        <v>5</v>
      </c>
      <c r="L19" s="2">
        <v>0</v>
      </c>
      <c r="M19" s="2">
        <v>0</v>
      </c>
      <c r="N19" s="2">
        <f t="shared" ref="N19:N27" si="6">M19-L19</f>
        <v>0</v>
      </c>
      <c r="P19">
        <f>(Q18-P18)/P17</f>
        <v>-0.72586618631129851</v>
      </c>
    </row>
    <row r="20" spans="8:25" x14ac:dyDescent="0.25">
      <c r="K20" s="2">
        <v>10</v>
      </c>
      <c r="L20" s="2">
        <v>3</v>
      </c>
      <c r="M20" s="2">
        <v>3</v>
      </c>
      <c r="N20" s="2">
        <f t="shared" si="6"/>
        <v>0</v>
      </c>
    </row>
    <row r="21" spans="8:25" x14ac:dyDescent="0.25">
      <c r="K21" s="2">
        <v>15</v>
      </c>
      <c r="L21" s="3">
        <f>G4</f>
        <v>4.666666666666667</v>
      </c>
      <c r="M21" s="3">
        <f>M24-G8</f>
        <v>5.3333333333333357</v>
      </c>
      <c r="N21" s="3">
        <f t="shared" si="6"/>
        <v>0.66666666666666874</v>
      </c>
    </row>
    <row r="22" spans="8:25" x14ac:dyDescent="0.25">
      <c r="K22" s="2">
        <v>20</v>
      </c>
      <c r="L22" s="3">
        <v>8.8330000000000002</v>
      </c>
      <c r="M22" s="3">
        <f>M25-G9</f>
        <v>15.666666666666668</v>
      </c>
      <c r="N22" s="3">
        <f t="shared" si="6"/>
        <v>6.8336666666666677</v>
      </c>
    </row>
    <row r="23" spans="8:25" x14ac:dyDescent="0.25">
      <c r="K23" s="2">
        <v>25</v>
      </c>
      <c r="L23" s="2">
        <v>13</v>
      </c>
      <c r="M23" s="2">
        <v>13</v>
      </c>
      <c r="N23" s="2">
        <f t="shared" si="6"/>
        <v>0</v>
      </c>
    </row>
    <row r="24" spans="8:25" x14ac:dyDescent="0.25">
      <c r="K24" s="2">
        <v>30</v>
      </c>
      <c r="L24" s="3">
        <v>12.166</v>
      </c>
      <c r="M24" s="3">
        <f>M26-G12</f>
        <v>12.833333333333336</v>
      </c>
      <c r="N24" s="3">
        <f t="shared" si="6"/>
        <v>0.66733333333333533</v>
      </c>
    </row>
    <row r="25" spans="8:25" x14ac:dyDescent="0.25">
      <c r="K25" s="2">
        <v>35</v>
      </c>
      <c r="L25" s="2">
        <v>23.5</v>
      </c>
      <c r="M25" s="2">
        <v>23.5</v>
      </c>
      <c r="N25" s="2">
        <f t="shared" si="6"/>
        <v>0</v>
      </c>
    </row>
    <row r="26" spans="8:25" x14ac:dyDescent="0.25">
      <c r="K26" s="2">
        <v>40</v>
      </c>
      <c r="L26" s="3">
        <v>21.166</v>
      </c>
      <c r="M26" s="3">
        <f>G13+G10+G6+G3-G14</f>
        <v>21.833333333333336</v>
      </c>
      <c r="N26" s="3">
        <f t="shared" si="6"/>
        <v>0.66733333333333533</v>
      </c>
    </row>
    <row r="27" spans="8:25" x14ac:dyDescent="0.25">
      <c r="K27" s="2">
        <v>45</v>
      </c>
      <c r="L27" s="3">
        <v>26.832999999999998</v>
      </c>
      <c r="M27" s="3">
        <v>26.832999999999998</v>
      </c>
      <c r="N27" s="2">
        <f t="shared" si="6"/>
        <v>0</v>
      </c>
      <c r="Q27" s="1"/>
      <c r="R27" s="1"/>
    </row>
    <row r="28" spans="8:25" x14ac:dyDescent="0.25">
      <c r="Q28" s="1"/>
      <c r="R28" s="1"/>
    </row>
    <row r="29" spans="8:25" ht="23.25" customHeight="1" x14ac:dyDescent="0.25"/>
    <row r="30" spans="8:25" ht="27" customHeight="1" x14ac:dyDescent="0.25"/>
    <row r="31" spans="8:25" ht="18" x14ac:dyDescent="0.25">
      <c r="S31" s="9" t="s">
        <v>38</v>
      </c>
      <c r="T31" s="9" t="s">
        <v>39</v>
      </c>
      <c r="U31" s="9" t="s">
        <v>40</v>
      </c>
      <c r="V31" s="9" t="s">
        <v>41</v>
      </c>
      <c r="W31" s="10" t="s">
        <v>42</v>
      </c>
      <c r="X31" s="9" t="s">
        <v>43</v>
      </c>
      <c r="Y31" s="9" t="s">
        <v>44</v>
      </c>
    </row>
    <row r="32" spans="8:25" x14ac:dyDescent="0.25">
      <c r="S32" s="11" t="s">
        <v>45</v>
      </c>
      <c r="T32" s="11" t="s">
        <v>46</v>
      </c>
      <c r="U32" s="11">
        <v>26.832999999999998</v>
      </c>
      <c r="V32" s="11">
        <v>4.1390000000000002</v>
      </c>
      <c r="W32" s="12">
        <v>-0.90115509999999999</v>
      </c>
      <c r="X32" s="11">
        <v>2.0344259999999998</v>
      </c>
      <c r="Y32" s="11" t="s">
        <v>47</v>
      </c>
    </row>
    <row r="33" spans="19:25" x14ac:dyDescent="0.25">
      <c r="S33" s="13" t="s">
        <v>48</v>
      </c>
      <c r="T33" s="13" t="s">
        <v>49</v>
      </c>
      <c r="U33" s="13">
        <v>26.167000000000002</v>
      </c>
      <c r="V33" s="13">
        <v>2.5830000000000002</v>
      </c>
      <c r="W33" s="14">
        <v>-0.72586618999999997</v>
      </c>
      <c r="X33" s="13">
        <v>1.6072751270000001</v>
      </c>
      <c r="Y33" s="11"/>
    </row>
    <row r="34" spans="19:25" ht="18" x14ac:dyDescent="0.25">
      <c r="S34" s="9" t="s">
        <v>38</v>
      </c>
      <c r="T34" s="9" t="s">
        <v>39</v>
      </c>
      <c r="U34" s="9" t="s">
        <v>40</v>
      </c>
      <c r="V34" s="9" t="s">
        <v>41</v>
      </c>
      <c r="W34" s="10" t="s">
        <v>42</v>
      </c>
      <c r="X34" s="9" t="s">
        <v>43</v>
      </c>
      <c r="Y34" s="9" t="s">
        <v>50</v>
      </c>
    </row>
    <row r="35" spans="19:25" x14ac:dyDescent="0.25">
      <c r="S35" s="11" t="s">
        <v>45</v>
      </c>
      <c r="T35" s="11" t="s">
        <v>46</v>
      </c>
      <c r="U35" s="11">
        <v>26.832999999999998</v>
      </c>
      <c r="V35" s="11">
        <v>4.1390000000000002</v>
      </c>
      <c r="W35" s="12">
        <v>8.1923192000000006E-2</v>
      </c>
      <c r="X35" s="11">
        <v>2.0344259999999998</v>
      </c>
      <c r="Y35" s="11" t="s">
        <v>51</v>
      </c>
    </row>
    <row r="36" spans="19:25" x14ac:dyDescent="0.25">
      <c r="S36" s="13" t="s">
        <v>48</v>
      </c>
      <c r="T36" s="13" t="s">
        <v>49</v>
      </c>
      <c r="U36" s="13">
        <v>26.167000000000002</v>
      </c>
      <c r="V36" s="13">
        <v>2.5830000000000002</v>
      </c>
      <c r="W36" s="12">
        <v>0.51847584700000005</v>
      </c>
      <c r="X36" s="13">
        <v>1.6072751270000001</v>
      </c>
      <c r="Y36" s="11"/>
    </row>
    <row r="37" spans="19:25" ht="18" x14ac:dyDescent="0.25">
      <c r="S37" s="9" t="s">
        <v>38</v>
      </c>
      <c r="T37" s="9" t="s">
        <v>39</v>
      </c>
      <c r="U37" s="9" t="s">
        <v>40</v>
      </c>
      <c r="V37" s="9" t="s">
        <v>41</v>
      </c>
      <c r="W37" s="10" t="s">
        <v>42</v>
      </c>
      <c r="X37" s="9" t="s">
        <v>43</v>
      </c>
      <c r="Y37" s="9" t="s">
        <v>52</v>
      </c>
    </row>
    <row r="38" spans="19:25" x14ac:dyDescent="0.25">
      <c r="S38" s="11" t="s">
        <v>45</v>
      </c>
      <c r="T38" s="11" t="s">
        <v>53</v>
      </c>
      <c r="U38" s="11">
        <v>23.5</v>
      </c>
      <c r="V38" s="11">
        <v>3.1388889999999998</v>
      </c>
      <c r="W38" s="12">
        <v>-1.9755100000000001</v>
      </c>
      <c r="X38" s="11">
        <v>1.771690969</v>
      </c>
      <c r="Y38" s="11" t="s">
        <v>54</v>
      </c>
    </row>
    <row r="39" spans="19:25" x14ac:dyDescent="0.25">
      <c r="S39" s="11" t="s">
        <v>48</v>
      </c>
      <c r="T39" s="11" t="s">
        <v>55</v>
      </c>
      <c r="U39" s="11">
        <v>16.667000000000002</v>
      </c>
      <c r="V39" s="11">
        <v>2.944</v>
      </c>
      <c r="W39" s="12">
        <v>1.942572</v>
      </c>
      <c r="X39" s="11">
        <v>1.715938357</v>
      </c>
      <c r="Y39" s="11" t="s">
        <v>56</v>
      </c>
    </row>
    <row r="40" spans="19:25" x14ac:dyDescent="0.25">
      <c r="S40" s="11" t="s">
        <v>57</v>
      </c>
      <c r="T40" s="11" t="s">
        <v>58</v>
      </c>
      <c r="U40" s="11">
        <v>13.5</v>
      </c>
      <c r="V40" s="11">
        <v>2.694</v>
      </c>
      <c r="W40" s="12">
        <v>3.9598499999999999</v>
      </c>
      <c r="X40" s="11">
        <v>1.6414763000000001</v>
      </c>
      <c r="Y40" s="11" t="s">
        <v>59</v>
      </c>
    </row>
    <row r="41" spans="19:25" x14ac:dyDescent="0.25">
      <c r="S41" s="11" t="s">
        <v>60</v>
      </c>
      <c r="T41" s="11" t="s">
        <v>61</v>
      </c>
      <c r="U41" s="11">
        <v>12.167</v>
      </c>
      <c r="V41" s="11">
        <v>1.139</v>
      </c>
      <c r="W41" s="12">
        <v>7.3401670000000001</v>
      </c>
      <c r="X41" s="11">
        <v>1.0671870000000001</v>
      </c>
      <c r="Y41" s="11" t="s">
        <v>62</v>
      </c>
    </row>
  </sheetData>
  <pageMargins left="0.7" right="0.7" top="0.75" bottom="0.75" header="0.3" footer="0.3"/>
  <pageSetup scale="15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A8CBE1456CF5E42AE85D457DC33F0B5" ma:contentTypeVersion="14" ma:contentTypeDescription="Create a new document." ma:contentTypeScope="" ma:versionID="c9af017fbbde6f143c92f856ab5ebd1e">
  <xsd:schema xmlns:xsd="http://www.w3.org/2001/XMLSchema" xmlns:xs="http://www.w3.org/2001/XMLSchema" xmlns:p="http://schemas.microsoft.com/office/2006/metadata/properties" xmlns:ns3="6a77b6b0-c614-4c78-a25a-18adcda15817" xmlns:ns4="cb441c9e-d7d0-448a-a87f-301ff73cd758" targetNamespace="http://schemas.microsoft.com/office/2006/metadata/properties" ma:root="true" ma:fieldsID="9364578cf86e4149828d1b27882cb78b" ns3:_="" ns4:_="">
    <xsd:import namespace="6a77b6b0-c614-4c78-a25a-18adcda15817"/>
    <xsd:import namespace="cb441c9e-d7d0-448a-a87f-301ff73cd758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7b6b0-c614-4c78-a25a-18adcda1581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41c9e-d7d0-448a-a87f-301ff73cd758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0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41E4A08-2384-4B5B-98AC-B238FE3B93B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a77b6b0-c614-4c78-a25a-18adcda15817"/>
    <ds:schemaRef ds:uri="cb441c9e-d7d0-448a-a87f-301ff73cd75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3218837-1179-412F-BA74-D8D1CA8D0F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8F43ABD-8940-4F22-A6D0-D18208C83523}">
  <ds:schemaRefs>
    <ds:schemaRef ds:uri="http://schemas.openxmlformats.org/package/2006/metadata/core-properties"/>
    <ds:schemaRef ds:uri="http://purl.org/dc/terms/"/>
    <ds:schemaRef ds:uri="http://schemas.microsoft.com/office/2006/metadata/properties"/>
    <ds:schemaRef ds:uri="http://schemas.microsoft.com/office/infopath/2007/PartnerControls"/>
    <ds:schemaRef ds:uri="http://schemas.microsoft.com/office/2006/documentManagement/types"/>
    <ds:schemaRef ds:uri="6a77b6b0-c614-4c78-a25a-18adcda15817"/>
    <ds:schemaRef ds:uri="http://purl.org/dc/dcmitype/"/>
    <ds:schemaRef ds:uri="cb441c9e-d7d0-448a-a87f-301ff73cd758"/>
    <ds:schemaRef ds:uri="http://www.w3.org/XML/1998/namespace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Jacob Vaught</cp:lastModifiedBy>
  <cp:lastPrinted>2021-10-21T18:34:16Z</cp:lastPrinted>
  <dcterms:created xsi:type="dcterms:W3CDTF">2021-10-21T18:33:04Z</dcterms:created>
  <dcterms:modified xsi:type="dcterms:W3CDTF">2021-10-27T01:29:07Z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0x0101007A8CBE1456CF5E42AE85D457DC33F0B5</vt:lpwstr>
  </property>
</Properties>
</file>