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entmidlandstech-my.sharepoint.com/personal/jacobvaught_student_midlandstech_edu/Documents/CLASS-USC/EMCH 380/"/>
    </mc:Choice>
  </mc:AlternateContent>
  <xr:revisionPtr revIDLastSave="1470" documentId="8_{B56FE595-6D46-409B-8620-FA8FA09C37CB}" xr6:coauthVersionLast="47" xr6:coauthVersionMax="47" xr10:uidLastSave="{60AC7C91-7B03-426B-94A8-5B8C63A2B67A}"/>
  <bookViews>
    <workbookView xWindow="-120" yWindow="-120" windowWidth="24240" windowHeight="13140" xr2:uid="{CA834296-B935-4859-9940-61183DA8983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6" i="1" l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1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2" i="1"/>
  <c r="G2" i="1"/>
  <c r="M82" i="1"/>
  <c r="M92" i="1"/>
  <c r="M91" i="1"/>
  <c r="H91" i="1"/>
  <c r="I91" i="1" s="1"/>
  <c r="H112" i="1"/>
  <c r="I112" i="1" s="1"/>
  <c r="H99" i="1" s="1"/>
  <c r="H113" i="1"/>
  <c r="I113" i="1" s="1"/>
  <c r="H106" i="1" s="1"/>
  <c r="H114" i="1"/>
  <c r="I114" i="1" s="1"/>
  <c r="H108" i="1" s="1"/>
  <c r="G92" i="1"/>
  <c r="F97" i="1" s="1"/>
  <c r="G97" i="1" s="1"/>
  <c r="G91" i="1"/>
  <c r="J91" i="1" s="1"/>
  <c r="H63" i="1"/>
  <c r="H64" i="1"/>
  <c r="H66" i="1"/>
  <c r="H67" i="1"/>
  <c r="H69" i="1"/>
  <c r="H71" i="1"/>
  <c r="H68" i="1"/>
  <c r="H70" i="1"/>
  <c r="H72" i="1"/>
  <c r="H73" i="1"/>
  <c r="I73" i="1" s="1"/>
  <c r="M88" i="1"/>
  <c r="F85" i="1"/>
  <c r="G85" i="1" s="1"/>
  <c r="K85" i="1" s="1"/>
  <c r="F84" i="1"/>
  <c r="G84" i="1" s="1"/>
  <c r="J84" i="1" s="1"/>
  <c r="F88" i="1"/>
  <c r="G88" i="1" s="1"/>
  <c r="J88" i="1" s="1"/>
  <c r="G83" i="1"/>
  <c r="K83" i="1" s="1"/>
  <c r="I80" i="1"/>
  <c r="I82" i="1"/>
  <c r="H78" i="1" s="1"/>
  <c r="M83" i="1" s="1"/>
  <c r="I83" i="1"/>
  <c r="I84" i="1"/>
  <c r="I85" i="1"/>
  <c r="H81" i="1" s="1"/>
  <c r="M85" i="1" s="1"/>
  <c r="I86" i="1"/>
  <c r="H79" i="1" s="1"/>
  <c r="I87" i="1"/>
  <c r="I88" i="1"/>
  <c r="G77" i="1"/>
  <c r="J77" i="1" s="1"/>
  <c r="G78" i="1"/>
  <c r="J78" i="1" s="1"/>
  <c r="G82" i="1"/>
  <c r="J82" i="1" s="1"/>
  <c r="G76" i="1"/>
  <c r="J76" i="1" s="1"/>
  <c r="F87" i="1"/>
  <c r="G87" i="1" s="1"/>
  <c r="K87" i="1" s="1"/>
  <c r="F86" i="1"/>
  <c r="G86" i="1" s="1"/>
  <c r="J86" i="1" s="1"/>
  <c r="F81" i="1"/>
  <c r="G81" i="1" s="1"/>
  <c r="J81" i="1" s="1"/>
  <c r="F80" i="1"/>
  <c r="G80" i="1" s="1"/>
  <c r="J80" i="1" s="1"/>
  <c r="F79" i="1"/>
  <c r="G79" i="1" s="1"/>
  <c r="J79" i="1" s="1"/>
  <c r="M84" i="1" l="1"/>
  <c r="F93" i="1"/>
  <c r="G93" i="1" s="1"/>
  <c r="M94" i="1"/>
  <c r="J92" i="1"/>
  <c r="M95" i="1"/>
  <c r="M93" i="1"/>
  <c r="K82" i="1"/>
  <c r="L82" i="1" s="1"/>
  <c r="K91" i="1"/>
  <c r="L91" i="1" s="1"/>
  <c r="F94" i="1"/>
  <c r="G94" i="1" s="1"/>
  <c r="F101" i="1" s="1"/>
  <c r="G101" i="1" s="1"/>
  <c r="J101" i="1" s="1"/>
  <c r="M112" i="1"/>
  <c r="I99" i="1"/>
  <c r="F105" i="1"/>
  <c r="G105" i="1" s="1"/>
  <c r="J97" i="1"/>
  <c r="F104" i="1"/>
  <c r="G104" i="1" s="1"/>
  <c r="J104" i="1" s="1"/>
  <c r="I108" i="1"/>
  <c r="I106" i="1"/>
  <c r="F99" i="1"/>
  <c r="G99" i="1" s="1"/>
  <c r="H111" i="1"/>
  <c r="H110" i="1"/>
  <c r="F95" i="1"/>
  <c r="G95" i="1" s="1"/>
  <c r="J95" i="1" s="1"/>
  <c r="F96" i="1"/>
  <c r="G96" i="1" s="1"/>
  <c r="H109" i="1"/>
  <c r="H107" i="1"/>
  <c r="K84" i="1"/>
  <c r="L84" i="1" s="1"/>
  <c r="M78" i="1"/>
  <c r="K80" i="1"/>
  <c r="L80" i="1" s="1"/>
  <c r="J87" i="1"/>
  <c r="L87" i="1" s="1"/>
  <c r="K88" i="1"/>
  <c r="L88" i="1" s="1"/>
  <c r="I81" i="1"/>
  <c r="H76" i="1" s="1"/>
  <c r="K81" i="1"/>
  <c r="L81" i="1" s="1"/>
  <c r="M86" i="1"/>
  <c r="I79" i="1"/>
  <c r="M87" i="1"/>
  <c r="K79" i="1"/>
  <c r="L79" i="1" s="1"/>
  <c r="J83" i="1"/>
  <c r="L83" i="1" s="1"/>
  <c r="I78" i="1"/>
  <c r="K86" i="1"/>
  <c r="L86" i="1" s="1"/>
  <c r="K78" i="1"/>
  <c r="L78" i="1" s="1"/>
  <c r="H77" i="1"/>
  <c r="J85" i="1"/>
  <c r="L85" i="1" s="1"/>
  <c r="M81" i="1" l="1"/>
  <c r="M80" i="1"/>
  <c r="F100" i="1"/>
  <c r="G100" i="1" s="1"/>
  <c r="J100" i="1" s="1"/>
  <c r="J94" i="1"/>
  <c r="F98" i="1"/>
  <c r="G98" i="1" s="1"/>
  <c r="J93" i="1"/>
  <c r="H98" i="1"/>
  <c r="H100" i="1"/>
  <c r="I107" i="1"/>
  <c r="I110" i="1"/>
  <c r="J105" i="1"/>
  <c r="F111" i="1"/>
  <c r="G111" i="1" s="1"/>
  <c r="K111" i="1" s="1"/>
  <c r="I111" i="1"/>
  <c r="H105" i="1" s="1"/>
  <c r="M114" i="1"/>
  <c r="H101" i="1"/>
  <c r="H102" i="1"/>
  <c r="H104" i="1"/>
  <c r="J99" i="1"/>
  <c r="F112" i="1"/>
  <c r="G112" i="1" s="1"/>
  <c r="M113" i="1"/>
  <c r="I109" i="1"/>
  <c r="H103" i="1" s="1"/>
  <c r="F102" i="1"/>
  <c r="G102" i="1" s="1"/>
  <c r="J96" i="1"/>
  <c r="F103" i="1"/>
  <c r="G103" i="1" s="1"/>
  <c r="K99" i="1"/>
  <c r="M77" i="1"/>
  <c r="K77" i="1"/>
  <c r="L77" i="1" s="1"/>
  <c r="I77" i="1"/>
  <c r="K76" i="1"/>
  <c r="L76" i="1" s="1"/>
  <c r="M79" i="1"/>
  <c r="M76" i="1"/>
  <c r="I76" i="1"/>
  <c r="J98" i="1" l="1"/>
  <c r="F106" i="1"/>
  <c r="G106" i="1" s="1"/>
  <c r="L99" i="1"/>
  <c r="K102" i="1"/>
  <c r="I102" i="1"/>
  <c r="K103" i="1"/>
  <c r="I103" i="1"/>
  <c r="M109" i="1"/>
  <c r="M110" i="1"/>
  <c r="F114" i="1"/>
  <c r="G114" i="1" s="1"/>
  <c r="J111" i="1"/>
  <c r="L111" i="1" s="1"/>
  <c r="M106" i="1"/>
  <c r="K100" i="1"/>
  <c r="L100" i="1" s="1"/>
  <c r="I100" i="1"/>
  <c r="H94" i="1" s="1"/>
  <c r="K105" i="1"/>
  <c r="L105" i="1" s="1"/>
  <c r="I105" i="1"/>
  <c r="H97" i="1" s="1"/>
  <c r="M111" i="1"/>
  <c r="K112" i="1"/>
  <c r="J112" i="1"/>
  <c r="I98" i="1"/>
  <c r="H93" i="1" s="1"/>
  <c r="K98" i="1"/>
  <c r="L98" i="1" s="1"/>
  <c r="J102" i="1"/>
  <c r="F108" i="1"/>
  <c r="G108" i="1" s="1"/>
  <c r="F107" i="1"/>
  <c r="G107" i="1" s="1"/>
  <c r="K101" i="1"/>
  <c r="L101" i="1" s="1"/>
  <c r="I101" i="1"/>
  <c r="J103" i="1"/>
  <c r="F110" i="1"/>
  <c r="G110" i="1" s="1"/>
  <c r="F109" i="1"/>
  <c r="G109" i="1" s="1"/>
  <c r="M108" i="1"/>
  <c r="K104" i="1"/>
  <c r="L104" i="1" s="1"/>
  <c r="I104" i="1"/>
  <c r="M107" i="1"/>
  <c r="I69" i="1"/>
  <c r="G62" i="1"/>
  <c r="G63" i="1"/>
  <c r="G64" i="1"/>
  <c r="G61" i="1"/>
  <c r="F66" i="1" s="1"/>
  <c r="G66" i="1" s="1"/>
  <c r="M51" i="1"/>
  <c r="M36" i="1"/>
  <c r="M37" i="1"/>
  <c r="M38" i="1"/>
  <c r="M39" i="1"/>
  <c r="M40" i="1"/>
  <c r="M41" i="1"/>
  <c r="M42" i="1"/>
  <c r="M46" i="1"/>
  <c r="M43" i="1"/>
  <c r="M44" i="1"/>
  <c r="M56" i="1"/>
  <c r="M55" i="1"/>
  <c r="M54" i="1"/>
  <c r="M53" i="1"/>
  <c r="M52" i="1"/>
  <c r="M50" i="1"/>
  <c r="M49" i="1"/>
  <c r="M48" i="1"/>
  <c r="M47" i="1"/>
  <c r="M45" i="1"/>
  <c r="M57" i="1"/>
  <c r="M58" i="1"/>
  <c r="F47" i="1"/>
  <c r="E44" i="1" s="1"/>
  <c r="F48" i="1"/>
  <c r="F49" i="1"/>
  <c r="H47" i="1"/>
  <c r="I47" i="1" s="1"/>
  <c r="H48" i="1"/>
  <c r="I48" i="1" s="1"/>
  <c r="H49" i="1"/>
  <c r="I49" i="1" s="1"/>
  <c r="K106" i="1" l="1"/>
  <c r="J106" i="1"/>
  <c r="L106" i="1" s="1"/>
  <c r="F113" i="1"/>
  <c r="G113" i="1" s="1"/>
  <c r="F69" i="1"/>
  <c r="I97" i="1"/>
  <c r="M104" i="1"/>
  <c r="K97" i="1"/>
  <c r="L97" i="1" s="1"/>
  <c r="M105" i="1"/>
  <c r="M100" i="1"/>
  <c r="I94" i="1"/>
  <c r="M101" i="1"/>
  <c r="K94" i="1"/>
  <c r="L94" i="1" s="1"/>
  <c r="H95" i="1"/>
  <c r="H96" i="1"/>
  <c r="J109" i="1"/>
  <c r="K109" i="1"/>
  <c r="L103" i="1"/>
  <c r="J114" i="1"/>
  <c r="K114" i="1"/>
  <c r="L114" i="1" s="1"/>
  <c r="J107" i="1"/>
  <c r="K107" i="1"/>
  <c r="J108" i="1"/>
  <c r="K108" i="1"/>
  <c r="J110" i="1"/>
  <c r="K110" i="1"/>
  <c r="K93" i="1"/>
  <c r="L93" i="1" s="1"/>
  <c r="M98" i="1"/>
  <c r="M99" i="1"/>
  <c r="I93" i="1"/>
  <c r="L112" i="1"/>
  <c r="L102" i="1"/>
  <c r="I67" i="1"/>
  <c r="I64" i="1"/>
  <c r="G69" i="1"/>
  <c r="F70" i="1"/>
  <c r="K64" i="1"/>
  <c r="L64" i="1" s="1"/>
  <c r="F65" i="1"/>
  <c r="E46" i="1"/>
  <c r="F46" i="1" s="1"/>
  <c r="H44" i="1"/>
  <c r="I44" i="1" s="1"/>
  <c r="F44" i="1"/>
  <c r="E40" i="1" s="1"/>
  <c r="E45" i="1"/>
  <c r="L110" i="1" l="1"/>
  <c r="J113" i="1"/>
  <c r="K113" i="1"/>
  <c r="L109" i="1"/>
  <c r="L108" i="1"/>
  <c r="M102" i="1"/>
  <c r="I96" i="1"/>
  <c r="H92" i="1" s="1"/>
  <c r="M103" i="1"/>
  <c r="K96" i="1"/>
  <c r="L96" i="1" s="1"/>
  <c r="L107" i="1"/>
  <c r="I95" i="1"/>
  <c r="K95" i="1"/>
  <c r="L95" i="1" s="1"/>
  <c r="H62" i="1"/>
  <c r="H65" i="1"/>
  <c r="J69" i="1"/>
  <c r="J47" i="1"/>
  <c r="G65" i="1"/>
  <c r="F68" i="1" s="1"/>
  <c r="G68" i="1" s="1"/>
  <c r="K69" i="1"/>
  <c r="F72" i="1"/>
  <c r="F71" i="1"/>
  <c r="G70" i="1"/>
  <c r="J70" i="1"/>
  <c r="H46" i="1"/>
  <c r="I46" i="1" s="1"/>
  <c r="J48" i="1"/>
  <c r="H40" i="1"/>
  <c r="I40" i="1" s="1"/>
  <c r="F40" i="1"/>
  <c r="E37" i="1" s="1"/>
  <c r="J40" i="1" s="1"/>
  <c r="F45" i="1"/>
  <c r="H45" i="1"/>
  <c r="I45" i="1" s="1"/>
  <c r="L113" i="1" l="1"/>
  <c r="M97" i="1"/>
  <c r="M96" i="1"/>
  <c r="I92" i="1"/>
  <c r="K92" i="1"/>
  <c r="L92" i="1" s="1"/>
  <c r="F67" i="1"/>
  <c r="L69" i="1"/>
  <c r="K70" i="1"/>
  <c r="L70" i="1" s="1"/>
  <c r="I70" i="1"/>
  <c r="G71" i="1"/>
  <c r="J71" i="1"/>
  <c r="G72" i="1"/>
  <c r="J68" i="1" s="1"/>
  <c r="J72" i="1"/>
  <c r="I62" i="1"/>
  <c r="K62" i="1"/>
  <c r="L62" i="1" s="1"/>
  <c r="I65" i="1"/>
  <c r="H61" i="1" s="1"/>
  <c r="K65" i="1"/>
  <c r="L65" i="1" s="1"/>
  <c r="H37" i="1"/>
  <c r="I37" i="1" s="1"/>
  <c r="F37" i="1"/>
  <c r="E43" i="1"/>
  <c r="E41" i="1"/>
  <c r="J44" i="1" s="1"/>
  <c r="E42" i="1"/>
  <c r="G67" i="1" l="1"/>
  <c r="J67" i="1" s="1"/>
  <c r="K61" i="1"/>
  <c r="L61" i="1" s="1"/>
  <c r="K67" i="1"/>
  <c r="F73" i="1"/>
  <c r="I61" i="1"/>
  <c r="F42" i="1"/>
  <c r="H42" i="1"/>
  <c r="I42" i="1" s="1"/>
  <c r="H41" i="1"/>
  <c r="I41" i="1" s="1"/>
  <c r="F41" i="1"/>
  <c r="E38" i="1" s="1"/>
  <c r="H43" i="1"/>
  <c r="I43" i="1" s="1"/>
  <c r="F43" i="1"/>
  <c r="E39" i="1" s="1"/>
  <c r="J45" i="1"/>
  <c r="J46" i="1"/>
  <c r="L67" i="1" l="1"/>
  <c r="K63" i="1"/>
  <c r="L63" i="1" s="1"/>
  <c r="I63" i="1"/>
  <c r="I68" i="1"/>
  <c r="K68" i="1"/>
  <c r="L68" i="1" s="1"/>
  <c r="G73" i="1"/>
  <c r="J73" i="1"/>
  <c r="K71" i="1"/>
  <c r="L71" i="1" s="1"/>
  <c r="I71" i="1"/>
  <c r="K72" i="1"/>
  <c r="L72" i="1" s="1"/>
  <c r="I72" i="1"/>
  <c r="J42" i="1"/>
  <c r="J41" i="1"/>
  <c r="H38" i="1"/>
  <c r="I38" i="1" s="1"/>
  <c r="F38" i="1"/>
  <c r="E36" i="1" s="1"/>
  <c r="J43" i="1"/>
  <c r="F39" i="1"/>
  <c r="H39" i="1"/>
  <c r="I39" i="1" s="1"/>
  <c r="J37" i="1" l="1"/>
  <c r="J38" i="1"/>
  <c r="K66" i="1"/>
  <c r="L66" i="1" s="1"/>
  <c r="I66" i="1"/>
  <c r="K73" i="1"/>
  <c r="L73" i="1" s="1"/>
  <c r="J39" i="1"/>
  <c r="H36" i="1"/>
  <c r="I36" i="1" s="1"/>
  <c r="F36" i="1"/>
</calcChain>
</file>

<file path=xl/sharedStrings.xml><?xml version="1.0" encoding="utf-8"?>
<sst xmlns="http://schemas.openxmlformats.org/spreadsheetml/2006/main" count="253" uniqueCount="147">
  <si>
    <t>#</t>
  </si>
  <si>
    <t>ACT.</t>
  </si>
  <si>
    <t>DUR</t>
  </si>
  <si>
    <t>PRED.</t>
  </si>
  <si>
    <t>ESD</t>
  </si>
  <si>
    <t>EFD</t>
  </si>
  <si>
    <t>LFD</t>
  </si>
  <si>
    <t>LSD</t>
  </si>
  <si>
    <t>Slack</t>
  </si>
  <si>
    <t>Start</t>
  </si>
  <si>
    <t>-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</si>
  <si>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</si>
  <si>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</si>
  <si>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</si>
  <si>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</si>
  <si>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</si>
  <si>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</si>
  <si>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</si>
  <si>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</si>
  <si>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</si>
  <si>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</si>
  <si>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</si>
  <si>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</si>
  <si>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</si>
  <si>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9,10,11</t>
  </si>
  <si>
    <t>N</t>
  </si>
  <si>
    <t>12,13</t>
  </si>
  <si>
    <t>Finish</t>
  </si>
  <si>
    <t>14,15</t>
  </si>
  <si>
    <t>BC</t>
  </si>
  <si>
    <t>EFG</t>
  </si>
  <si>
    <t>FGH</t>
  </si>
  <si>
    <t>GH</t>
  </si>
  <si>
    <t>JKL</t>
  </si>
  <si>
    <t>KL</t>
  </si>
  <si>
    <t>P</t>
  </si>
  <si>
    <t>MN</t>
  </si>
  <si>
    <t>ESDsuc-EFD</t>
  </si>
  <si>
    <t>ACT</t>
  </si>
  <si>
    <t>FF</t>
  </si>
  <si>
    <t>TF</t>
  </si>
  <si>
    <t>INTF</t>
  </si>
  <si>
    <t>INDF</t>
  </si>
  <si>
    <t>Link</t>
  </si>
  <si>
    <t>LAG</t>
  </si>
  <si>
    <t>A-B</t>
  </si>
  <si>
    <t>A-C</t>
  </si>
  <si>
    <t>0</t>
  </si>
  <si>
    <t>A-D</t>
  </si>
  <si>
    <t>B-E</t>
  </si>
  <si>
    <t>1</t>
  </si>
  <si>
    <t>B-F</t>
  </si>
  <si>
    <t>C-F</t>
  </si>
  <si>
    <t>C-G</t>
  </si>
  <si>
    <t>D-H</t>
  </si>
  <si>
    <t>2</t>
  </si>
  <si>
    <t>E-J</t>
  </si>
  <si>
    <t>F-J</t>
  </si>
  <si>
    <t>7</t>
  </si>
  <si>
    <t>G-J</t>
  </si>
  <si>
    <t>F-K</t>
  </si>
  <si>
    <t>3</t>
  </si>
  <si>
    <t>G-K</t>
  </si>
  <si>
    <t>H-K</t>
  </si>
  <si>
    <t>G-L</t>
  </si>
  <si>
    <t>H-L</t>
  </si>
  <si>
    <t>J-M</t>
  </si>
  <si>
    <t>K-M</t>
  </si>
  <si>
    <t>K-N</t>
  </si>
  <si>
    <t>L-M</t>
  </si>
  <si>
    <t>L-N</t>
  </si>
  <si>
    <t>M-P</t>
  </si>
  <si>
    <t>N-P</t>
  </si>
  <si>
    <t>NODE</t>
  </si>
  <si>
    <t>i-j</t>
  </si>
  <si>
    <t>1-2</t>
  </si>
  <si>
    <t>1-3</t>
  </si>
  <si>
    <t>1-6</t>
  </si>
  <si>
    <t>1-4</t>
  </si>
  <si>
    <t>2-3</t>
  </si>
  <si>
    <t>2-5</t>
  </si>
  <si>
    <t>3-4</t>
  </si>
  <si>
    <t>3-7</t>
  </si>
  <si>
    <t>1-4-5-6-7</t>
  </si>
  <si>
    <t>4-5</t>
  </si>
  <si>
    <t>1-4-5-7</t>
  </si>
  <si>
    <t>4-7</t>
  </si>
  <si>
    <t>1-4-7</t>
  </si>
  <si>
    <t>5-6</t>
  </si>
  <si>
    <t>5-7</t>
  </si>
  <si>
    <t>6-7</t>
  </si>
  <si>
    <t>NODE ESD</t>
  </si>
  <si>
    <t>Duration</t>
  </si>
  <si>
    <t>1-5</t>
  </si>
  <si>
    <t>2-6</t>
  </si>
  <si>
    <t>4-6</t>
  </si>
  <si>
    <t>1-2-3-4-6-7</t>
  </si>
  <si>
    <t>3-6</t>
  </si>
  <si>
    <t>i</t>
  </si>
  <si>
    <t>j</t>
  </si>
  <si>
    <r>
      <rPr>
        <sz val="12"/>
        <color rgb="FF070507"/>
        <rFont val="Calibri"/>
        <family val="2"/>
        <scheme val="minor"/>
      </rPr>
      <t>ACT</t>
    </r>
  </si>
  <si>
    <r>
      <rPr>
        <sz val="12"/>
        <color rgb="FF070507"/>
        <rFont val="Calibri"/>
        <family val="2"/>
        <scheme val="minor"/>
      </rPr>
      <t>DUR</t>
    </r>
  </si>
  <si>
    <t>5-10-20-40-65-75</t>
  </si>
  <si>
    <t>S</t>
  </si>
  <si>
    <r>
      <rPr>
        <sz val="12"/>
        <color rgb="FF1C1A1C"/>
        <rFont val="Calibri"/>
        <family val="2"/>
        <scheme val="minor"/>
      </rPr>
      <t>R</t>
    </r>
  </si>
  <si>
    <r>
      <rPr>
        <sz val="12"/>
        <color rgb="FF1C1A1C"/>
        <rFont val="Calibri"/>
        <family val="2"/>
        <scheme val="minor"/>
      </rPr>
      <t>A</t>
    </r>
  </si>
  <si>
    <r>
      <rPr>
        <sz val="12"/>
        <color rgb="FF1C1A1C"/>
        <rFont val="Calibri"/>
        <family val="2"/>
        <scheme val="minor"/>
      </rPr>
      <t>E</t>
    </r>
  </si>
  <si>
    <t>d1</t>
  </si>
  <si>
    <r>
      <rPr>
        <sz val="12"/>
        <color rgb="FF1C1A1C"/>
        <rFont val="Calibri"/>
        <family val="2"/>
        <scheme val="minor"/>
      </rPr>
      <t>G</t>
    </r>
  </si>
  <si>
    <r>
      <rPr>
        <sz val="12"/>
        <color rgb="FF1C1A1C"/>
        <rFont val="Calibri"/>
        <family val="2"/>
        <scheme val="minor"/>
      </rPr>
      <t>B</t>
    </r>
  </si>
  <si>
    <r>
      <rPr>
        <sz val="12"/>
        <color rgb="FF1C1A1C"/>
        <rFont val="Calibri"/>
        <family val="2"/>
        <scheme val="minor"/>
      </rPr>
      <t>d2</t>
    </r>
  </si>
  <si>
    <r>
      <rPr>
        <sz val="12"/>
        <color rgb="FF1C1A1C"/>
        <rFont val="Calibri"/>
        <family val="2"/>
        <scheme val="minor"/>
      </rPr>
      <t>L</t>
    </r>
  </si>
  <si>
    <r>
      <rPr>
        <sz val="12"/>
        <color rgb="FF1C1A1C"/>
        <rFont val="Calibri"/>
        <family val="2"/>
        <scheme val="minor"/>
      </rPr>
      <t>K</t>
    </r>
  </si>
  <si>
    <r>
      <rPr>
        <sz val="12"/>
        <color rgb="FF1C1A1C"/>
        <rFont val="Calibri"/>
        <family val="2"/>
        <scheme val="minor"/>
      </rPr>
      <t>d3</t>
    </r>
  </si>
  <si>
    <r>
      <rPr>
        <sz val="12"/>
        <color rgb="FF1C1A1C"/>
        <rFont val="Calibri"/>
        <family val="2"/>
        <scheme val="minor"/>
      </rPr>
      <t>H</t>
    </r>
  </si>
  <si>
    <r>
      <rPr>
        <sz val="12"/>
        <color rgb="FF1C1A1C"/>
        <rFont val="Calibri"/>
        <family val="2"/>
        <scheme val="minor"/>
      </rPr>
      <t>d4</t>
    </r>
  </si>
  <si>
    <r>
      <rPr>
        <sz val="12"/>
        <color rgb="FF1C1A1C"/>
        <rFont val="Calibri"/>
        <family val="2"/>
        <scheme val="minor"/>
      </rPr>
      <t>J</t>
    </r>
  </si>
  <si>
    <r>
      <rPr>
        <sz val="12"/>
        <color rgb="FF1C1A1C"/>
        <rFont val="Calibri"/>
        <family val="2"/>
        <scheme val="minor"/>
      </rPr>
      <t>M</t>
    </r>
  </si>
  <si>
    <t>d5</t>
  </si>
  <si>
    <r>
      <rPr>
        <sz val="12"/>
        <color rgb="FF070507"/>
        <rFont val="Calibri"/>
        <family val="2"/>
        <scheme val="minor"/>
      </rPr>
      <t>T</t>
    </r>
  </si>
  <si>
    <t>W</t>
  </si>
  <si>
    <r>
      <rPr>
        <sz val="12"/>
        <color rgb="FF1C1A1C"/>
        <rFont val="Calibri"/>
        <family val="2"/>
        <scheme val="minor"/>
      </rPr>
      <t>d6</t>
    </r>
  </si>
  <si>
    <t>X</t>
  </si>
  <si>
    <r>
      <rPr>
        <sz val="12"/>
        <color rgb="FF1C1A1C"/>
        <rFont val="Calibri"/>
        <family val="2"/>
        <scheme val="minor"/>
      </rPr>
      <t>N</t>
    </r>
  </si>
  <si>
    <t>V</t>
  </si>
  <si>
    <t>5</t>
  </si>
  <si>
    <t>10</t>
  </si>
  <si>
    <t>4</t>
  </si>
  <si>
    <t>15</t>
  </si>
  <si>
    <t>20</t>
  </si>
  <si>
    <t>9</t>
  </si>
  <si>
    <t>25</t>
  </si>
  <si>
    <t>6</t>
  </si>
  <si>
    <t>30</t>
  </si>
  <si>
    <t>35</t>
  </si>
  <si>
    <t>40</t>
  </si>
  <si>
    <t>45</t>
  </si>
  <si>
    <t>8</t>
  </si>
  <si>
    <t>50</t>
  </si>
  <si>
    <t>11</t>
  </si>
  <si>
    <t>55</t>
  </si>
  <si>
    <t>60</t>
  </si>
  <si>
    <t>65</t>
  </si>
  <si>
    <t>70</t>
  </si>
  <si>
    <t>13</t>
  </si>
  <si>
    <t>75</t>
  </si>
  <si>
    <t>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</si>
</sst>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;###0"/>
  </numFmts>
  <fonts count="8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1C1A1C"/>
      <name val="Calibri"/>
      <family val="2"/>
      <scheme val="minor"/>
    </font>
    <font>
      <sz val="12"/>
      <name val="Calibri"/>
      <family val="2"/>
      <scheme val="minor"/>
    </font>
    <font>
      <sz val="12"/>
      <color rgb="FF070507"/>
      <name val="Calibri"/>
      <family val="2"/>
      <scheme val="minor"/>
    </font>
    <font>
      <sz val="12"/>
      <color rgb="FF363636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5" borderId="0" xfId="0" applyFill="1"/>
    <xf numFmtId="49" fontId="0" fillId="0" borderId="0" xfId="0" applyNumberFormat="1"/>
    <xf numFmtId="0" fontId="0" fillId="0" borderId="0" xfId="0" applyAlignment="1">
      <alignment horizontal="center" vertical="center"/>
    </xf>
    <xf numFmtId="49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indent="2"/>
    </xf>
    <xf numFmtId="49" fontId="0" fillId="0" borderId="0" xfId="0" applyNumberFormat="1" applyAlignment="1">
      <alignment horizontal="left" vertical="center" indent="2"/>
    </xf>
    <xf numFmtId="49" fontId="0" fillId="0" borderId="0" xfId="0" applyNumberFormat="1" applyAlignment="1">
      <alignment wrapText="1"/>
    </xf>
    <xf numFmtId="0" fontId="3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5" borderId="2" xfId="0" applyNumberFormat="1" applyFill="1" applyBorder="1" applyAlignment="1">
      <alignment horizontal="center" vertical="center"/>
    </xf>
    <xf numFmtId="49" fontId="0" fillId="5" borderId="3" xfId="0" applyNumberForma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5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49" fontId="6" fillId="0" borderId="0" xfId="0" applyNumberFormat="1" applyFont="1" applyAlignment="1">
      <alignment horizontal="left"/>
    </xf>
    <xf numFmtId="49" fontId="7" fillId="3" borderId="1" xfId="0" applyNumberFormat="1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86E5F-0336-454B-ADB0-E4F1D425C88E}">
  <dimension ref="A1:O129"/>
  <sheetViews>
    <sheetView tabSelected="1" zoomScaleNormal="100" workbookViewId="0">
      <selection sqref="A1:I17"/>
    </sheetView>
  </sheetViews>
  <sheetFormatPr defaultRowHeight="15"/>
  <cols>
    <col min="1" max="1" width="3.28515625" style="2" bestFit="1" customWidth="1"/>
    <col min="2" max="2" width="6.42578125" style="2" bestFit="1" customWidth="1"/>
    <col min="3" max="3" width="5.140625" bestFit="1" customWidth="1"/>
    <col min="4" max="4" width="7.85546875" bestFit="1" customWidth="1"/>
    <col min="5" max="6" width="4.5703125" bestFit="1" customWidth="1"/>
    <col min="7" max="8" width="4.42578125" bestFit="1" customWidth="1"/>
    <col min="9" max="9" width="5.7109375" bestFit="1" customWidth="1"/>
    <col min="10" max="10" width="6.42578125" bestFit="1" customWidth="1"/>
    <col min="11" max="11" width="4.7109375" bestFit="1" customWidth="1"/>
    <col min="12" max="12" width="11.28515625" style="3" bestFit="1" customWidth="1"/>
    <col min="13" max="13" width="5.28515625" style="3" bestFit="1" customWidth="1"/>
    <col min="14" max="15" width="9.140625" customWidth="1"/>
  </cols>
  <sheetData>
    <row r="1" spans="1:13" ht="15.75">
      <c r="A1" s="31" t="s">
        <v>0</v>
      </c>
      <c r="B1" s="31" t="s">
        <v>1</v>
      </c>
      <c r="C1" s="32" t="s">
        <v>2</v>
      </c>
      <c r="D1" s="32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L1"/>
      <c r="M1"/>
    </row>
    <row r="2" spans="1:13" ht="15.75">
      <c r="A2" s="34">
        <v>1</v>
      </c>
      <c r="B2" s="35" t="s">
        <v>9</v>
      </c>
      <c r="C2" s="36">
        <v>0</v>
      </c>
      <c r="D2" s="37" t="s">
        <v>10</v>
      </c>
      <c r="E2" s="38">
        <v>0</v>
      </c>
      <c r="F2" s="38">
        <f>E2+C2</f>
        <v>0</v>
      </c>
      <c r="G2" s="38">
        <f>H2+C2</f>
        <v>0</v>
      </c>
      <c r="H2" s="38">
        <v>0</v>
      </c>
      <c r="I2" s="38">
        <v>0</v>
      </c>
      <c r="L2"/>
      <c r="M2"/>
    </row>
    <row r="3" spans="1:13" ht="15.75">
      <c r="A3" s="34">
        <v>2</v>
      </c>
      <c r="B3" s="35" t="s">
        <v>11</v>
      </c>
      <c r="C3" s="36">
        <v>6</v>
      </c>
      <c r="D3" s="36">
        <v>1</v>
      </c>
      <c r="E3" s="38">
        <v>0</v>
      </c>
      <c r="F3" s="38">
        <f t="shared" ref="F3:F17" si="0">E3+C3</f>
        <v>6</v>
      </c>
      <c r="G3" s="38">
        <f t="shared" ref="G3:G17" si="1">H3+C3</f>
        <v>7</v>
      </c>
      <c r="H3" s="38">
        <v>1</v>
      </c>
      <c r="I3" s="38">
        <v>1</v>
      </c>
      <c r="L3"/>
      <c r="M3"/>
    </row>
    <row r="4" spans="1:13" ht="15.75">
      <c r="A4" s="34">
        <v>3</v>
      </c>
      <c r="B4" s="35" t="s">
        <v>12</v>
      </c>
      <c r="C4" s="36">
        <v>3</v>
      </c>
      <c r="D4" s="36">
        <v>1</v>
      </c>
      <c r="E4" s="38">
        <v>0</v>
      </c>
      <c r="F4" s="38">
        <f t="shared" si="0"/>
        <v>3</v>
      </c>
      <c r="G4" s="38">
        <f t="shared" si="1"/>
        <v>3</v>
      </c>
      <c r="H4" s="38">
        <v>0</v>
      </c>
      <c r="I4" s="38">
        <v>0</v>
      </c>
      <c r="L4"/>
      <c r="M4"/>
    </row>
    <row r="5" spans="1:13" ht="15.75">
      <c r="A5" s="34">
        <v>4</v>
      </c>
      <c r="B5" s="35" t="s">
        <v>13</v>
      </c>
      <c r="C5" s="36">
        <v>4</v>
      </c>
      <c r="D5" s="36">
        <v>1</v>
      </c>
      <c r="E5" s="38">
        <v>0</v>
      </c>
      <c r="F5" s="38">
        <f t="shared" si="0"/>
        <v>4</v>
      </c>
      <c r="G5" s="38">
        <f t="shared" si="1"/>
        <v>4</v>
      </c>
      <c r="H5" s="38">
        <v>0</v>
      </c>
      <c r="I5" s="38">
        <v>0</v>
      </c>
      <c r="L5"/>
      <c r="M5"/>
    </row>
    <row r="6" spans="1:13" ht="15.75">
      <c r="A6" s="34">
        <v>5</v>
      </c>
      <c r="B6" s="35" t="s">
        <v>14</v>
      </c>
      <c r="C6" s="36">
        <v>4</v>
      </c>
      <c r="D6" s="36">
        <v>2</v>
      </c>
      <c r="E6" s="38">
        <v>6</v>
      </c>
      <c r="F6" s="38">
        <f t="shared" si="0"/>
        <v>10</v>
      </c>
      <c r="G6" s="38">
        <f t="shared" si="1"/>
        <v>11</v>
      </c>
      <c r="H6" s="38">
        <v>7</v>
      </c>
      <c r="I6" s="38">
        <v>1</v>
      </c>
      <c r="L6"/>
      <c r="M6"/>
    </row>
    <row r="7" spans="1:13" ht="15.75">
      <c r="A7" s="34">
        <v>6</v>
      </c>
      <c r="B7" s="35" t="s">
        <v>15</v>
      </c>
      <c r="C7" s="36">
        <v>7</v>
      </c>
      <c r="D7" s="36">
        <v>3</v>
      </c>
      <c r="E7" s="38">
        <v>3</v>
      </c>
      <c r="F7" s="38">
        <f t="shared" si="0"/>
        <v>10</v>
      </c>
      <c r="G7" s="38">
        <f t="shared" si="1"/>
        <v>10</v>
      </c>
      <c r="H7" s="38">
        <v>3</v>
      </c>
      <c r="I7" s="38">
        <v>0</v>
      </c>
      <c r="L7"/>
      <c r="M7"/>
    </row>
    <row r="8" spans="1:13" ht="15.75">
      <c r="A8" s="34">
        <v>7</v>
      </c>
      <c r="B8" s="35" t="s">
        <v>16</v>
      </c>
      <c r="C8" s="36">
        <v>4</v>
      </c>
      <c r="D8" s="36">
        <v>4</v>
      </c>
      <c r="E8" s="38">
        <v>4</v>
      </c>
      <c r="F8" s="38">
        <f t="shared" si="0"/>
        <v>8</v>
      </c>
      <c r="G8" s="38">
        <f t="shared" si="1"/>
        <v>12</v>
      </c>
      <c r="H8" s="38">
        <v>8</v>
      </c>
      <c r="I8" s="38">
        <v>4</v>
      </c>
      <c r="L8"/>
      <c r="M8"/>
    </row>
    <row r="9" spans="1:13" ht="15.75">
      <c r="A9" s="34">
        <v>8</v>
      </c>
      <c r="B9" s="35" t="s">
        <v>17</v>
      </c>
      <c r="C9" s="36">
        <v>6</v>
      </c>
      <c r="D9" s="36">
        <v>4</v>
      </c>
      <c r="E9" s="38">
        <v>4</v>
      </c>
      <c r="F9" s="38">
        <f t="shared" si="0"/>
        <v>10</v>
      </c>
      <c r="G9" s="38">
        <f t="shared" si="1"/>
        <v>10</v>
      </c>
      <c r="H9" s="38">
        <v>4</v>
      </c>
      <c r="I9" s="38">
        <v>0</v>
      </c>
      <c r="L9"/>
      <c r="M9"/>
    </row>
    <row r="10" spans="1:13" ht="15.75">
      <c r="A10" s="34">
        <v>9</v>
      </c>
      <c r="B10" s="35" t="s">
        <v>18</v>
      </c>
      <c r="C10" s="36">
        <v>3</v>
      </c>
      <c r="D10" s="36">
        <v>5</v>
      </c>
      <c r="E10" s="38">
        <v>10</v>
      </c>
      <c r="F10" s="38">
        <f t="shared" si="0"/>
        <v>13</v>
      </c>
      <c r="G10" s="38">
        <f t="shared" si="1"/>
        <v>14</v>
      </c>
      <c r="H10" s="38">
        <v>11</v>
      </c>
      <c r="I10" s="38">
        <v>1</v>
      </c>
      <c r="L10"/>
      <c r="M10"/>
    </row>
    <row r="11" spans="1:13" ht="15.75">
      <c r="A11" s="34">
        <v>10</v>
      </c>
      <c r="B11" s="35" t="s">
        <v>19</v>
      </c>
      <c r="C11" s="36">
        <v>5</v>
      </c>
      <c r="D11" s="36">
        <v>2</v>
      </c>
      <c r="E11" s="38">
        <v>6</v>
      </c>
      <c r="F11" s="38">
        <f t="shared" si="0"/>
        <v>11</v>
      </c>
      <c r="G11" s="38">
        <f t="shared" si="1"/>
        <v>14</v>
      </c>
      <c r="H11" s="38">
        <v>9</v>
      </c>
      <c r="I11" s="38">
        <v>3</v>
      </c>
      <c r="L11"/>
      <c r="M11"/>
    </row>
    <row r="12" spans="1:13" ht="15.75">
      <c r="A12" s="34">
        <v>11</v>
      </c>
      <c r="B12" s="35" t="s">
        <v>20</v>
      </c>
      <c r="C12" s="36">
        <v>4</v>
      </c>
      <c r="D12" s="36">
        <v>6</v>
      </c>
      <c r="E12" s="38">
        <v>10</v>
      </c>
      <c r="F12" s="38">
        <f t="shared" si="0"/>
        <v>14</v>
      </c>
      <c r="G12" s="38">
        <f t="shared" si="1"/>
        <v>14</v>
      </c>
      <c r="H12" s="38">
        <v>10</v>
      </c>
      <c r="I12" s="38">
        <v>0</v>
      </c>
      <c r="L12"/>
      <c r="M12"/>
    </row>
    <row r="13" spans="1:13" ht="15.75">
      <c r="A13" s="34">
        <v>12</v>
      </c>
      <c r="B13" s="35" t="s">
        <v>21</v>
      </c>
      <c r="C13" s="36">
        <v>3</v>
      </c>
      <c r="D13" s="36">
        <v>7</v>
      </c>
      <c r="E13" s="38">
        <v>8</v>
      </c>
      <c r="F13" s="38">
        <f t="shared" si="0"/>
        <v>11</v>
      </c>
      <c r="G13" s="38">
        <f t="shared" si="1"/>
        <v>15</v>
      </c>
      <c r="H13" s="38">
        <v>12</v>
      </c>
      <c r="I13" s="38">
        <v>4</v>
      </c>
      <c r="L13"/>
      <c r="M13"/>
    </row>
    <row r="14" spans="1:13" ht="15.75">
      <c r="A14" s="34">
        <v>13</v>
      </c>
      <c r="B14" s="35" t="s">
        <v>22</v>
      </c>
      <c r="C14" s="36">
        <v>5</v>
      </c>
      <c r="D14" s="36">
        <v>8</v>
      </c>
      <c r="E14" s="38">
        <v>10</v>
      </c>
      <c r="F14" s="38">
        <f t="shared" si="0"/>
        <v>15</v>
      </c>
      <c r="G14" s="38">
        <f t="shared" si="1"/>
        <v>15</v>
      </c>
      <c r="H14" s="38">
        <v>10</v>
      </c>
      <c r="I14" s="38">
        <v>0</v>
      </c>
      <c r="L14"/>
      <c r="M14"/>
    </row>
    <row r="15" spans="1:13" ht="15.75">
      <c r="A15" s="34">
        <v>14</v>
      </c>
      <c r="B15" s="35" t="s">
        <v>23</v>
      </c>
      <c r="C15" s="36">
        <v>6</v>
      </c>
      <c r="D15" s="36" t="s">
        <v>24</v>
      </c>
      <c r="E15" s="38">
        <v>14</v>
      </c>
      <c r="F15" s="38">
        <f t="shared" si="0"/>
        <v>20</v>
      </c>
      <c r="G15" s="38">
        <f t="shared" si="1"/>
        <v>20</v>
      </c>
      <c r="H15" s="38">
        <v>14</v>
      </c>
      <c r="I15" s="38">
        <v>0</v>
      </c>
      <c r="L15"/>
      <c r="M15"/>
    </row>
    <row r="16" spans="1:13" ht="15.75">
      <c r="A16" s="34">
        <v>15</v>
      </c>
      <c r="B16" s="35" t="s">
        <v>25</v>
      </c>
      <c r="C16" s="36">
        <v>5</v>
      </c>
      <c r="D16" s="36" t="s">
        <v>26</v>
      </c>
      <c r="E16" s="38">
        <v>15</v>
      </c>
      <c r="F16" s="38">
        <f t="shared" si="0"/>
        <v>20</v>
      </c>
      <c r="G16" s="38">
        <f t="shared" si="1"/>
        <v>20</v>
      </c>
      <c r="H16" s="38">
        <v>15</v>
      </c>
      <c r="I16" s="38">
        <v>0</v>
      </c>
      <c r="L16"/>
      <c r="M16"/>
    </row>
    <row r="17" spans="1:13" ht="15.75">
      <c r="A17" s="34">
        <v>16</v>
      </c>
      <c r="B17" s="35" t="s">
        <v>27</v>
      </c>
      <c r="C17" s="36">
        <v>0</v>
      </c>
      <c r="D17" s="36" t="s">
        <v>28</v>
      </c>
      <c r="E17" s="38">
        <v>20</v>
      </c>
      <c r="F17" s="38">
        <f t="shared" si="0"/>
        <v>20</v>
      </c>
      <c r="G17" s="38">
        <f t="shared" si="1"/>
        <v>20</v>
      </c>
      <c r="H17" s="38">
        <v>20</v>
      </c>
      <c r="I17" s="38">
        <v>0</v>
      </c>
      <c r="L17"/>
      <c r="M17"/>
    </row>
    <row r="19" spans="1:13">
      <c r="A19" s="2" t="s">
        <v>11</v>
      </c>
      <c r="B19" s="2">
        <v>2</v>
      </c>
      <c r="C19" t="s">
        <v>10</v>
      </c>
      <c r="D19" t="s">
        <v>11</v>
      </c>
    </row>
    <row r="20" spans="1:13">
      <c r="A20" s="2" t="s">
        <v>12</v>
      </c>
      <c r="B20" s="2">
        <v>3</v>
      </c>
      <c r="C20" t="s">
        <v>11</v>
      </c>
      <c r="D20" s="1"/>
      <c r="E20" t="s">
        <v>12</v>
      </c>
    </row>
    <row r="21" spans="1:13">
      <c r="A21" s="2" t="s">
        <v>13</v>
      </c>
      <c r="B21" s="2">
        <v>6</v>
      </c>
      <c r="C21" t="s">
        <v>11</v>
      </c>
      <c r="D21" s="1"/>
      <c r="E21" t="s">
        <v>13</v>
      </c>
    </row>
    <row r="22" spans="1:13">
      <c r="A22" s="2" t="s">
        <v>14</v>
      </c>
      <c r="B22" s="2">
        <v>5</v>
      </c>
      <c r="C22" t="s">
        <v>11</v>
      </c>
      <c r="D22" s="1"/>
      <c r="E22" t="s">
        <v>14</v>
      </c>
    </row>
    <row r="23" spans="1:13">
      <c r="A23" s="2" t="s">
        <v>15</v>
      </c>
      <c r="B23" s="2">
        <v>9</v>
      </c>
      <c r="C23" t="s">
        <v>12</v>
      </c>
      <c r="D23" s="1"/>
      <c r="E23" s="1"/>
      <c r="F23" t="s">
        <v>15</v>
      </c>
    </row>
    <row r="24" spans="1:13">
      <c r="A24" s="2" t="s">
        <v>16</v>
      </c>
      <c r="B24" s="2">
        <v>7</v>
      </c>
      <c r="C24" t="s">
        <v>29</v>
      </c>
      <c r="D24" s="1"/>
      <c r="E24" s="1"/>
      <c r="F24" t="s">
        <v>16</v>
      </c>
    </row>
    <row r="25" spans="1:13">
      <c r="A25" s="2" t="s">
        <v>17</v>
      </c>
      <c r="B25" s="2">
        <v>2</v>
      </c>
      <c r="C25" t="s">
        <v>13</v>
      </c>
      <c r="D25" s="1"/>
      <c r="E25" s="1"/>
      <c r="F25" t="s">
        <v>17</v>
      </c>
    </row>
    <row r="26" spans="1:13">
      <c r="A26" s="2" t="s">
        <v>18</v>
      </c>
      <c r="B26" s="2">
        <v>4</v>
      </c>
      <c r="C26" t="s">
        <v>14</v>
      </c>
      <c r="D26" s="1"/>
      <c r="E26" s="1"/>
      <c r="F26" t="s">
        <v>18</v>
      </c>
    </row>
    <row r="27" spans="1:13">
      <c r="A27" s="2" t="s">
        <v>20</v>
      </c>
      <c r="B27" s="2">
        <v>3</v>
      </c>
      <c r="C27" t="s">
        <v>30</v>
      </c>
      <c r="D27" s="1"/>
      <c r="E27" s="1"/>
      <c r="F27" s="1"/>
      <c r="G27" t="s">
        <v>20</v>
      </c>
    </row>
    <row r="28" spans="1:13">
      <c r="A28" s="2" t="s">
        <v>21</v>
      </c>
      <c r="B28" s="2">
        <v>5</v>
      </c>
      <c r="C28" t="s">
        <v>31</v>
      </c>
      <c r="D28" s="1"/>
      <c r="E28" s="1"/>
      <c r="F28" s="1"/>
      <c r="G28" t="s">
        <v>21</v>
      </c>
    </row>
    <row r="29" spans="1:13">
      <c r="A29" s="2" t="s">
        <v>22</v>
      </c>
      <c r="B29" s="2">
        <v>2</v>
      </c>
      <c r="C29" t="s">
        <v>32</v>
      </c>
      <c r="D29" s="1"/>
      <c r="E29" s="1"/>
      <c r="F29" s="1"/>
      <c r="G29" t="s">
        <v>22</v>
      </c>
    </row>
    <row r="30" spans="1:13">
      <c r="A30" s="2" t="s">
        <v>23</v>
      </c>
      <c r="B30" s="2">
        <v>7</v>
      </c>
      <c r="C30" t="s">
        <v>33</v>
      </c>
      <c r="D30" s="1"/>
      <c r="E30" s="1"/>
      <c r="F30" s="1"/>
      <c r="G30" s="1"/>
      <c r="H30" t="s">
        <v>23</v>
      </c>
    </row>
    <row r="31" spans="1:13">
      <c r="A31" s="2" t="s">
        <v>25</v>
      </c>
      <c r="B31" s="2">
        <v>4</v>
      </c>
      <c r="C31" t="s">
        <v>34</v>
      </c>
      <c r="D31" s="1"/>
      <c r="E31" s="1"/>
      <c r="F31" s="1"/>
      <c r="G31" s="1"/>
      <c r="H31" t="s">
        <v>25</v>
      </c>
    </row>
    <row r="32" spans="1:13">
      <c r="A32" s="2" t="s">
        <v>35</v>
      </c>
      <c r="B32" s="2">
        <v>2</v>
      </c>
      <c r="C32" t="s">
        <v>36</v>
      </c>
      <c r="D32" s="1"/>
      <c r="E32" s="1"/>
      <c r="F32" s="1"/>
      <c r="G32" s="1"/>
      <c r="H32" s="1"/>
      <c r="I32" t="s">
        <v>35</v>
      </c>
    </row>
    <row r="34" spans="1:14">
      <c r="L34" s="6" t="s">
        <v>37</v>
      </c>
      <c r="M34" s="6"/>
      <c r="N34" s="6"/>
    </row>
    <row r="35" spans="1:14">
      <c r="A35" s="6" t="s">
        <v>38</v>
      </c>
      <c r="B35" s="6" t="s">
        <v>2</v>
      </c>
      <c r="C35" s="3" t="s">
        <v>4</v>
      </c>
      <c r="D35" s="3" t="s">
        <v>5</v>
      </c>
      <c r="E35" s="3" t="s">
        <v>6</v>
      </c>
      <c r="F35" s="6" t="s">
        <v>7</v>
      </c>
      <c r="G35" s="3" t="s">
        <v>39</v>
      </c>
      <c r="H35" s="3" t="s">
        <v>40</v>
      </c>
      <c r="I35" s="3" t="s">
        <v>41</v>
      </c>
      <c r="J35" s="3" t="s">
        <v>42</v>
      </c>
      <c r="L35" s="4" t="s">
        <v>43</v>
      </c>
      <c r="M35" s="5" t="s">
        <v>44</v>
      </c>
    </row>
    <row r="36" spans="1:14">
      <c r="A36" s="4" t="s">
        <v>11</v>
      </c>
      <c r="B36" s="7">
        <v>2</v>
      </c>
      <c r="C36" s="7">
        <v>0</v>
      </c>
      <c r="D36" s="7">
        <v>2</v>
      </c>
      <c r="E36" s="7">
        <f>F38</f>
        <v>2</v>
      </c>
      <c r="F36" s="7">
        <f t="shared" ref="F36:F48" si="2">E36-B36</f>
        <v>0</v>
      </c>
      <c r="G36" s="7">
        <v>0</v>
      </c>
      <c r="H36" s="7">
        <f t="shared" ref="H36:H49" si="3">E36-D36</f>
        <v>0</v>
      </c>
      <c r="I36" s="7">
        <f>H36-G36</f>
        <v>0</v>
      </c>
      <c r="J36" s="7">
        <v>0</v>
      </c>
      <c r="L36" s="6" t="s">
        <v>45</v>
      </c>
      <c r="M36" s="3">
        <f>C37-D36</f>
        <v>0</v>
      </c>
    </row>
    <row r="37" spans="1:14">
      <c r="A37" s="6" t="s">
        <v>12</v>
      </c>
      <c r="B37" s="8">
        <v>3</v>
      </c>
      <c r="C37" s="8">
        <v>2</v>
      </c>
      <c r="D37" s="8">
        <v>5</v>
      </c>
      <c r="E37" s="8">
        <f>F40</f>
        <v>8</v>
      </c>
      <c r="F37" s="8">
        <f t="shared" si="2"/>
        <v>5</v>
      </c>
      <c r="G37" s="8">
        <v>0</v>
      </c>
      <c r="H37" s="8">
        <f t="shared" si="3"/>
        <v>3</v>
      </c>
      <c r="I37" s="8">
        <f t="shared" ref="I37:I49" si="4">H37-G37</f>
        <v>3</v>
      </c>
      <c r="J37" s="8">
        <f>C40-E36-B37</f>
        <v>0</v>
      </c>
      <c r="L37" s="6" t="s">
        <v>46</v>
      </c>
      <c r="M37" s="3">
        <f>C38-D36</f>
        <v>0</v>
      </c>
    </row>
    <row r="38" spans="1:14">
      <c r="A38" s="4" t="s">
        <v>13</v>
      </c>
      <c r="B38" s="7">
        <v>6</v>
      </c>
      <c r="C38" s="7">
        <v>2</v>
      </c>
      <c r="D38" s="7">
        <v>8</v>
      </c>
      <c r="E38" s="7">
        <f>F41</f>
        <v>8</v>
      </c>
      <c r="F38" s="7">
        <f t="shared" si="2"/>
        <v>2</v>
      </c>
      <c r="G38" s="7" t="s">
        <v>47</v>
      </c>
      <c r="H38" s="7">
        <f t="shared" si="3"/>
        <v>0</v>
      </c>
      <c r="I38" s="7">
        <f t="shared" si="4"/>
        <v>0</v>
      </c>
      <c r="J38" s="7">
        <f>C41-E36-B38</f>
        <v>0</v>
      </c>
      <c r="L38" s="6" t="s">
        <v>48</v>
      </c>
      <c r="M38" s="3">
        <f>C39-D36</f>
        <v>0</v>
      </c>
    </row>
    <row r="39" spans="1:14">
      <c r="A39" s="6" t="s">
        <v>14</v>
      </c>
      <c r="B39" s="8">
        <v>5</v>
      </c>
      <c r="C39" s="8">
        <v>2</v>
      </c>
      <c r="D39" s="8">
        <v>7</v>
      </c>
      <c r="E39" s="8">
        <f>F43</f>
        <v>11</v>
      </c>
      <c r="F39" s="8">
        <f t="shared" si="2"/>
        <v>6</v>
      </c>
      <c r="G39" s="8" t="s">
        <v>47</v>
      </c>
      <c r="H39" s="8">
        <f t="shared" si="3"/>
        <v>4</v>
      </c>
      <c r="I39" s="8">
        <f t="shared" si="4"/>
        <v>4</v>
      </c>
      <c r="J39" s="8">
        <f>C43-E36-B39</f>
        <v>0</v>
      </c>
      <c r="L39" s="6" t="s">
        <v>49</v>
      </c>
      <c r="M39" s="3">
        <f>C40-D37</f>
        <v>0</v>
      </c>
    </row>
    <row r="40" spans="1:14">
      <c r="A40" s="4" t="s">
        <v>15</v>
      </c>
      <c r="B40" s="7">
        <v>9</v>
      </c>
      <c r="C40" s="7">
        <v>5</v>
      </c>
      <c r="D40" s="7">
        <v>14</v>
      </c>
      <c r="E40" s="7">
        <f>F44</f>
        <v>17</v>
      </c>
      <c r="F40" s="7">
        <f t="shared" si="2"/>
        <v>8</v>
      </c>
      <c r="G40" s="7" t="s">
        <v>50</v>
      </c>
      <c r="H40" s="7">
        <f t="shared" si="3"/>
        <v>3</v>
      </c>
      <c r="I40" s="7">
        <f t="shared" si="4"/>
        <v>2</v>
      </c>
      <c r="J40" s="7">
        <f>C44-E37-B40</f>
        <v>-2</v>
      </c>
      <c r="L40" s="6" t="s">
        <v>51</v>
      </c>
      <c r="M40" s="3">
        <f>C41-D37</f>
        <v>3</v>
      </c>
    </row>
    <row r="41" spans="1:14">
      <c r="A41" s="6" t="s">
        <v>16</v>
      </c>
      <c r="B41" s="8">
        <v>7</v>
      </c>
      <c r="C41" s="8">
        <v>8</v>
      </c>
      <c r="D41" s="8">
        <v>15</v>
      </c>
      <c r="E41" s="8">
        <f>F45</f>
        <v>15</v>
      </c>
      <c r="F41" s="8">
        <f t="shared" si="2"/>
        <v>8</v>
      </c>
      <c r="G41" s="8" t="s">
        <v>47</v>
      </c>
      <c r="H41" s="8">
        <f t="shared" si="3"/>
        <v>0</v>
      </c>
      <c r="I41" s="8">
        <f t="shared" si="4"/>
        <v>0</v>
      </c>
      <c r="J41" s="8">
        <f>C44-E38-B41</f>
        <v>0</v>
      </c>
      <c r="L41" s="6" t="s">
        <v>52</v>
      </c>
      <c r="M41" s="3">
        <f>C41-D38</f>
        <v>0</v>
      </c>
    </row>
    <row r="42" spans="1:14">
      <c r="A42" s="4" t="s">
        <v>17</v>
      </c>
      <c r="B42" s="7">
        <v>2</v>
      </c>
      <c r="C42" s="7">
        <v>8</v>
      </c>
      <c r="D42" s="7">
        <v>10</v>
      </c>
      <c r="E42" s="7">
        <f>F45</f>
        <v>15</v>
      </c>
      <c r="F42" s="7">
        <f t="shared" si="2"/>
        <v>13</v>
      </c>
      <c r="G42" s="7" t="s">
        <v>50</v>
      </c>
      <c r="H42" s="7">
        <f t="shared" si="3"/>
        <v>5</v>
      </c>
      <c r="I42" s="7">
        <f t="shared" si="4"/>
        <v>4</v>
      </c>
      <c r="J42" s="7">
        <f>C46-E38-B42</f>
        <v>1</v>
      </c>
      <c r="L42" s="6" t="s">
        <v>53</v>
      </c>
      <c r="M42" s="3">
        <f>C42-D38</f>
        <v>0</v>
      </c>
    </row>
    <row r="43" spans="1:14">
      <c r="A43" s="6" t="s">
        <v>18</v>
      </c>
      <c r="B43" s="8">
        <v>4</v>
      </c>
      <c r="C43" s="8">
        <v>7</v>
      </c>
      <c r="D43" s="8">
        <v>11</v>
      </c>
      <c r="E43" s="8">
        <f>F45</f>
        <v>15</v>
      </c>
      <c r="F43" s="8">
        <f t="shared" si="2"/>
        <v>11</v>
      </c>
      <c r="G43" s="8" t="s">
        <v>47</v>
      </c>
      <c r="H43" s="8">
        <f t="shared" si="3"/>
        <v>4</v>
      </c>
      <c r="I43" s="8">
        <f t="shared" si="4"/>
        <v>4</v>
      </c>
      <c r="J43" s="8">
        <f>C46-E39-B43</f>
        <v>-4</v>
      </c>
      <c r="L43" s="6" t="s">
        <v>54</v>
      </c>
      <c r="M43" s="3">
        <f>C43-D39</f>
        <v>0</v>
      </c>
    </row>
    <row r="44" spans="1:14">
      <c r="A44" s="4" t="s">
        <v>20</v>
      </c>
      <c r="B44" s="7">
        <v>3</v>
      </c>
      <c r="C44" s="7">
        <v>15</v>
      </c>
      <c r="D44" s="7">
        <v>18</v>
      </c>
      <c r="E44" s="7">
        <f>F47</f>
        <v>20</v>
      </c>
      <c r="F44" s="7">
        <f t="shared" si="2"/>
        <v>17</v>
      </c>
      <c r="G44" s="7" t="s">
        <v>55</v>
      </c>
      <c r="H44" s="7">
        <f t="shared" si="3"/>
        <v>2</v>
      </c>
      <c r="I44" s="7">
        <f t="shared" si="4"/>
        <v>0</v>
      </c>
      <c r="J44" s="7">
        <f>C47-E41-B44</f>
        <v>2</v>
      </c>
      <c r="L44" s="6" t="s">
        <v>56</v>
      </c>
      <c r="M44" s="3">
        <f>C44-D40</f>
        <v>1</v>
      </c>
    </row>
    <row r="45" spans="1:14">
      <c r="A45" s="6" t="s">
        <v>21</v>
      </c>
      <c r="B45" s="8">
        <v>5</v>
      </c>
      <c r="C45" s="8">
        <v>15</v>
      </c>
      <c r="D45" s="8">
        <v>20</v>
      </c>
      <c r="E45" s="8">
        <f>F47</f>
        <v>20</v>
      </c>
      <c r="F45" s="8">
        <f t="shared" si="2"/>
        <v>15</v>
      </c>
      <c r="G45" s="8" t="s">
        <v>47</v>
      </c>
      <c r="H45" s="8">
        <f t="shared" si="3"/>
        <v>0</v>
      </c>
      <c r="I45" s="8">
        <f t="shared" si="4"/>
        <v>0</v>
      </c>
      <c r="J45" s="8">
        <f>C47-E43-B45</f>
        <v>0</v>
      </c>
      <c r="L45" s="6" t="s">
        <v>57</v>
      </c>
      <c r="M45" s="3">
        <f>C44-D41</f>
        <v>0</v>
      </c>
    </row>
    <row r="46" spans="1:14">
      <c r="A46" s="4" t="s">
        <v>22</v>
      </c>
      <c r="B46" s="7">
        <v>2</v>
      </c>
      <c r="C46" s="7">
        <v>11</v>
      </c>
      <c r="D46" s="7">
        <v>13</v>
      </c>
      <c r="E46" s="7">
        <f>F47</f>
        <v>20</v>
      </c>
      <c r="F46" s="7">
        <f t="shared" si="2"/>
        <v>18</v>
      </c>
      <c r="G46" s="7" t="s">
        <v>58</v>
      </c>
      <c r="H46" s="7">
        <f t="shared" si="3"/>
        <v>7</v>
      </c>
      <c r="I46" s="7">
        <f t="shared" si="4"/>
        <v>0</v>
      </c>
      <c r="J46" s="7">
        <f>C47-E43-B46</f>
        <v>3</v>
      </c>
      <c r="L46" s="6" t="s">
        <v>59</v>
      </c>
      <c r="M46" s="3">
        <f>C44-D42</f>
        <v>5</v>
      </c>
    </row>
    <row r="47" spans="1:14">
      <c r="A47" s="6" t="s">
        <v>23</v>
      </c>
      <c r="B47" s="8">
        <v>7</v>
      </c>
      <c r="C47" s="8">
        <v>20</v>
      </c>
      <c r="D47" s="8">
        <v>27</v>
      </c>
      <c r="E47" s="8">
        <v>27</v>
      </c>
      <c r="F47" s="8">
        <f t="shared" si="2"/>
        <v>20</v>
      </c>
      <c r="G47" s="8" t="s">
        <v>47</v>
      </c>
      <c r="H47" s="8">
        <f t="shared" si="3"/>
        <v>0</v>
      </c>
      <c r="I47" s="8">
        <f t="shared" si="4"/>
        <v>0</v>
      </c>
      <c r="J47" s="8">
        <f>C49-E46-B47</f>
        <v>0</v>
      </c>
      <c r="L47" s="6" t="s">
        <v>60</v>
      </c>
      <c r="M47" s="3">
        <f>C45-D41</f>
        <v>0</v>
      </c>
    </row>
    <row r="48" spans="1:14">
      <c r="A48" s="4" t="s">
        <v>25</v>
      </c>
      <c r="B48" s="7">
        <v>4</v>
      </c>
      <c r="C48" s="7">
        <v>20</v>
      </c>
      <c r="D48" s="7">
        <v>24</v>
      </c>
      <c r="E48" s="7">
        <v>27</v>
      </c>
      <c r="F48" s="7">
        <f t="shared" si="2"/>
        <v>23</v>
      </c>
      <c r="G48" s="7" t="s">
        <v>61</v>
      </c>
      <c r="H48" s="7">
        <f t="shared" si="3"/>
        <v>3</v>
      </c>
      <c r="I48" s="7">
        <f t="shared" si="4"/>
        <v>0</v>
      </c>
      <c r="J48" s="7">
        <f>C49-E46-B48</f>
        <v>3</v>
      </c>
      <c r="L48" s="6" t="s">
        <v>62</v>
      </c>
      <c r="M48" s="3">
        <f>C45-D42</f>
        <v>5</v>
      </c>
    </row>
    <row r="49" spans="1:13">
      <c r="A49" s="6" t="s">
        <v>35</v>
      </c>
      <c r="B49" s="8">
        <v>2</v>
      </c>
      <c r="C49" s="8">
        <v>27</v>
      </c>
      <c r="D49" s="8">
        <v>29</v>
      </c>
      <c r="E49" s="8">
        <v>29</v>
      </c>
      <c r="F49" s="8">
        <f>E49-B49</f>
        <v>27</v>
      </c>
      <c r="G49" s="8">
        <v>0</v>
      </c>
      <c r="H49" s="8">
        <f t="shared" si="3"/>
        <v>0</v>
      </c>
      <c r="I49" s="8">
        <f t="shared" si="4"/>
        <v>0</v>
      </c>
      <c r="J49" s="8">
        <v>0</v>
      </c>
      <c r="L49" s="6" t="s">
        <v>63</v>
      </c>
      <c r="M49" s="3">
        <f>C45-D43</f>
        <v>4</v>
      </c>
    </row>
    <row r="50" spans="1:13">
      <c r="L50" s="6" t="s">
        <v>64</v>
      </c>
      <c r="M50" s="3">
        <f>C46-D42</f>
        <v>1</v>
      </c>
    </row>
    <row r="51" spans="1:13">
      <c r="L51" s="6" t="s">
        <v>65</v>
      </c>
      <c r="M51" s="3">
        <f>C46-D43</f>
        <v>0</v>
      </c>
    </row>
    <row r="52" spans="1:13">
      <c r="L52" s="6" t="s">
        <v>66</v>
      </c>
      <c r="M52" s="3">
        <f>C47-D44</f>
        <v>2</v>
      </c>
    </row>
    <row r="53" spans="1:13">
      <c r="L53" s="6" t="s">
        <v>67</v>
      </c>
      <c r="M53" s="3">
        <f>C47-D45</f>
        <v>0</v>
      </c>
    </row>
    <row r="54" spans="1:13">
      <c r="L54" s="6" t="s">
        <v>68</v>
      </c>
      <c r="M54" s="3">
        <f>C48-D45</f>
        <v>0</v>
      </c>
    </row>
    <row r="55" spans="1:13">
      <c r="L55" s="6" t="s">
        <v>69</v>
      </c>
      <c r="M55" s="3">
        <f>C47-D46</f>
        <v>7</v>
      </c>
    </row>
    <row r="56" spans="1:13">
      <c r="L56" s="6" t="s">
        <v>70</v>
      </c>
      <c r="M56" s="3">
        <f>C48-D46</f>
        <v>7</v>
      </c>
    </row>
    <row r="57" spans="1:13">
      <c r="L57" s="6" t="s">
        <v>71</v>
      </c>
      <c r="M57" s="3">
        <f>C49-D47</f>
        <v>0</v>
      </c>
    </row>
    <row r="58" spans="1:13">
      <c r="L58" s="6" t="s">
        <v>72</v>
      </c>
      <c r="M58" s="3">
        <f>C49-D48</f>
        <v>3</v>
      </c>
    </row>
    <row r="60" spans="1:13">
      <c r="A60" s="9" t="s">
        <v>73</v>
      </c>
      <c r="B60" s="9" t="s">
        <v>4</v>
      </c>
      <c r="D60" s="6" t="s">
        <v>74</v>
      </c>
      <c r="E60" s="6" t="s">
        <v>2</v>
      </c>
      <c r="F60" s="3" t="s">
        <v>4</v>
      </c>
      <c r="G60" s="6" t="s">
        <v>5</v>
      </c>
      <c r="H60" s="6" t="s">
        <v>6</v>
      </c>
      <c r="I60" s="6" t="s">
        <v>7</v>
      </c>
      <c r="J60" s="6" t="s">
        <v>39</v>
      </c>
      <c r="K60" s="6" t="s">
        <v>40</v>
      </c>
      <c r="L60" s="6" t="s">
        <v>41</v>
      </c>
      <c r="M60" s="6" t="s">
        <v>42</v>
      </c>
    </row>
    <row r="61" spans="1:13">
      <c r="A61" s="9">
        <v>1</v>
      </c>
      <c r="B61" s="3">
        <v>0</v>
      </c>
      <c r="D61" s="4" t="s">
        <v>75</v>
      </c>
      <c r="E61" s="7">
        <v>3</v>
      </c>
      <c r="F61" s="7">
        <v>0</v>
      </c>
      <c r="G61" s="7">
        <f>F61+E61</f>
        <v>3</v>
      </c>
      <c r="H61" s="7">
        <f>I65</f>
        <v>4</v>
      </c>
      <c r="I61" s="7">
        <f t="shared" ref="I61:I72" si="5">H61-E61</f>
        <v>1</v>
      </c>
      <c r="J61" s="7">
        <v>0</v>
      </c>
      <c r="K61" s="7">
        <f>H61-G61</f>
        <v>1</v>
      </c>
      <c r="L61" s="7">
        <f>K61-J61</f>
        <v>1</v>
      </c>
      <c r="M61" s="7">
        <v>0</v>
      </c>
    </row>
    <row r="62" spans="1:13">
      <c r="A62" s="9">
        <v>2</v>
      </c>
      <c r="B62" s="3">
        <v>3</v>
      </c>
      <c r="D62" s="6" t="s">
        <v>76</v>
      </c>
      <c r="E62" s="8">
        <v>1</v>
      </c>
      <c r="F62" s="8">
        <v>0</v>
      </c>
      <c r="G62" s="8">
        <f t="shared" ref="G62:G73" si="6">F62+E62</f>
        <v>1</v>
      </c>
      <c r="H62" s="8">
        <f>I67</f>
        <v>12</v>
      </c>
      <c r="I62" s="8">
        <f t="shared" si="5"/>
        <v>11</v>
      </c>
      <c r="J62" s="8">
        <v>10</v>
      </c>
      <c r="K62" s="8">
        <f t="shared" ref="K62:K73" si="7">H62-G62</f>
        <v>11</v>
      </c>
      <c r="L62" s="8">
        <f t="shared" ref="L62:L73" si="8">K62-J62</f>
        <v>1</v>
      </c>
      <c r="M62" s="8">
        <v>0</v>
      </c>
    </row>
    <row r="63" spans="1:13">
      <c r="A63" s="9">
        <v>3</v>
      </c>
      <c r="B63" s="3">
        <v>11</v>
      </c>
      <c r="D63" s="4" t="s">
        <v>77</v>
      </c>
      <c r="E63" s="7">
        <v>7</v>
      </c>
      <c r="F63" s="7">
        <v>0</v>
      </c>
      <c r="G63" s="7">
        <f t="shared" si="6"/>
        <v>7</v>
      </c>
      <c r="H63" s="7">
        <f>B66</f>
        <v>30</v>
      </c>
      <c r="I63" s="7">
        <f t="shared" si="5"/>
        <v>23</v>
      </c>
      <c r="J63" s="7">
        <v>23</v>
      </c>
      <c r="K63" s="7">
        <f t="shared" si="7"/>
        <v>23</v>
      </c>
      <c r="L63" s="7">
        <f t="shared" si="8"/>
        <v>0</v>
      </c>
      <c r="M63" s="7">
        <v>0</v>
      </c>
    </row>
    <row r="64" spans="1:13">
      <c r="A64" s="9">
        <v>4</v>
      </c>
      <c r="B64" s="3">
        <v>15</v>
      </c>
      <c r="D64" s="6" t="s">
        <v>78</v>
      </c>
      <c r="E64" s="8">
        <v>15</v>
      </c>
      <c r="F64" s="8">
        <v>0</v>
      </c>
      <c r="G64" s="8">
        <f t="shared" si="6"/>
        <v>15</v>
      </c>
      <c r="H64" s="8">
        <f>B64</f>
        <v>15</v>
      </c>
      <c r="I64" s="8">
        <f t="shared" si="5"/>
        <v>0</v>
      </c>
      <c r="J64" s="8">
        <v>0</v>
      </c>
      <c r="K64" s="8">
        <f t="shared" si="7"/>
        <v>0</v>
      </c>
      <c r="L64" s="8">
        <f t="shared" si="8"/>
        <v>0</v>
      </c>
      <c r="M64" s="8">
        <v>0</v>
      </c>
    </row>
    <row r="65" spans="1:13">
      <c r="A65" s="9">
        <v>5</v>
      </c>
      <c r="B65" s="3">
        <v>25</v>
      </c>
      <c r="D65" s="4" t="s">
        <v>79</v>
      </c>
      <c r="E65" s="7">
        <v>8</v>
      </c>
      <c r="F65" s="7">
        <f>G61</f>
        <v>3</v>
      </c>
      <c r="G65" s="7">
        <f t="shared" si="6"/>
        <v>11</v>
      </c>
      <c r="H65" s="7">
        <f>I67</f>
        <v>12</v>
      </c>
      <c r="I65" s="7">
        <f t="shared" si="5"/>
        <v>4</v>
      </c>
      <c r="J65" s="7">
        <v>0</v>
      </c>
      <c r="K65" s="7">
        <f t="shared" si="7"/>
        <v>1</v>
      </c>
      <c r="L65" s="7">
        <f t="shared" si="8"/>
        <v>1</v>
      </c>
      <c r="M65" s="7">
        <v>0</v>
      </c>
    </row>
    <row r="66" spans="1:13">
      <c r="A66" s="9">
        <v>6</v>
      </c>
      <c r="B66" s="3">
        <v>30</v>
      </c>
      <c r="D66" s="6" t="s">
        <v>80</v>
      </c>
      <c r="E66" s="8">
        <v>10</v>
      </c>
      <c r="F66" s="8">
        <f>G61</f>
        <v>3</v>
      </c>
      <c r="G66" s="8">
        <f t="shared" si="6"/>
        <v>13</v>
      </c>
      <c r="H66" s="8">
        <f>B65</f>
        <v>25</v>
      </c>
      <c r="I66" s="8">
        <f t="shared" si="5"/>
        <v>15</v>
      </c>
      <c r="J66" s="8">
        <v>12</v>
      </c>
      <c r="K66" s="8">
        <f t="shared" si="7"/>
        <v>12</v>
      </c>
      <c r="L66" s="8">
        <f t="shared" si="8"/>
        <v>0</v>
      </c>
      <c r="M66" s="8">
        <v>0</v>
      </c>
    </row>
    <row r="67" spans="1:13">
      <c r="A67" s="9">
        <v>7</v>
      </c>
      <c r="B67" s="3">
        <v>37</v>
      </c>
      <c r="D67" s="4" t="s">
        <v>81</v>
      </c>
      <c r="E67" s="7">
        <v>3</v>
      </c>
      <c r="F67" s="7">
        <f>G65</f>
        <v>11</v>
      </c>
      <c r="G67" s="7">
        <f t="shared" si="6"/>
        <v>14</v>
      </c>
      <c r="H67" s="7">
        <f>B64</f>
        <v>15</v>
      </c>
      <c r="I67" s="7">
        <f t="shared" si="5"/>
        <v>12</v>
      </c>
      <c r="J67" s="7">
        <f>G64-G67</f>
        <v>1</v>
      </c>
      <c r="K67" s="7">
        <f t="shared" si="7"/>
        <v>1</v>
      </c>
      <c r="L67" s="7">
        <f t="shared" si="8"/>
        <v>0</v>
      </c>
      <c r="M67" s="7">
        <v>0</v>
      </c>
    </row>
    <row r="68" spans="1:13">
      <c r="A68"/>
      <c r="B68" s="3"/>
      <c r="D68" s="6" t="s">
        <v>82</v>
      </c>
      <c r="E68" s="8">
        <v>10</v>
      </c>
      <c r="F68" s="8">
        <f>G65</f>
        <v>11</v>
      </c>
      <c r="G68" s="8">
        <f t="shared" si="6"/>
        <v>21</v>
      </c>
      <c r="H68" s="8">
        <f>B67</f>
        <v>37</v>
      </c>
      <c r="I68" s="8">
        <f t="shared" si="5"/>
        <v>27</v>
      </c>
      <c r="J68" s="8">
        <f>G72-G68</f>
        <v>16</v>
      </c>
      <c r="K68" s="8">
        <f t="shared" si="7"/>
        <v>16</v>
      </c>
      <c r="L68" s="8">
        <f t="shared" si="8"/>
        <v>0</v>
      </c>
      <c r="M68" s="8">
        <v>0</v>
      </c>
    </row>
    <row r="69" spans="1:13">
      <c r="A69"/>
      <c r="B69" s="10" t="s">
        <v>83</v>
      </c>
      <c r="D69" s="4" t="s">
        <v>84</v>
      </c>
      <c r="E69" s="7">
        <v>10</v>
      </c>
      <c r="F69" s="7">
        <f>G64</f>
        <v>15</v>
      </c>
      <c r="G69" s="7">
        <f>F69+E69</f>
        <v>25</v>
      </c>
      <c r="H69" s="7">
        <f>B65</f>
        <v>25</v>
      </c>
      <c r="I69" s="7">
        <f>H69-E69</f>
        <v>15</v>
      </c>
      <c r="J69" s="7">
        <f>F69-H64</f>
        <v>0</v>
      </c>
      <c r="K69" s="7">
        <f>H69-G69</f>
        <v>0</v>
      </c>
      <c r="L69" s="7">
        <f>K69-J69</f>
        <v>0</v>
      </c>
      <c r="M69" s="7">
        <v>0</v>
      </c>
    </row>
    <row r="70" spans="1:13">
      <c r="A70"/>
      <c r="B70" s="10" t="s">
        <v>85</v>
      </c>
      <c r="D70" s="6" t="s">
        <v>86</v>
      </c>
      <c r="E70" s="8">
        <v>22</v>
      </c>
      <c r="F70" s="8">
        <f>G64</f>
        <v>15</v>
      </c>
      <c r="G70" s="8">
        <f>F70+E70</f>
        <v>37</v>
      </c>
      <c r="H70" s="8">
        <f>B67</f>
        <v>37</v>
      </c>
      <c r="I70" s="8">
        <f>H70-E70</f>
        <v>15</v>
      </c>
      <c r="J70" s="8">
        <f>F70-G64</f>
        <v>0</v>
      </c>
      <c r="K70" s="8">
        <f>H70-G70</f>
        <v>0</v>
      </c>
      <c r="L70" s="8">
        <f>K70-J70</f>
        <v>0</v>
      </c>
      <c r="M70" s="8">
        <v>0</v>
      </c>
    </row>
    <row r="71" spans="1:13">
      <c r="A71"/>
      <c r="B71" s="11" t="s">
        <v>87</v>
      </c>
      <c r="D71" s="4" t="s">
        <v>88</v>
      </c>
      <c r="E71" s="7">
        <v>5</v>
      </c>
      <c r="F71" s="7">
        <f>G69</f>
        <v>25</v>
      </c>
      <c r="G71" s="7">
        <f t="shared" si="6"/>
        <v>30</v>
      </c>
      <c r="H71" s="7">
        <f>B66</f>
        <v>30</v>
      </c>
      <c r="I71" s="7">
        <f t="shared" si="5"/>
        <v>25</v>
      </c>
      <c r="J71" s="7">
        <f>F71-G69</f>
        <v>0</v>
      </c>
      <c r="K71" s="7">
        <f t="shared" si="7"/>
        <v>0</v>
      </c>
      <c r="L71" s="7">
        <f t="shared" si="8"/>
        <v>0</v>
      </c>
      <c r="M71" s="7">
        <v>0</v>
      </c>
    </row>
    <row r="72" spans="1:13">
      <c r="A72"/>
      <c r="B72" s="3"/>
      <c r="D72" s="6" t="s">
        <v>89</v>
      </c>
      <c r="E72" s="8">
        <v>12</v>
      </c>
      <c r="F72" s="8">
        <f>G69</f>
        <v>25</v>
      </c>
      <c r="G72" s="8">
        <f t="shared" si="6"/>
        <v>37</v>
      </c>
      <c r="H72" s="8">
        <f>B67</f>
        <v>37</v>
      </c>
      <c r="I72" s="8">
        <f t="shared" si="5"/>
        <v>25</v>
      </c>
      <c r="J72" s="8">
        <f>F72-G69</f>
        <v>0</v>
      </c>
      <c r="K72" s="8">
        <f t="shared" si="7"/>
        <v>0</v>
      </c>
      <c r="L72" s="8">
        <f t="shared" si="8"/>
        <v>0</v>
      </c>
      <c r="M72" s="8">
        <v>0</v>
      </c>
    </row>
    <row r="73" spans="1:13">
      <c r="A73"/>
      <c r="B73" s="3"/>
      <c r="D73" s="4" t="s">
        <v>90</v>
      </c>
      <c r="E73" s="7">
        <v>7</v>
      </c>
      <c r="F73" s="7">
        <f>G71</f>
        <v>30</v>
      </c>
      <c r="G73" s="7">
        <f t="shared" si="6"/>
        <v>37</v>
      </c>
      <c r="H73" s="7">
        <f>B67</f>
        <v>37</v>
      </c>
      <c r="I73" s="7">
        <f>H73-E73</f>
        <v>30</v>
      </c>
      <c r="J73" s="7">
        <f>F73-G71</f>
        <v>0</v>
      </c>
      <c r="K73" s="7">
        <f t="shared" si="7"/>
        <v>0</v>
      </c>
      <c r="L73" s="7">
        <f t="shared" si="8"/>
        <v>0</v>
      </c>
      <c r="M73" s="7">
        <v>0</v>
      </c>
    </row>
    <row r="74" spans="1:13">
      <c r="E74" s="3"/>
    </row>
    <row r="75" spans="1:13">
      <c r="A75" t="s">
        <v>91</v>
      </c>
      <c r="B75" t="s">
        <v>4</v>
      </c>
      <c r="D75" s="6" t="s">
        <v>74</v>
      </c>
      <c r="E75" s="6" t="s">
        <v>92</v>
      </c>
      <c r="F75" s="6" t="s">
        <v>4</v>
      </c>
      <c r="G75" s="6" t="s">
        <v>5</v>
      </c>
      <c r="H75" s="6" t="s">
        <v>6</v>
      </c>
      <c r="I75" s="6" t="s">
        <v>7</v>
      </c>
      <c r="J75" s="6" t="s">
        <v>39</v>
      </c>
      <c r="K75" s="6" t="s">
        <v>40</v>
      </c>
      <c r="L75" s="6" t="s">
        <v>41</v>
      </c>
      <c r="M75" s="6" t="s">
        <v>42</v>
      </c>
    </row>
    <row r="76" spans="1:13">
      <c r="A76" s="3">
        <v>1</v>
      </c>
      <c r="B76" s="3">
        <v>0</v>
      </c>
      <c r="D76" s="4" t="s">
        <v>75</v>
      </c>
      <c r="E76" s="7">
        <v>10</v>
      </c>
      <c r="F76" s="7">
        <v>0</v>
      </c>
      <c r="G76" s="7">
        <f>F76+E76</f>
        <v>10</v>
      </c>
      <c r="H76" s="7">
        <f>I81</f>
        <v>10</v>
      </c>
      <c r="I76" s="7">
        <f>H76-E76</f>
        <v>0</v>
      </c>
      <c r="J76" s="7">
        <f>B77-G76</f>
        <v>0</v>
      </c>
      <c r="K76" s="7">
        <f>H76-G76</f>
        <v>0</v>
      </c>
      <c r="L76" s="7">
        <f>K76-J76</f>
        <v>0</v>
      </c>
      <c r="M76" s="7" t="str">
        <f>IF(B77-H76-E76&lt;0, "0", B77-H76-E76)</f>
        <v>0</v>
      </c>
    </row>
    <row r="77" spans="1:13">
      <c r="A77" s="3">
        <v>2</v>
      </c>
      <c r="B77" s="3">
        <v>10</v>
      </c>
      <c r="D77" s="6" t="s">
        <v>93</v>
      </c>
      <c r="E77" s="8">
        <v>5</v>
      </c>
      <c r="F77" s="8">
        <v>0</v>
      </c>
      <c r="G77" s="8">
        <f t="shared" ref="G77:G88" si="9">F77+E77</f>
        <v>5</v>
      </c>
      <c r="H77" s="8">
        <f>I86</f>
        <v>20</v>
      </c>
      <c r="I77" s="8">
        <f t="shared" ref="I77:I88" si="10">H77-E77</f>
        <v>15</v>
      </c>
      <c r="J77" s="8">
        <f>B80-G77</f>
        <v>13</v>
      </c>
      <c r="K77" s="8">
        <f t="shared" ref="K77:K88" si="11">H77-G77</f>
        <v>15</v>
      </c>
      <c r="L77" s="8">
        <f t="shared" ref="L77:L88" si="12">K77-J77</f>
        <v>2</v>
      </c>
      <c r="M77" s="8" t="str">
        <f>IF(B80-H77-E77&lt;0, "0", B80-H77-E77)</f>
        <v>0</v>
      </c>
    </row>
    <row r="78" spans="1:13">
      <c r="A78" s="3">
        <v>3</v>
      </c>
      <c r="B78" s="3">
        <v>19</v>
      </c>
      <c r="D78" s="4" t="s">
        <v>78</v>
      </c>
      <c r="E78" s="7">
        <v>1</v>
      </c>
      <c r="F78" s="7">
        <v>0</v>
      </c>
      <c r="G78" s="7">
        <f t="shared" si="9"/>
        <v>1</v>
      </c>
      <c r="H78" s="7">
        <f>I82</f>
        <v>22</v>
      </c>
      <c r="I78" s="7">
        <f t="shared" si="10"/>
        <v>21</v>
      </c>
      <c r="J78" s="7">
        <f>B79-G78</f>
        <v>21</v>
      </c>
      <c r="K78" s="7">
        <f t="shared" si="11"/>
        <v>21</v>
      </c>
      <c r="L78" s="7">
        <f t="shared" si="12"/>
        <v>0</v>
      </c>
      <c r="M78" s="7" t="str">
        <f>IF(B79-H78-E78&lt;0, "0", B79-H78-E78)</f>
        <v>0</v>
      </c>
    </row>
    <row r="79" spans="1:13">
      <c r="A79" s="3">
        <v>4</v>
      </c>
      <c r="B79" s="3">
        <v>22</v>
      </c>
      <c r="D79" s="6" t="s">
        <v>80</v>
      </c>
      <c r="E79" s="8">
        <v>8</v>
      </c>
      <c r="F79" s="8">
        <f>B77</f>
        <v>10</v>
      </c>
      <c r="G79" s="8">
        <f t="shared" si="9"/>
        <v>18</v>
      </c>
      <c r="H79" s="8">
        <f>I86</f>
        <v>20</v>
      </c>
      <c r="I79" s="8">
        <f t="shared" si="10"/>
        <v>12</v>
      </c>
      <c r="J79" s="8">
        <f>B80-G79</f>
        <v>0</v>
      </c>
      <c r="K79" s="8">
        <f t="shared" si="11"/>
        <v>2</v>
      </c>
      <c r="L79" s="8">
        <f t="shared" si="12"/>
        <v>2</v>
      </c>
      <c r="M79" s="8">
        <f>B80-H76-E79</f>
        <v>0</v>
      </c>
    </row>
    <row r="80" spans="1:13">
      <c r="A80" s="3">
        <v>5</v>
      </c>
      <c r="B80" s="3">
        <v>18</v>
      </c>
      <c r="D80" s="4" t="s">
        <v>94</v>
      </c>
      <c r="E80" s="7">
        <v>10</v>
      </c>
      <c r="F80" s="7">
        <f>B77</f>
        <v>10</v>
      </c>
      <c r="G80" s="7">
        <f t="shared" si="9"/>
        <v>20</v>
      </c>
      <c r="H80" s="7">
        <v>27</v>
      </c>
      <c r="I80" s="7">
        <f t="shared" si="10"/>
        <v>17</v>
      </c>
      <c r="J80" s="7">
        <f>B81-G80</f>
        <v>7</v>
      </c>
      <c r="K80" s="7">
        <f t="shared" si="11"/>
        <v>7</v>
      </c>
      <c r="L80" s="7">
        <f t="shared" si="12"/>
        <v>0</v>
      </c>
      <c r="M80" s="7">
        <f>B81-H76-E80</f>
        <v>7</v>
      </c>
    </row>
    <row r="81" spans="1:15">
      <c r="A81" s="3">
        <v>6</v>
      </c>
      <c r="B81" s="3">
        <v>27</v>
      </c>
      <c r="D81" s="6" t="s">
        <v>79</v>
      </c>
      <c r="E81" s="8">
        <v>9</v>
      </c>
      <c r="F81" s="8">
        <f>B77</f>
        <v>10</v>
      </c>
      <c r="G81" s="8">
        <f t="shared" si="9"/>
        <v>19</v>
      </c>
      <c r="H81" s="8">
        <f>I85</f>
        <v>19</v>
      </c>
      <c r="I81" s="8">
        <f t="shared" si="10"/>
        <v>10</v>
      </c>
      <c r="J81" s="8">
        <f>B78-G81</f>
        <v>0</v>
      </c>
      <c r="K81" s="8">
        <f t="shared" si="11"/>
        <v>0</v>
      </c>
      <c r="L81" s="8">
        <f t="shared" si="12"/>
        <v>0</v>
      </c>
      <c r="M81" s="8">
        <f>B78-H76-E81</f>
        <v>0</v>
      </c>
    </row>
    <row r="82" spans="1:15">
      <c r="A82" s="3">
        <v>7</v>
      </c>
      <c r="B82" s="3">
        <v>35</v>
      </c>
      <c r="D82" s="4" t="s">
        <v>95</v>
      </c>
      <c r="E82" s="7">
        <v>5</v>
      </c>
      <c r="F82" s="7">
        <v>22</v>
      </c>
      <c r="G82" s="7">
        <f t="shared" si="9"/>
        <v>27</v>
      </c>
      <c r="H82" s="7">
        <v>27</v>
      </c>
      <c r="I82" s="7">
        <f t="shared" si="10"/>
        <v>22</v>
      </c>
      <c r="J82" s="7">
        <f>B81-G82</f>
        <v>0</v>
      </c>
      <c r="K82" s="7">
        <f>H82-G82</f>
        <v>0</v>
      </c>
      <c r="L82" s="7">
        <f t="shared" si="12"/>
        <v>0</v>
      </c>
      <c r="M82" s="7">
        <f>B81-H85-E82</f>
        <v>0</v>
      </c>
    </row>
    <row r="83" spans="1:15">
      <c r="A83" s="3"/>
      <c r="B83" s="3"/>
      <c r="D83" s="6" t="s">
        <v>86</v>
      </c>
      <c r="E83" s="8">
        <v>4</v>
      </c>
      <c r="F83" s="8">
        <v>22</v>
      </c>
      <c r="G83" s="8">
        <f t="shared" si="9"/>
        <v>26</v>
      </c>
      <c r="H83" s="8">
        <v>35</v>
      </c>
      <c r="I83" s="8">
        <f t="shared" si="10"/>
        <v>31</v>
      </c>
      <c r="J83" s="8">
        <f>B82-G83</f>
        <v>9</v>
      </c>
      <c r="K83" s="8">
        <f t="shared" si="11"/>
        <v>9</v>
      </c>
      <c r="L83" s="8">
        <f t="shared" si="12"/>
        <v>0</v>
      </c>
      <c r="M83" s="8">
        <f>B82-H78-E83</f>
        <v>9</v>
      </c>
    </row>
    <row r="84" spans="1:15">
      <c r="A84" s="3"/>
      <c r="B84" s="3" t="s">
        <v>96</v>
      </c>
      <c r="D84" s="4" t="s">
        <v>97</v>
      </c>
      <c r="E84" s="7">
        <v>4</v>
      </c>
      <c r="F84" s="7">
        <f>B78</f>
        <v>19</v>
      </c>
      <c r="G84" s="7">
        <f t="shared" si="9"/>
        <v>23</v>
      </c>
      <c r="H84" s="7">
        <v>27</v>
      </c>
      <c r="I84" s="7">
        <f t="shared" si="10"/>
        <v>23</v>
      </c>
      <c r="J84" s="7">
        <f>B81-G84</f>
        <v>4</v>
      </c>
      <c r="K84" s="7">
        <f t="shared" si="11"/>
        <v>4</v>
      </c>
      <c r="L84" s="7">
        <f t="shared" si="12"/>
        <v>0</v>
      </c>
      <c r="M84" s="7">
        <f>B81-H81-E84</f>
        <v>4</v>
      </c>
    </row>
    <row r="85" spans="1:15">
      <c r="A85" s="3"/>
      <c r="B85" s="3"/>
      <c r="D85" s="6" t="s">
        <v>81</v>
      </c>
      <c r="E85" s="8">
        <v>3</v>
      </c>
      <c r="F85" s="8">
        <f>B78</f>
        <v>19</v>
      </c>
      <c r="G85" s="8">
        <f t="shared" si="9"/>
        <v>22</v>
      </c>
      <c r="H85" s="8">
        <v>22</v>
      </c>
      <c r="I85" s="8">
        <f t="shared" si="10"/>
        <v>19</v>
      </c>
      <c r="J85" s="8">
        <f>B79-G85</f>
        <v>0</v>
      </c>
      <c r="K85" s="8">
        <f t="shared" si="11"/>
        <v>0</v>
      </c>
      <c r="L85" s="8">
        <f t="shared" si="12"/>
        <v>0</v>
      </c>
      <c r="M85" s="8">
        <f>B79-H81-E85</f>
        <v>0</v>
      </c>
    </row>
    <row r="86" spans="1:15">
      <c r="A86" s="3"/>
      <c r="B86" s="3"/>
      <c r="D86" s="4" t="s">
        <v>88</v>
      </c>
      <c r="E86" s="7">
        <v>7</v>
      </c>
      <c r="F86" s="7">
        <f>B80</f>
        <v>18</v>
      </c>
      <c r="G86" s="7">
        <f t="shared" si="9"/>
        <v>25</v>
      </c>
      <c r="H86" s="7">
        <v>27</v>
      </c>
      <c r="I86" s="7">
        <f t="shared" si="10"/>
        <v>20</v>
      </c>
      <c r="J86" s="7">
        <f>B81-G86</f>
        <v>2</v>
      </c>
      <c r="K86" s="7">
        <f t="shared" si="11"/>
        <v>2</v>
      </c>
      <c r="L86" s="7">
        <f t="shared" si="12"/>
        <v>0</v>
      </c>
      <c r="M86" s="7">
        <f>B81-H79-E86</f>
        <v>0</v>
      </c>
    </row>
    <row r="87" spans="1:15">
      <c r="A87" s="3"/>
      <c r="B87" s="3"/>
      <c r="D87" s="6" t="s">
        <v>89</v>
      </c>
      <c r="E87" s="8">
        <v>3</v>
      </c>
      <c r="F87" s="8">
        <f>B80</f>
        <v>18</v>
      </c>
      <c r="G87" s="8">
        <f t="shared" si="9"/>
        <v>21</v>
      </c>
      <c r="H87" s="8">
        <v>35</v>
      </c>
      <c r="I87" s="8">
        <f t="shared" si="10"/>
        <v>32</v>
      </c>
      <c r="J87" s="8">
        <f>B82-G87</f>
        <v>14</v>
      </c>
      <c r="K87" s="8">
        <f>H87-G87</f>
        <v>14</v>
      </c>
      <c r="L87" s="8">
        <f t="shared" si="12"/>
        <v>0</v>
      </c>
      <c r="M87" s="8">
        <f>B82-H79-E87</f>
        <v>12</v>
      </c>
    </row>
    <row r="88" spans="1:15">
      <c r="A88" s="3"/>
      <c r="B88" s="3"/>
      <c r="D88" s="4" t="s">
        <v>90</v>
      </c>
      <c r="E88" s="7">
        <v>8</v>
      </c>
      <c r="F88" s="7">
        <f>B81</f>
        <v>27</v>
      </c>
      <c r="G88" s="7">
        <f t="shared" si="9"/>
        <v>35</v>
      </c>
      <c r="H88" s="7">
        <v>35</v>
      </c>
      <c r="I88" s="7">
        <f t="shared" si="10"/>
        <v>27</v>
      </c>
      <c r="J88" s="7">
        <f>B82-G88</f>
        <v>0</v>
      </c>
      <c r="K88" s="7">
        <f t="shared" si="11"/>
        <v>0</v>
      </c>
      <c r="L88" s="7">
        <f t="shared" si="12"/>
        <v>0</v>
      </c>
      <c r="M88" s="7">
        <f>B82-H86-E88</f>
        <v>0</v>
      </c>
    </row>
    <row r="89" spans="1:15" ht="15.75" thickBot="1"/>
    <row r="90" spans="1:15" ht="15.75">
      <c r="B90" s="19" t="s">
        <v>98</v>
      </c>
      <c r="C90" s="20" t="s">
        <v>99</v>
      </c>
      <c r="D90" s="21" t="s">
        <v>100</v>
      </c>
      <c r="E90" s="21" t="s">
        <v>101</v>
      </c>
      <c r="F90" s="22" t="s">
        <v>4</v>
      </c>
      <c r="G90" s="22" t="s">
        <v>5</v>
      </c>
      <c r="H90" s="22" t="s">
        <v>6</v>
      </c>
      <c r="I90" s="22" t="s">
        <v>7</v>
      </c>
      <c r="J90" s="22" t="s">
        <v>39</v>
      </c>
      <c r="K90" s="22" t="s">
        <v>40</v>
      </c>
      <c r="L90" s="22" t="s">
        <v>41</v>
      </c>
      <c r="M90" s="23" t="s">
        <v>42</v>
      </c>
      <c r="O90" s="6" t="s">
        <v>102</v>
      </c>
    </row>
    <row r="91" spans="1:15">
      <c r="B91" s="24">
        <v>5</v>
      </c>
      <c r="C91" s="4">
        <v>10</v>
      </c>
      <c r="D91" s="4" t="s">
        <v>103</v>
      </c>
      <c r="E91" s="4">
        <v>4</v>
      </c>
      <c r="F91" s="4">
        <v>0</v>
      </c>
      <c r="G91" s="4">
        <f>F91+E91</f>
        <v>4</v>
      </c>
      <c r="H91" s="4">
        <f>4</f>
        <v>4</v>
      </c>
      <c r="I91" s="4">
        <f t="shared" ref="I91:I113" si="13">H91-E91</f>
        <v>0</v>
      </c>
      <c r="J91" s="7">
        <f>B116-G91</f>
        <v>0</v>
      </c>
      <c r="K91" s="4">
        <f>H91-G91</f>
        <v>0</v>
      </c>
      <c r="L91" s="4">
        <f t="shared" ref="L91:L114" si="14">K91-J91</f>
        <v>0</v>
      </c>
      <c r="M91" s="25">
        <f>B116-F91-E91</f>
        <v>0</v>
      </c>
    </row>
    <row r="92" spans="1:15" ht="15.75">
      <c r="B92" s="26">
        <v>5</v>
      </c>
      <c r="C92" s="6">
        <v>15</v>
      </c>
      <c r="D92" s="6" t="s">
        <v>104</v>
      </c>
      <c r="E92" s="6">
        <v>3</v>
      </c>
      <c r="F92" s="6">
        <v>0</v>
      </c>
      <c r="G92" s="6">
        <f t="shared" ref="G92:G114" si="15">F92+E92</f>
        <v>3</v>
      </c>
      <c r="H92" s="6">
        <f>I96</f>
        <v>4</v>
      </c>
      <c r="I92" s="6">
        <f t="shared" si="13"/>
        <v>1</v>
      </c>
      <c r="J92" s="8">
        <f>B117-G92</f>
        <v>0</v>
      </c>
      <c r="K92" s="6">
        <f t="shared" ref="K92:K114" si="16">H92-G92</f>
        <v>1</v>
      </c>
      <c r="L92" s="6">
        <f t="shared" si="14"/>
        <v>1</v>
      </c>
      <c r="M92" s="27">
        <f>B117-F92-E92</f>
        <v>0</v>
      </c>
    </row>
    <row r="93" spans="1:15" ht="15.75">
      <c r="B93" s="24">
        <v>10</v>
      </c>
      <c r="C93" s="4">
        <v>20</v>
      </c>
      <c r="D93" s="4" t="s">
        <v>105</v>
      </c>
      <c r="E93" s="4">
        <v>5</v>
      </c>
      <c r="F93" s="4">
        <f>G91</f>
        <v>4</v>
      </c>
      <c r="G93" s="4">
        <f t="shared" si="15"/>
        <v>9</v>
      </c>
      <c r="H93" s="4">
        <f>I98</f>
        <v>9</v>
      </c>
      <c r="I93" s="4">
        <f t="shared" si="13"/>
        <v>4</v>
      </c>
      <c r="J93" s="7">
        <f>B118-G93</f>
        <v>0</v>
      </c>
      <c r="K93" s="4">
        <f t="shared" si="16"/>
        <v>0</v>
      </c>
      <c r="L93" s="4">
        <f t="shared" si="14"/>
        <v>0</v>
      </c>
      <c r="M93" s="25">
        <f>B118-H91-E93</f>
        <v>0</v>
      </c>
    </row>
    <row r="94" spans="1:15" ht="15.75">
      <c r="B94" s="26">
        <v>10</v>
      </c>
      <c r="C94" s="6">
        <v>25</v>
      </c>
      <c r="D94" s="6" t="s">
        <v>106</v>
      </c>
      <c r="E94" s="6">
        <v>2</v>
      </c>
      <c r="F94" s="6">
        <f>G91</f>
        <v>4</v>
      </c>
      <c r="G94" s="6">
        <f t="shared" si="15"/>
        <v>6</v>
      </c>
      <c r="H94" s="6">
        <f>I100</f>
        <v>7</v>
      </c>
      <c r="I94" s="6">
        <f t="shared" si="13"/>
        <v>5</v>
      </c>
      <c r="J94" s="8">
        <f>B119-G94</f>
        <v>0</v>
      </c>
      <c r="K94" s="6">
        <f t="shared" si="16"/>
        <v>1</v>
      </c>
      <c r="L94" s="6">
        <f t="shared" si="14"/>
        <v>1</v>
      </c>
      <c r="M94" s="27">
        <f>B119-H91-E94</f>
        <v>0</v>
      </c>
    </row>
    <row r="95" spans="1:15">
      <c r="B95" s="24">
        <v>10</v>
      </c>
      <c r="C95" s="4">
        <v>30</v>
      </c>
      <c r="D95" s="4" t="s">
        <v>107</v>
      </c>
      <c r="E95" s="4">
        <v>0</v>
      </c>
      <c r="F95" s="4">
        <f>G91</f>
        <v>4</v>
      </c>
      <c r="G95" s="4">
        <f t="shared" si="15"/>
        <v>4</v>
      </c>
      <c r="H95" s="4">
        <f>I103</f>
        <v>6</v>
      </c>
      <c r="I95" s="4">
        <f t="shared" si="13"/>
        <v>6</v>
      </c>
      <c r="J95" s="4">
        <f>B120-G95</f>
        <v>1</v>
      </c>
      <c r="K95" s="4">
        <f t="shared" si="16"/>
        <v>2</v>
      </c>
      <c r="L95" s="4">
        <f t="shared" si="14"/>
        <v>1</v>
      </c>
      <c r="M95" s="25">
        <f>B120-H91-E95</f>
        <v>1</v>
      </c>
    </row>
    <row r="96" spans="1:15" ht="15.75">
      <c r="B96" s="26">
        <v>15</v>
      </c>
      <c r="C96" s="6">
        <v>30</v>
      </c>
      <c r="D96" s="6" t="s">
        <v>108</v>
      </c>
      <c r="E96" s="6">
        <v>2</v>
      </c>
      <c r="F96" s="6">
        <f>G92</f>
        <v>3</v>
      </c>
      <c r="G96" s="6">
        <f t="shared" si="15"/>
        <v>5</v>
      </c>
      <c r="H96" s="6">
        <f>I103</f>
        <v>6</v>
      </c>
      <c r="I96" s="6">
        <f t="shared" si="13"/>
        <v>4</v>
      </c>
      <c r="J96" s="6">
        <f>B120-G96</f>
        <v>0</v>
      </c>
      <c r="K96" s="6">
        <f t="shared" si="16"/>
        <v>1</v>
      </c>
      <c r="L96" s="6">
        <f t="shared" si="14"/>
        <v>1</v>
      </c>
      <c r="M96" s="27">
        <f>B120-H92-E96</f>
        <v>-1</v>
      </c>
    </row>
    <row r="97" spans="2:13" ht="15.75">
      <c r="B97" s="24">
        <v>15</v>
      </c>
      <c r="C97" s="4">
        <v>35</v>
      </c>
      <c r="D97" s="4" t="s">
        <v>109</v>
      </c>
      <c r="E97" s="4">
        <v>1</v>
      </c>
      <c r="F97" s="4">
        <f>G92</f>
        <v>3</v>
      </c>
      <c r="G97" s="4">
        <f t="shared" si="15"/>
        <v>4</v>
      </c>
      <c r="H97" s="4">
        <f>I105</f>
        <v>6</v>
      </c>
      <c r="I97" s="4">
        <f t="shared" si="13"/>
        <v>5</v>
      </c>
      <c r="J97" s="4">
        <f>B121-G97</f>
        <v>0</v>
      </c>
      <c r="K97" s="4">
        <f t="shared" si="16"/>
        <v>2</v>
      </c>
      <c r="L97" s="4">
        <f t="shared" si="14"/>
        <v>2</v>
      </c>
      <c r="M97" s="25">
        <f>B121-H92-E97</f>
        <v>-1</v>
      </c>
    </row>
    <row r="98" spans="2:13" ht="15.75">
      <c r="B98" s="26">
        <v>20</v>
      </c>
      <c r="C98" s="6">
        <v>40</v>
      </c>
      <c r="D98" s="6" t="s">
        <v>110</v>
      </c>
      <c r="E98" s="6">
        <v>0</v>
      </c>
      <c r="F98" s="6">
        <f>G93</f>
        <v>9</v>
      </c>
      <c r="G98" s="6">
        <f t="shared" si="15"/>
        <v>9</v>
      </c>
      <c r="H98" s="6">
        <f>I106</f>
        <v>9</v>
      </c>
      <c r="I98" s="6">
        <f t="shared" si="13"/>
        <v>9</v>
      </c>
      <c r="J98" s="6">
        <f>B122-G98</f>
        <v>0</v>
      </c>
      <c r="K98" s="6">
        <f t="shared" si="16"/>
        <v>0</v>
      </c>
      <c r="L98" s="6">
        <f t="shared" si="14"/>
        <v>0</v>
      </c>
      <c r="M98" s="27">
        <f>B122-H93-E98</f>
        <v>0</v>
      </c>
    </row>
    <row r="99" spans="2:13" ht="15.75">
      <c r="B99" s="24">
        <v>20</v>
      </c>
      <c r="C99" s="4">
        <v>60</v>
      </c>
      <c r="D99" s="4" t="s">
        <v>111</v>
      </c>
      <c r="E99" s="4">
        <v>2</v>
      </c>
      <c r="F99" s="4">
        <f>G93</f>
        <v>9</v>
      </c>
      <c r="G99" s="4">
        <f t="shared" si="15"/>
        <v>11</v>
      </c>
      <c r="H99" s="4">
        <f>I112</f>
        <v>13</v>
      </c>
      <c r="I99" s="4">
        <f t="shared" si="13"/>
        <v>11</v>
      </c>
      <c r="J99" s="4">
        <f>B126-G99</f>
        <v>0</v>
      </c>
      <c r="K99" s="4">
        <f t="shared" si="16"/>
        <v>2</v>
      </c>
      <c r="L99" s="4">
        <f t="shared" si="14"/>
        <v>2</v>
      </c>
      <c r="M99" s="25">
        <f>B126-H93-E99</f>
        <v>0</v>
      </c>
    </row>
    <row r="100" spans="2:13" ht="15.75">
      <c r="B100" s="26">
        <v>25</v>
      </c>
      <c r="C100" s="6">
        <v>40</v>
      </c>
      <c r="D100" s="6" t="s">
        <v>112</v>
      </c>
      <c r="E100" s="6">
        <v>2</v>
      </c>
      <c r="F100" s="6">
        <f>G94</f>
        <v>6</v>
      </c>
      <c r="G100" s="6">
        <f t="shared" si="15"/>
        <v>8</v>
      </c>
      <c r="H100" s="6">
        <f>I106</f>
        <v>9</v>
      </c>
      <c r="I100" s="6">
        <f t="shared" si="13"/>
        <v>7</v>
      </c>
      <c r="J100" s="6">
        <f>B122-G100</f>
        <v>1</v>
      </c>
      <c r="K100" s="6">
        <f t="shared" si="16"/>
        <v>1</v>
      </c>
      <c r="L100" s="6">
        <f t="shared" si="14"/>
        <v>0</v>
      </c>
      <c r="M100" s="27">
        <f>B122-H94-E100</f>
        <v>0</v>
      </c>
    </row>
    <row r="101" spans="2:13" ht="15.75">
      <c r="B101" s="24">
        <v>25</v>
      </c>
      <c r="C101" s="4">
        <v>45</v>
      </c>
      <c r="D101" s="4" t="s">
        <v>113</v>
      </c>
      <c r="E101" s="4">
        <v>0</v>
      </c>
      <c r="F101" s="4">
        <f>G94</f>
        <v>6</v>
      </c>
      <c r="G101" s="4">
        <f t="shared" si="15"/>
        <v>6</v>
      </c>
      <c r="H101" s="4">
        <f>I108</f>
        <v>12</v>
      </c>
      <c r="I101" s="4">
        <f t="shared" si="13"/>
        <v>12</v>
      </c>
      <c r="J101" s="4">
        <f>B123-G101</f>
        <v>2</v>
      </c>
      <c r="K101" s="4">
        <f t="shared" si="16"/>
        <v>6</v>
      </c>
      <c r="L101" s="4">
        <f t="shared" si="14"/>
        <v>4</v>
      </c>
      <c r="M101" s="25">
        <f>B123-H94-E101</f>
        <v>1</v>
      </c>
    </row>
    <row r="102" spans="2:13">
      <c r="B102" s="26">
        <v>30</v>
      </c>
      <c r="C102" s="6">
        <v>45</v>
      </c>
      <c r="D102" s="6" t="s">
        <v>13</v>
      </c>
      <c r="E102" s="6">
        <v>3</v>
      </c>
      <c r="F102" s="6">
        <f>G96</f>
        <v>5</v>
      </c>
      <c r="G102" s="6">
        <f t="shared" si="15"/>
        <v>8</v>
      </c>
      <c r="H102" s="6">
        <f>I108</f>
        <v>12</v>
      </c>
      <c r="I102" s="6">
        <f t="shared" si="13"/>
        <v>9</v>
      </c>
      <c r="J102" s="6">
        <f>B123-G102</f>
        <v>0</v>
      </c>
      <c r="K102" s="6">
        <f t="shared" si="16"/>
        <v>4</v>
      </c>
      <c r="L102" s="6">
        <f t="shared" si="14"/>
        <v>4</v>
      </c>
      <c r="M102" s="27">
        <f>B123-H96-E102</f>
        <v>-1</v>
      </c>
    </row>
    <row r="103" spans="2:13" ht="15.75">
      <c r="B103" s="24">
        <v>30</v>
      </c>
      <c r="C103" s="4">
        <v>50</v>
      </c>
      <c r="D103" s="4" t="s">
        <v>114</v>
      </c>
      <c r="E103" s="4">
        <v>6</v>
      </c>
      <c r="F103" s="4">
        <f>G96</f>
        <v>5</v>
      </c>
      <c r="G103" s="4">
        <f t="shared" si="15"/>
        <v>11</v>
      </c>
      <c r="H103" s="4">
        <f>I109</f>
        <v>12</v>
      </c>
      <c r="I103" s="4">
        <f t="shared" si="13"/>
        <v>6</v>
      </c>
      <c r="J103" s="4">
        <f>B124-G103</f>
        <v>0</v>
      </c>
      <c r="K103" s="4">
        <f t="shared" si="16"/>
        <v>1</v>
      </c>
      <c r="L103" s="4">
        <f t="shared" si="14"/>
        <v>1</v>
      </c>
      <c r="M103" s="25">
        <f>B124-H96-E103</f>
        <v>-1</v>
      </c>
    </row>
    <row r="104" spans="2:13" ht="15.75">
      <c r="B104" s="18">
        <v>35</v>
      </c>
      <c r="C104" s="14">
        <v>45</v>
      </c>
      <c r="D104" s="13" t="s">
        <v>115</v>
      </c>
      <c r="E104" s="15">
        <v>0</v>
      </c>
      <c r="F104" s="16">
        <f>G97</f>
        <v>4</v>
      </c>
      <c r="G104" s="16">
        <f t="shared" si="15"/>
        <v>4</v>
      </c>
      <c r="H104" s="8">
        <f>I108</f>
        <v>12</v>
      </c>
      <c r="I104" s="8">
        <f t="shared" si="13"/>
        <v>12</v>
      </c>
      <c r="J104" s="8">
        <f>B123-G104</f>
        <v>4</v>
      </c>
      <c r="K104" s="8">
        <f t="shared" si="16"/>
        <v>8</v>
      </c>
      <c r="L104" s="8">
        <f t="shared" si="14"/>
        <v>4</v>
      </c>
      <c r="M104" s="17">
        <f>B123-H97-E104</f>
        <v>2</v>
      </c>
    </row>
    <row r="105" spans="2:13" ht="15.75">
      <c r="B105" s="24">
        <v>35</v>
      </c>
      <c r="C105" s="4">
        <v>55</v>
      </c>
      <c r="D105" s="4" t="s">
        <v>116</v>
      </c>
      <c r="E105" s="4">
        <v>4</v>
      </c>
      <c r="F105" s="4">
        <f>G97</f>
        <v>4</v>
      </c>
      <c r="G105" s="4">
        <f t="shared" si="15"/>
        <v>8</v>
      </c>
      <c r="H105" s="4">
        <f>I111</f>
        <v>10</v>
      </c>
      <c r="I105" s="4">
        <f t="shared" si="13"/>
        <v>6</v>
      </c>
      <c r="J105" s="4">
        <f>B125-G105</f>
        <v>0</v>
      </c>
      <c r="K105" s="4">
        <f t="shared" si="16"/>
        <v>2</v>
      </c>
      <c r="L105" s="4">
        <f t="shared" si="14"/>
        <v>2</v>
      </c>
      <c r="M105" s="25">
        <f>B125-H97-E105</f>
        <v>-2</v>
      </c>
    </row>
    <row r="106" spans="2:13" ht="15.75">
      <c r="B106" s="26">
        <v>40</v>
      </c>
      <c r="C106" s="6">
        <v>65</v>
      </c>
      <c r="D106" s="6" t="s">
        <v>117</v>
      </c>
      <c r="E106" s="6">
        <v>6</v>
      </c>
      <c r="F106" s="6">
        <f>G98</f>
        <v>9</v>
      </c>
      <c r="G106" s="6">
        <f t="shared" si="15"/>
        <v>15</v>
      </c>
      <c r="H106" s="6">
        <f>I113</f>
        <v>15</v>
      </c>
      <c r="I106" s="6">
        <f t="shared" si="13"/>
        <v>9</v>
      </c>
      <c r="J106" s="6">
        <f>B127-G106</f>
        <v>0</v>
      </c>
      <c r="K106" s="6">
        <f t="shared" si="16"/>
        <v>0</v>
      </c>
      <c r="L106" s="6">
        <f t="shared" si="14"/>
        <v>0</v>
      </c>
      <c r="M106" s="27">
        <f>B127-H100-E106</f>
        <v>0</v>
      </c>
    </row>
    <row r="107" spans="2:13">
      <c r="B107" s="24">
        <v>45</v>
      </c>
      <c r="C107" s="4">
        <v>65</v>
      </c>
      <c r="D107" s="4" t="s">
        <v>118</v>
      </c>
      <c r="E107" s="4">
        <v>0</v>
      </c>
      <c r="F107" s="4">
        <f>G102</f>
        <v>8</v>
      </c>
      <c r="G107" s="4">
        <f t="shared" si="15"/>
        <v>8</v>
      </c>
      <c r="H107" s="4">
        <f>I113</f>
        <v>15</v>
      </c>
      <c r="I107" s="4">
        <f t="shared" si="13"/>
        <v>15</v>
      </c>
      <c r="J107" s="4">
        <f>B127-G107</f>
        <v>7</v>
      </c>
      <c r="K107" s="4">
        <f t="shared" si="16"/>
        <v>7</v>
      </c>
      <c r="L107" s="4">
        <f>K107-J107</f>
        <v>0</v>
      </c>
      <c r="M107" s="25">
        <f>B127-H104-E107</f>
        <v>3</v>
      </c>
    </row>
    <row r="108" spans="2:13" ht="15.75">
      <c r="B108" s="26">
        <v>45</v>
      </c>
      <c r="C108" s="6">
        <v>70</v>
      </c>
      <c r="D108" s="6" t="s">
        <v>119</v>
      </c>
      <c r="E108" s="6">
        <v>3</v>
      </c>
      <c r="F108" s="6">
        <f>G102</f>
        <v>8</v>
      </c>
      <c r="G108" s="6">
        <f t="shared" si="15"/>
        <v>11</v>
      </c>
      <c r="H108" s="6">
        <f>I114</f>
        <v>15</v>
      </c>
      <c r="I108" s="6">
        <f t="shared" si="13"/>
        <v>12</v>
      </c>
      <c r="J108" s="6">
        <f>B128-G108</f>
        <v>2</v>
      </c>
      <c r="K108" s="6">
        <f t="shared" si="16"/>
        <v>4</v>
      </c>
      <c r="L108" s="6">
        <f t="shared" si="14"/>
        <v>2</v>
      </c>
      <c r="M108" s="27">
        <f>B128-H104-E108</f>
        <v>-2</v>
      </c>
    </row>
    <row r="109" spans="2:13">
      <c r="B109" s="24">
        <v>50</v>
      </c>
      <c r="C109" s="4">
        <v>65</v>
      </c>
      <c r="D109" s="4" t="s">
        <v>120</v>
      </c>
      <c r="E109" s="4">
        <v>3</v>
      </c>
      <c r="F109" s="4">
        <f>G103</f>
        <v>11</v>
      </c>
      <c r="G109" s="4">
        <f t="shared" si="15"/>
        <v>14</v>
      </c>
      <c r="H109" s="4">
        <f>I113</f>
        <v>15</v>
      </c>
      <c r="I109" s="4">
        <f t="shared" si="13"/>
        <v>12</v>
      </c>
      <c r="J109" s="4">
        <f>B127-G109</f>
        <v>1</v>
      </c>
      <c r="K109" s="4">
        <f t="shared" si="16"/>
        <v>1</v>
      </c>
      <c r="L109" s="4">
        <f t="shared" si="14"/>
        <v>0</v>
      </c>
      <c r="M109" s="25">
        <f>B127-H103-E109</f>
        <v>0</v>
      </c>
    </row>
    <row r="110" spans="2:13" ht="15.75">
      <c r="B110" s="26">
        <v>50</v>
      </c>
      <c r="C110" s="6">
        <v>70</v>
      </c>
      <c r="D110" s="6" t="s">
        <v>121</v>
      </c>
      <c r="E110" s="6">
        <v>0</v>
      </c>
      <c r="F110" s="6">
        <f>G103</f>
        <v>11</v>
      </c>
      <c r="G110" s="6">
        <f t="shared" si="15"/>
        <v>11</v>
      </c>
      <c r="H110" s="6">
        <f>I114</f>
        <v>15</v>
      </c>
      <c r="I110" s="6">
        <f t="shared" si="13"/>
        <v>15</v>
      </c>
      <c r="J110" s="6">
        <f>B128-G110</f>
        <v>2</v>
      </c>
      <c r="K110" s="6">
        <f t="shared" si="16"/>
        <v>4</v>
      </c>
      <c r="L110" s="6">
        <f t="shared" si="14"/>
        <v>2</v>
      </c>
      <c r="M110" s="27">
        <f>B128-H103-E110</f>
        <v>1</v>
      </c>
    </row>
    <row r="111" spans="2:13">
      <c r="B111" s="24">
        <v>55</v>
      </c>
      <c r="C111" s="4">
        <v>70</v>
      </c>
      <c r="D111" s="4" t="s">
        <v>122</v>
      </c>
      <c r="E111" s="4">
        <v>5</v>
      </c>
      <c r="F111" s="4">
        <f>G105</f>
        <v>8</v>
      </c>
      <c r="G111" s="4">
        <f t="shared" si="15"/>
        <v>13</v>
      </c>
      <c r="H111" s="4">
        <f>I114</f>
        <v>15</v>
      </c>
      <c r="I111" s="4">
        <f t="shared" si="13"/>
        <v>10</v>
      </c>
      <c r="J111" s="4">
        <f>B128-G111</f>
        <v>0</v>
      </c>
      <c r="K111" s="4">
        <f t="shared" si="16"/>
        <v>2</v>
      </c>
      <c r="L111" s="4">
        <f t="shared" si="14"/>
        <v>2</v>
      </c>
      <c r="M111" s="25">
        <f>B128-H105-E111</f>
        <v>-2</v>
      </c>
    </row>
    <row r="112" spans="2:13" ht="15.75">
      <c r="B112" s="26">
        <v>60</v>
      </c>
      <c r="C112" s="6">
        <v>75</v>
      </c>
      <c r="D112" s="6" t="s">
        <v>123</v>
      </c>
      <c r="E112" s="6">
        <v>6</v>
      </c>
      <c r="F112" s="6">
        <f>G99</f>
        <v>11</v>
      </c>
      <c r="G112" s="6">
        <f t="shared" si="15"/>
        <v>17</v>
      </c>
      <c r="H112" s="6" t="str">
        <f>B129</f>
        <v>19</v>
      </c>
      <c r="I112" s="6">
        <f t="shared" si="13"/>
        <v>13</v>
      </c>
      <c r="J112" s="6">
        <f>B129-G112</f>
        <v>2</v>
      </c>
      <c r="K112" s="6">
        <f t="shared" si="16"/>
        <v>2</v>
      </c>
      <c r="L112" s="6">
        <f t="shared" si="14"/>
        <v>0</v>
      </c>
      <c r="M112" s="27">
        <f>B129-H99-E112</f>
        <v>0</v>
      </c>
    </row>
    <row r="113" spans="1:13">
      <c r="B113" s="24">
        <v>65</v>
      </c>
      <c r="C113" s="4">
        <v>75</v>
      </c>
      <c r="D113" s="4" t="s">
        <v>35</v>
      </c>
      <c r="E113" s="4">
        <v>4</v>
      </c>
      <c r="F113" s="4">
        <f>G106</f>
        <v>15</v>
      </c>
      <c r="G113" s="4">
        <f t="shared" si="15"/>
        <v>19</v>
      </c>
      <c r="H113" s="4" t="str">
        <f>B129</f>
        <v>19</v>
      </c>
      <c r="I113" s="4">
        <f t="shared" si="13"/>
        <v>15</v>
      </c>
      <c r="J113" s="4">
        <f>B129-G113</f>
        <v>0</v>
      </c>
      <c r="K113" s="4">
        <f t="shared" si="16"/>
        <v>0</v>
      </c>
      <c r="L113" s="4">
        <f t="shared" si="14"/>
        <v>0</v>
      </c>
      <c r="M113" s="25">
        <f>B129-H109-E113</f>
        <v>0</v>
      </c>
    </row>
    <row r="114" spans="1:13" ht="15.75" thickBot="1">
      <c r="B114" s="28">
        <v>70</v>
      </c>
      <c r="C114" s="29">
        <v>75</v>
      </c>
      <c r="D114" s="29" t="s">
        <v>124</v>
      </c>
      <c r="E114" s="29">
        <v>4</v>
      </c>
      <c r="F114" s="29">
        <f>G111</f>
        <v>13</v>
      </c>
      <c r="G114" s="29">
        <f t="shared" si="15"/>
        <v>17</v>
      </c>
      <c r="H114" s="29" t="str">
        <f>B129</f>
        <v>19</v>
      </c>
      <c r="I114" s="29">
        <f>H114-E114</f>
        <v>15</v>
      </c>
      <c r="J114" s="29">
        <f>B129-G114</f>
        <v>2</v>
      </c>
      <c r="K114" s="29">
        <f t="shared" si="16"/>
        <v>2</v>
      </c>
      <c r="L114" s="29">
        <f t="shared" si="14"/>
        <v>0</v>
      </c>
      <c r="M114" s="30">
        <f>B129-H111-E114</f>
        <v>0</v>
      </c>
    </row>
    <row r="115" spans="1:13">
      <c r="A115" s="2" t="s">
        <v>125</v>
      </c>
      <c r="B115" s="12" t="s">
        <v>47</v>
      </c>
      <c r="C115" s="4">
        <v>0</v>
      </c>
      <c r="D115" s="2">
        <f>C115-B115</f>
        <v>0</v>
      </c>
    </row>
    <row r="116" spans="1:13">
      <c r="A116" s="2" t="s">
        <v>126</v>
      </c>
      <c r="B116" s="2" t="s">
        <v>127</v>
      </c>
      <c r="C116" s="6">
        <v>4</v>
      </c>
      <c r="D116" s="2">
        <f t="shared" ref="D116:D129" si="17">C116-B116</f>
        <v>0</v>
      </c>
    </row>
    <row r="117" spans="1:13">
      <c r="A117" s="2" t="s">
        <v>128</v>
      </c>
      <c r="B117" s="2" t="s">
        <v>61</v>
      </c>
      <c r="C117" s="4">
        <v>4</v>
      </c>
      <c r="D117" s="2">
        <f t="shared" si="17"/>
        <v>1</v>
      </c>
    </row>
    <row r="118" spans="1:13">
      <c r="A118" s="2" t="s">
        <v>129</v>
      </c>
      <c r="B118" s="2" t="s">
        <v>130</v>
      </c>
      <c r="C118" s="6">
        <v>9</v>
      </c>
      <c r="D118" s="2">
        <f t="shared" si="17"/>
        <v>0</v>
      </c>
    </row>
    <row r="119" spans="1:13">
      <c r="A119" s="2" t="s">
        <v>131</v>
      </c>
      <c r="B119" s="2" t="s">
        <v>132</v>
      </c>
      <c r="C119" s="4">
        <v>7</v>
      </c>
      <c r="D119" s="2">
        <f t="shared" si="17"/>
        <v>1</v>
      </c>
    </row>
    <row r="120" spans="1:13">
      <c r="A120" s="2" t="s">
        <v>133</v>
      </c>
      <c r="B120" s="2" t="s">
        <v>125</v>
      </c>
      <c r="C120" s="6">
        <v>6</v>
      </c>
      <c r="D120" s="2">
        <f t="shared" si="17"/>
        <v>1</v>
      </c>
    </row>
    <row r="121" spans="1:13">
      <c r="A121" s="2" t="s">
        <v>134</v>
      </c>
      <c r="B121" s="2" t="s">
        <v>127</v>
      </c>
      <c r="C121" s="4">
        <v>6</v>
      </c>
      <c r="D121" s="2">
        <f t="shared" si="17"/>
        <v>2</v>
      </c>
    </row>
    <row r="122" spans="1:13">
      <c r="A122" s="2" t="s">
        <v>135</v>
      </c>
      <c r="B122" s="2" t="s">
        <v>130</v>
      </c>
      <c r="C122" s="6">
        <v>9</v>
      </c>
      <c r="D122" s="2">
        <f t="shared" si="17"/>
        <v>0</v>
      </c>
    </row>
    <row r="123" spans="1:13">
      <c r="A123" s="2" t="s">
        <v>136</v>
      </c>
      <c r="B123" s="2" t="s">
        <v>137</v>
      </c>
      <c r="C123" s="4">
        <v>12</v>
      </c>
      <c r="D123" s="2">
        <f t="shared" si="17"/>
        <v>4</v>
      </c>
    </row>
    <row r="124" spans="1:13">
      <c r="A124" s="2" t="s">
        <v>138</v>
      </c>
      <c r="B124" s="2" t="s">
        <v>139</v>
      </c>
      <c r="C124" s="6">
        <v>12</v>
      </c>
      <c r="D124" s="2">
        <f t="shared" si="17"/>
        <v>1</v>
      </c>
    </row>
    <row r="125" spans="1:13">
      <c r="A125" s="2" t="s">
        <v>140</v>
      </c>
      <c r="B125" s="2" t="s">
        <v>137</v>
      </c>
      <c r="C125" s="4">
        <v>10</v>
      </c>
      <c r="D125" s="2">
        <f t="shared" si="17"/>
        <v>2</v>
      </c>
    </row>
    <row r="126" spans="1:13">
      <c r="A126" s="2" t="s">
        <v>141</v>
      </c>
      <c r="B126" s="2" t="s">
        <v>139</v>
      </c>
      <c r="C126" s="6">
        <v>13</v>
      </c>
      <c r="D126" s="2">
        <f t="shared" si="17"/>
        <v>2</v>
      </c>
    </row>
    <row r="127" spans="1:13">
      <c r="A127" s="2" t="s">
        <v>142</v>
      </c>
      <c r="B127" s="2" t="s">
        <v>128</v>
      </c>
      <c r="C127" s="4">
        <v>15</v>
      </c>
      <c r="D127" s="2">
        <f t="shared" si="17"/>
        <v>0</v>
      </c>
    </row>
    <row r="128" spans="1:13">
      <c r="A128" s="2" t="s">
        <v>143</v>
      </c>
      <c r="B128" s="2" t="s">
        <v>144</v>
      </c>
      <c r="C128" s="6">
        <v>15</v>
      </c>
      <c r="D128" s="2">
        <f t="shared" si="17"/>
        <v>2</v>
      </c>
    </row>
    <row r="129" spans="1:4">
      <c r="A129" s="2" t="s">
        <v>145</v>
      </c>
      <c r="B129" s="2" t="s">
        <v>146</v>
      </c>
      <c r="C129" s="4">
        <v>19</v>
      </c>
      <c r="D129" s="2">
        <f t="shared" si="17"/>
        <v>0</v>
      </c>
    </row>
  </sheetData>
  <phoneticPr fontId="1" type="noConversion"/>
  <pageMargins left="0.7" right="0.7" top="0.75" bottom="0.75" header="0.3" footer="0.3"/>
  <pageSetup orientation="portrait" horizontalDpi="4294967294" verticalDpi="4294967294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8CBE1456CF5E42AE85D457DC33F0B5" ma:contentTypeVersion="13" ma:contentTypeDescription="Create a new document." ma:contentTypeScope="" ma:versionID="bdbe5f5ceb7f167ca1584f2c28d373d9">
  <xsd:schema xmlns:xsd="http://www.w3.org/2001/XMLSchema" xmlns:xs="http://www.w3.org/2001/XMLSchema" xmlns:p="http://schemas.microsoft.com/office/2006/metadata/properties" xmlns:ns3="6a77b6b0-c614-4c78-a25a-18adcda15817" xmlns:ns4="cb441c9e-d7d0-448a-a87f-301ff73cd758" targetNamespace="http://schemas.microsoft.com/office/2006/metadata/properties" ma:root="true" ma:fieldsID="429b359412b88792aa5caef14d62bde4" ns3:_="" ns4:_="">
    <xsd:import namespace="6a77b6b0-c614-4c78-a25a-18adcda15817"/>
    <xsd:import namespace="cb441c9e-d7d0-448a-a87f-301ff73cd75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7b6b0-c614-4c78-a25a-18adcda158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41c9e-d7d0-448a-a87f-301ff73cd75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1721EE-C398-4888-B85B-64E821EDB782}"/>
</file>

<file path=customXml/itemProps2.xml><?xml version="1.0" encoding="utf-8"?>
<ds:datastoreItem xmlns:ds="http://schemas.openxmlformats.org/officeDocument/2006/customXml" ds:itemID="{48D680DA-F7B3-463E-AD2A-AB50495E35D4}"/>
</file>

<file path=customXml/itemProps3.xml><?xml version="1.0" encoding="utf-8"?>
<ds:datastoreItem xmlns:ds="http://schemas.openxmlformats.org/officeDocument/2006/customXml" ds:itemID="{DBFEEBB7-308E-465D-B6F8-432E5C5379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Jacob</dc:creator>
  <cp:keywords/>
  <dc:description/>
  <cp:lastModifiedBy>Jacob Vaught</cp:lastModifiedBy>
  <cp:revision/>
  <dcterms:created xsi:type="dcterms:W3CDTF">2021-09-28T00:47:00Z</dcterms:created>
  <dcterms:modified xsi:type="dcterms:W3CDTF">2021-12-08T20:33:28Z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0x0101007A8CBE1456CF5E42AE85D457DC33F0B5</vt:lpwstr>
  </property>
</Properties>
</file>