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CLASS-USC/Fall 2021/EMCH 380/"/>
    </mc:Choice>
  </mc:AlternateContent>
  <xr:revisionPtr revIDLastSave="144" documentId="13_ncr:1_{0FE3E46F-EA46-453B-B9AE-303D1D570B9E}" xr6:coauthVersionLast="47" xr6:coauthVersionMax="47" xr10:uidLastSave="{DA14F4EB-59B4-420F-AF55-6BD4AE7E362E}"/>
  <bookViews>
    <workbookView xWindow="-16320" yWindow="-11160" windowWidth="16440" windowHeight="28320" xr2:uid="{A54C404A-274D-4302-81D6-4F1D6B9AC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M7" i="1"/>
  <c r="Y7" i="1"/>
  <c r="Z7" i="1" s="1"/>
  <c r="I13" i="1"/>
  <c r="J13" i="1" s="1"/>
  <c r="I6" i="1"/>
</calcChain>
</file>

<file path=xl/sharedStrings.xml><?xml version="1.0" encoding="utf-8"?>
<sst xmlns="http://schemas.openxmlformats.org/spreadsheetml/2006/main" count="48" uniqueCount="32">
  <si>
    <t>Midterm grade</t>
  </si>
  <si>
    <t>HW #3</t>
  </si>
  <si>
    <t>HW #2</t>
  </si>
  <si>
    <t>HW #1</t>
  </si>
  <si>
    <t>(Quiz)</t>
  </si>
  <si>
    <t>General Knowledge Quiz</t>
  </si>
  <si>
    <t>What You will need on the final</t>
  </si>
  <si>
    <t>Do not forget to use your resubmitted HW grade</t>
  </si>
  <si>
    <t>A=90, B+=85, B=80,C+=75, C=70, D+=65, D=60</t>
  </si>
  <si>
    <t>What grade you want?</t>
  </si>
  <si>
    <t>Presentation Grade</t>
  </si>
  <si>
    <t>Extra credit for final</t>
  </si>
  <si>
    <t>%</t>
  </si>
  <si>
    <t>What grade you expect on the final  (Not including Quiz extra credit)</t>
  </si>
  <si>
    <t>What your final grade is going to be.</t>
  </si>
  <si>
    <t>LETTER GRADE</t>
  </si>
  <si>
    <t>EMCH 380 Final Grade Calculator</t>
  </si>
  <si>
    <t>Final Grade</t>
  </si>
  <si>
    <t>Midterm Grades</t>
  </si>
  <si>
    <t>Midterm 1</t>
  </si>
  <si>
    <t>Midterm 2</t>
  </si>
  <si>
    <t>Midterm 3</t>
  </si>
  <si>
    <t>Part 1</t>
  </si>
  <si>
    <t>Part 2</t>
  </si>
  <si>
    <t>HW #5</t>
  </si>
  <si>
    <t>HW #6</t>
  </si>
  <si>
    <t>Final Exam</t>
  </si>
  <si>
    <t>Letter Grade</t>
  </si>
  <si>
    <t>EMCH 310 Final Grade Calculator</t>
  </si>
  <si>
    <t>What I got</t>
  </si>
  <si>
    <t>C</t>
  </si>
  <si>
    <t>HW #4    (set to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</si>
</sst>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3" applyNumberFormat="0" applyAlignment="0" applyProtection="0"/>
    <xf numFmtId="0" fontId="4" fillId="3" borderId="2" applyNumberFormat="0" applyAlignment="0" applyProtection="0"/>
  </cellStyleXfs>
  <cellXfs count="14">
    <xf numFmtId="0" fontId="0" fillId="0" borderId="0" xfId="0"/>
    <xf numFmtId="0" fontId="2" fillId="2" borderId="2" xfId="2" applyAlignment="1">
      <alignment horizontal="center"/>
    </xf>
    <xf numFmtId="0" fontId="3" fillId="3" borderId="3" xfId="3"/>
    <xf numFmtId="0" fontId="4" fillId="3" borderId="2" xfId="4" applyAlignment="1">
      <alignment horizontal="center" vertical="center" wrapText="1"/>
    </xf>
    <xf numFmtId="0" fontId="4" fillId="3" borderId="2" xfId="4" applyAlignment="1">
      <alignment horizontal="center" vertical="center"/>
    </xf>
    <xf numFmtId="0" fontId="4" fillId="3" borderId="2" xfId="4" applyAlignment="1">
      <alignment wrapText="1"/>
    </xf>
    <xf numFmtId="0" fontId="4" fillId="3" borderId="2" xfId="4" applyAlignment="1">
      <alignment horizontal="center"/>
    </xf>
    <xf numFmtId="0" fontId="3" fillId="3" borderId="3" xfId="3" applyAlignment="1">
      <alignment horizontal="center"/>
    </xf>
    <xf numFmtId="0" fontId="4" fillId="3" borderId="2" xfId="4" applyAlignment="1">
      <alignment vertical="center"/>
    </xf>
    <xf numFmtId="0" fontId="4" fillId="3" borderId="2" xfId="4" applyAlignment="1">
      <alignment horizontal="center" vertical="center" wrapText="1"/>
    </xf>
    <xf numFmtId="0" fontId="1" fillId="0" borderId="1" xfId="1" applyAlignment="1">
      <alignment horizontal="center" vertical="center"/>
    </xf>
    <xf numFmtId="0" fontId="4" fillId="3" borderId="2" xfId="4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4" fillId="3" borderId="2" xfId="4" applyAlignment="1">
      <alignment horizontal="center" vertical="center"/>
    </xf>
  </cellXfs>
  <cellStyles count="5">
    <cellStyle name="Calculation" xfId="4" builtinId="22"/>
    <cellStyle name="Heading 1" xfId="1" builtinId="16"/>
    <cellStyle name="Input" xfId="2" builtinId="20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7A2C-416D-4E5F-96C1-484FF9044665}">
  <dimension ref="A1:AA13"/>
  <sheetViews>
    <sheetView tabSelected="1" zoomScale="115" zoomScaleNormal="115" workbookViewId="0">
      <selection activeCell="Q7" sqref="Q7"/>
    </sheetView>
  </sheetViews>
  <sheetFormatPr defaultRowHeight="15" x14ac:dyDescent="0.25"/>
  <cols>
    <col min="1" max="1" width="9" customWidth="1"/>
    <col min="4" max="4" width="9.5703125" customWidth="1"/>
    <col min="5" max="5" width="16.42578125" customWidth="1"/>
    <col min="6" max="6" width="10.7109375" customWidth="1"/>
    <col min="7" max="7" width="13.7109375" customWidth="1"/>
    <col min="8" max="8" width="23.140625" customWidth="1"/>
    <col min="9" max="9" width="20.42578125" customWidth="1"/>
    <col min="21" max="21" width="11.28515625" bestFit="1" customWidth="1"/>
  </cols>
  <sheetData>
    <row r="1" spans="1:27" ht="15.75" thickBot="1" x14ac:dyDescent="0.3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L1" s="10" t="s">
        <v>28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7" ht="16.5" thickTop="1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7" ht="16.5" thickTop="1" thickBo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7" ht="45.75" thickTop="1" x14ac:dyDescent="0.25">
      <c r="A4" s="9" t="s">
        <v>0</v>
      </c>
      <c r="B4" s="9" t="s">
        <v>7</v>
      </c>
      <c r="C4" s="9"/>
      <c r="D4" s="9"/>
      <c r="E4" s="9" t="s">
        <v>5</v>
      </c>
      <c r="F4" s="3" t="s">
        <v>11</v>
      </c>
      <c r="G4" s="9" t="s">
        <v>10</v>
      </c>
      <c r="H4" s="5" t="s">
        <v>8</v>
      </c>
      <c r="I4" s="9" t="s">
        <v>6</v>
      </c>
      <c r="J4" s="9"/>
      <c r="L4" s="13" t="s">
        <v>18</v>
      </c>
      <c r="M4" s="13"/>
      <c r="N4" s="13"/>
      <c r="O4" s="13"/>
      <c r="P4" s="13"/>
      <c r="Q4" s="13"/>
      <c r="R4" s="13" t="s">
        <v>3</v>
      </c>
      <c r="S4" s="13" t="s">
        <v>2</v>
      </c>
      <c r="T4" s="13" t="s">
        <v>1</v>
      </c>
      <c r="U4" s="9" t="s">
        <v>31</v>
      </c>
      <c r="V4" s="13" t="s">
        <v>24</v>
      </c>
      <c r="W4" s="13" t="s">
        <v>25</v>
      </c>
      <c r="X4" s="9" t="s">
        <v>26</v>
      </c>
      <c r="Y4" s="9" t="s">
        <v>17</v>
      </c>
      <c r="Z4" s="9" t="s">
        <v>27</v>
      </c>
      <c r="AA4" s="12" t="s">
        <v>29</v>
      </c>
    </row>
    <row r="5" spans="1:27" ht="15" customHeight="1" x14ac:dyDescent="0.25">
      <c r="A5" s="9"/>
      <c r="B5" s="4" t="s">
        <v>3</v>
      </c>
      <c r="C5" s="4" t="s">
        <v>2</v>
      </c>
      <c r="D5" s="4" t="s">
        <v>1</v>
      </c>
      <c r="E5" s="9"/>
      <c r="F5" s="4" t="s">
        <v>4</v>
      </c>
      <c r="G5" s="9"/>
      <c r="H5" s="6" t="s">
        <v>9</v>
      </c>
      <c r="I5" s="9"/>
      <c r="J5" s="9"/>
      <c r="L5" s="13" t="s">
        <v>19</v>
      </c>
      <c r="M5" s="13"/>
      <c r="N5" s="13" t="s">
        <v>20</v>
      </c>
      <c r="O5" s="13"/>
      <c r="P5" s="13" t="s">
        <v>21</v>
      </c>
      <c r="Q5" s="13"/>
      <c r="R5" s="13"/>
      <c r="S5" s="13"/>
      <c r="T5" s="13"/>
      <c r="U5" s="9"/>
      <c r="V5" s="13"/>
      <c r="W5" s="13"/>
      <c r="X5" s="9"/>
      <c r="Y5" s="9"/>
      <c r="Z5" s="9"/>
      <c r="AA5" s="12"/>
    </row>
    <row r="6" spans="1:27" x14ac:dyDescent="0.25">
      <c r="A6" s="1">
        <v>100</v>
      </c>
      <c r="B6" s="1">
        <v>100</v>
      </c>
      <c r="C6" s="1">
        <v>95</v>
      </c>
      <c r="D6" s="1">
        <v>100</v>
      </c>
      <c r="E6" s="1">
        <v>100</v>
      </c>
      <c r="F6" s="1">
        <v>10</v>
      </c>
      <c r="G6" s="1">
        <v>90</v>
      </c>
      <c r="H6" s="1">
        <v>100</v>
      </c>
      <c r="I6" s="2">
        <f>((H6-(25*G6/100+5*E6/100+25*(D6+C6+B6)/300+20*A6/100))/25)*100-F6</f>
        <v>101.66666666666669</v>
      </c>
      <c r="J6" s="2" t="s">
        <v>12</v>
      </c>
      <c r="L6" s="8" t="s">
        <v>22</v>
      </c>
      <c r="M6" s="8" t="s">
        <v>23</v>
      </c>
      <c r="N6" s="8" t="s">
        <v>22</v>
      </c>
      <c r="O6" s="8" t="s">
        <v>23</v>
      </c>
      <c r="P6" s="8" t="s">
        <v>22</v>
      </c>
      <c r="Q6" s="8" t="s">
        <v>23</v>
      </c>
      <c r="R6" s="13"/>
      <c r="S6" s="13"/>
      <c r="T6" s="13"/>
      <c r="U6" s="9"/>
      <c r="V6" s="13"/>
      <c r="W6" s="13"/>
      <c r="X6" s="9"/>
      <c r="Y6" s="9"/>
      <c r="Z6" s="9"/>
      <c r="AA6" s="12"/>
    </row>
    <row r="7" spans="1:27" x14ac:dyDescent="0.25">
      <c r="L7" s="1">
        <v>77</v>
      </c>
      <c r="M7" s="1">
        <f>100/110*100</f>
        <v>90.909090909090907</v>
      </c>
      <c r="N7" s="1">
        <v>100</v>
      </c>
      <c r="O7" s="1">
        <v>100</v>
      </c>
      <c r="P7" s="1">
        <f>14/15*100</f>
        <v>93.333333333333329</v>
      </c>
      <c r="Q7" s="1">
        <v>0</v>
      </c>
      <c r="R7" s="1">
        <v>85</v>
      </c>
      <c r="S7" s="1">
        <v>95</v>
      </c>
      <c r="T7" s="1">
        <v>72.5</v>
      </c>
      <c r="U7" s="1">
        <v>100</v>
      </c>
      <c r="V7" s="1">
        <v>100</v>
      </c>
      <c r="W7" s="1">
        <v>100</v>
      </c>
      <c r="X7" s="1">
        <v>40</v>
      </c>
      <c r="Y7" s="7">
        <f>X7/100*30+20*(SUM(R7:W7)-MIN(R7:W7))/500+(L7*0.6+M7*0.4)*0.2+(N7+O7+P7+Q7)*0.5*30/200</f>
        <v>69.712727272727278</v>
      </c>
      <c r="Z7" s="7" t="str">
        <f>IF(Y7&lt;60,"F",IF(Y7&lt;65,"D",IF(Y7&lt;70,"D+",IF(Y7&lt;75,"C",IF(Y7&lt;80,"C+",IF(Y7&lt;85,"B",IF(Y7&lt;90,"B+","A")))))))</f>
        <v>D+</v>
      </c>
      <c r="AA7" t="s">
        <v>30</v>
      </c>
    </row>
    <row r="11" spans="1:27" ht="51.75" customHeight="1" x14ac:dyDescent="0.25">
      <c r="A11" s="9" t="s">
        <v>0</v>
      </c>
      <c r="B11" s="9" t="s">
        <v>7</v>
      </c>
      <c r="C11" s="9"/>
      <c r="D11" s="9"/>
      <c r="E11" s="9" t="s">
        <v>5</v>
      </c>
      <c r="F11" s="3" t="s">
        <v>11</v>
      </c>
      <c r="G11" s="9" t="s">
        <v>10</v>
      </c>
      <c r="H11" s="11" t="s">
        <v>13</v>
      </c>
      <c r="I11" s="9" t="s">
        <v>14</v>
      </c>
      <c r="J11" s="9" t="s">
        <v>15</v>
      </c>
    </row>
    <row r="12" spans="1:27" ht="15" customHeight="1" x14ac:dyDescent="0.25">
      <c r="A12" s="9"/>
      <c r="B12" s="4" t="s">
        <v>3</v>
      </c>
      <c r="C12" s="4" t="s">
        <v>2</v>
      </c>
      <c r="D12" s="4" t="s">
        <v>1</v>
      </c>
      <c r="E12" s="9"/>
      <c r="F12" s="4" t="s">
        <v>4</v>
      </c>
      <c r="G12" s="9"/>
      <c r="H12" s="11"/>
      <c r="I12" s="9"/>
      <c r="J12" s="9"/>
    </row>
    <row r="13" spans="1:27" x14ac:dyDescent="0.25">
      <c r="A13" s="1">
        <v>100</v>
      </c>
      <c r="B13" s="1">
        <v>100</v>
      </c>
      <c r="C13" s="1">
        <v>95</v>
      </c>
      <c r="D13" s="1">
        <v>100</v>
      </c>
      <c r="E13" s="1">
        <v>100</v>
      </c>
      <c r="F13" s="1">
        <v>10</v>
      </c>
      <c r="G13" s="1">
        <v>90</v>
      </c>
      <c r="H13" s="1">
        <v>90</v>
      </c>
      <c r="I13" s="7">
        <f>A13/100*20+(B13+C13+D13)*25/300+E13*5/100+G13*25/100+(H13+F13)*25/100</f>
        <v>97.083333333333329</v>
      </c>
      <c r="J13" s="7" t="str">
        <f>IF(I13&lt;60,"F",IF(I13&lt;65,"D",IF(I13&lt;70,"D+",IF(I13&lt;75,"C",IF(I13&lt;80,"C+",IF(I13&lt;85,"B",IF(I13&lt;90,"B+","A")))))))</f>
        <v>A</v>
      </c>
    </row>
  </sheetData>
  <mergeCells count="30">
    <mergeCell ref="L1:Z3"/>
    <mergeCell ref="AA4:AA6"/>
    <mergeCell ref="W4:W6"/>
    <mergeCell ref="X4:X6"/>
    <mergeCell ref="Y4:Y6"/>
    <mergeCell ref="Z4:Z6"/>
    <mergeCell ref="R4:R6"/>
    <mergeCell ref="S4:S6"/>
    <mergeCell ref="T4:T6"/>
    <mergeCell ref="U4:U6"/>
    <mergeCell ref="V4:V6"/>
    <mergeCell ref="L4:Q4"/>
    <mergeCell ref="L5:M5"/>
    <mergeCell ref="N5:O5"/>
    <mergeCell ref="P5:Q5"/>
    <mergeCell ref="I11:I12"/>
    <mergeCell ref="J11:J12"/>
    <mergeCell ref="A1:I3"/>
    <mergeCell ref="J1:J3"/>
    <mergeCell ref="J4:J5"/>
    <mergeCell ref="B4:D4"/>
    <mergeCell ref="E4:E5"/>
    <mergeCell ref="I4:I5"/>
    <mergeCell ref="G4:G5"/>
    <mergeCell ref="A4:A5"/>
    <mergeCell ref="A11:A12"/>
    <mergeCell ref="B11:D11"/>
    <mergeCell ref="E11:E12"/>
    <mergeCell ref="G11:G12"/>
    <mergeCell ref="H11:H1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Vaught</cp:lastModifiedBy>
  <dcterms:created xsi:type="dcterms:W3CDTF">2021-12-08T21:41:50Z</dcterms:created>
  <dcterms:modified xsi:type="dcterms:W3CDTF">2022-02-02T00:04:35Z</dcterms:modified>
</cp:coreProperties>
</file>