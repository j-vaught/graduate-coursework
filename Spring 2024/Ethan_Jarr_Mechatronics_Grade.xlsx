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60" documentId="8_{85CB0A42-F33A-4D77-A7AD-8F8D2F2E9028}" xr6:coauthVersionLast="47" xr6:coauthVersionMax="47" xr10:uidLastSave="{3CC7D0B7-6530-4354-962D-5FD8FCD1CD74}"/>
  <bookViews>
    <workbookView xWindow="-110" yWindow="-110" windowWidth="25180" windowHeight="16140" xr2:uid="{D34CC219-237A-4472-BE22-5D335B5C050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9" i="1" s="1"/>
  <c r="G11" i="1"/>
  <c r="D4" i="1" s="1"/>
  <c r="E4" i="1" s="1"/>
  <c r="K11" i="1"/>
  <c r="I11" i="1"/>
  <c r="D6" i="1" s="1"/>
  <c r="E6" i="1" s="1"/>
  <c r="M11" i="1"/>
  <c r="D8" i="1"/>
  <c r="E8" i="1" s="1"/>
  <c r="D7" i="1"/>
  <c r="E7" i="1" s="1"/>
  <c r="D3" i="1"/>
  <c r="E3" i="1" s="1"/>
</calcChain>
</file>

<file path=xl/sharedStrings.xml><?xml version="1.0" encoding="utf-8"?>
<sst xmlns="http://schemas.openxmlformats.org/spreadsheetml/2006/main" count="40" uniqueCount="38">
  <si>
    <t>vvvv   DO NOT EDIT THIS TABLE HERE   vvvv</t>
  </si>
  <si>
    <t>% of grade</t>
  </si>
  <si>
    <t>Grade</t>
  </si>
  <si>
    <t># of points</t>
  </si>
  <si>
    <t>Attendance</t>
  </si>
  <si>
    <t>HW best 11</t>
  </si>
  <si>
    <t>Final</t>
  </si>
  <si>
    <t>Project 1</t>
  </si>
  <si>
    <t>Project 2</t>
  </si>
  <si>
    <t>Labs</t>
  </si>
  <si>
    <t>SUM</t>
  </si>
  <si>
    <t>Attendance TOTAL</t>
  </si>
  <si>
    <t>HW AVG</t>
  </si>
  <si>
    <t>Project 1 AVG</t>
  </si>
  <si>
    <t>Project 2 AVG</t>
  </si>
  <si>
    <t>Labs AVG</t>
  </si>
  <si>
    <t>In-Lab</t>
  </si>
  <si>
    <t>P-Lab 1</t>
  </si>
  <si>
    <t>Report</t>
  </si>
  <si>
    <t>I-Lab 1</t>
  </si>
  <si>
    <t>P-Lab 2</t>
  </si>
  <si>
    <t>I-Lab 2</t>
  </si>
  <si>
    <t>P-Lab 3</t>
  </si>
  <si>
    <t>I-Lab 3</t>
  </si>
  <si>
    <t>P-Lab 4</t>
  </si>
  <si>
    <t>I-Lab 4</t>
  </si>
  <si>
    <t>P-Lab 6</t>
  </si>
  <si>
    <t>I-Lab 6</t>
  </si>
  <si>
    <t>P-Lab 7</t>
  </si>
  <si>
    <t>I-Lab 7</t>
  </si>
  <si>
    <t>P-Lab 8</t>
  </si>
  <si>
    <t>I-Lab 8</t>
  </si>
  <si>
    <t>P-Lab 9</t>
  </si>
  <si>
    <t>I-Lab 9</t>
  </si>
  <si>
    <t>P-Lab 10</t>
  </si>
  <si>
    <t>I-Lab 10</t>
  </si>
  <si>
    <t>P-Lab 11</t>
  </si>
  <si>
    <t>I-Lab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</si>
</sst>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/>
    <xf numFmtId="9" fontId="1" fillId="3" borderId="0" xfId="3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4" borderId="0" xfId="4" applyBorder="1"/>
    <xf numFmtId="9" fontId="0" fillId="0" borderId="0" xfId="0" applyNumberFormat="1"/>
    <xf numFmtId="0" fontId="1" fillId="2" borderId="6" xfId="2" applyBorder="1"/>
    <xf numFmtId="0" fontId="0" fillId="0" borderId="7" xfId="0" applyBorder="1"/>
    <xf numFmtId="0" fontId="0" fillId="0" borderId="8" xfId="0" applyBorder="1"/>
    <xf numFmtId="0" fontId="2" fillId="0" borderId="9" xfId="1" applyBorder="1"/>
    <xf numFmtId="0" fontId="2" fillId="0" borderId="10" xfId="1" applyBorder="1"/>
    <xf numFmtId="0" fontId="0" fillId="0" borderId="0" xfId="0" applyAlignment="1">
      <alignment horizontal="right"/>
    </xf>
    <xf numFmtId="0" fontId="0" fillId="5" borderId="8" xfId="0" applyFill="1" applyBorder="1" applyAlignment="1">
      <alignment horizontal="center"/>
    </xf>
  </cellXfs>
  <cellStyles count="5">
    <cellStyle name="40% - Accent4" xfId="2" builtinId="43"/>
    <cellStyle name="40% - Accent5" xfId="3" builtinId="47"/>
    <cellStyle name="40% - Accent6" xfId="4" builtinId="51"/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8C88-55A2-4D33-AE54-D2D156AF11C8}">
  <dimension ref="B1:M31"/>
  <sheetViews>
    <sheetView tabSelected="1" zoomScale="117" workbookViewId="0">
      <selection activeCell="H9" sqref="H9"/>
    </sheetView>
  </sheetViews>
  <sheetFormatPr defaultRowHeight="14.5" x14ac:dyDescent="0.35"/>
  <cols>
    <col min="2" max="2" width="14.54296875" customWidth="1"/>
    <col min="4" max="4" width="16.81640625" customWidth="1"/>
    <col min="8" max="8" width="12.26953125" customWidth="1"/>
    <col min="10" max="10" width="11.7265625" customWidth="1"/>
  </cols>
  <sheetData>
    <row r="1" spans="2:13" ht="15" thickBot="1" x14ac:dyDescent="0.4">
      <c r="B1" s="15" t="s">
        <v>0</v>
      </c>
      <c r="C1" s="15"/>
      <c r="D1" s="15"/>
      <c r="E1" s="15"/>
    </row>
    <row r="2" spans="2:13" x14ac:dyDescent="0.35">
      <c r="B2" s="3"/>
      <c r="C2" s="4" t="s">
        <v>1</v>
      </c>
      <c r="D2" s="4" t="s">
        <v>2</v>
      </c>
      <c r="E2" s="5" t="s">
        <v>3</v>
      </c>
    </row>
    <row r="3" spans="2:13" x14ac:dyDescent="0.35">
      <c r="B3" s="6" t="s">
        <v>4</v>
      </c>
      <c r="C3" s="7">
        <v>5</v>
      </c>
      <c r="D3" s="8">
        <f>E11</f>
        <v>1</v>
      </c>
      <c r="E3" s="9">
        <f>D3*C3</f>
        <v>5</v>
      </c>
    </row>
    <row r="4" spans="2:13" x14ac:dyDescent="0.35">
      <c r="B4" s="6" t="s">
        <v>5</v>
      </c>
      <c r="C4" s="7">
        <v>25</v>
      </c>
      <c r="D4" s="8">
        <f>G11</f>
        <v>0.875</v>
      </c>
      <c r="E4" s="9">
        <f t="shared" ref="E4:E8" si="0">D4*C4</f>
        <v>21.875</v>
      </c>
    </row>
    <row r="5" spans="2:13" x14ac:dyDescent="0.35">
      <c r="B5" s="6" t="s">
        <v>6</v>
      </c>
      <c r="C5" s="7">
        <v>20</v>
      </c>
      <c r="D5" s="8">
        <v>0.9</v>
      </c>
      <c r="E5" s="9">
        <f t="shared" si="0"/>
        <v>18</v>
      </c>
    </row>
    <row r="6" spans="2:13" x14ac:dyDescent="0.35">
      <c r="B6" s="6" t="s">
        <v>7</v>
      </c>
      <c r="C6" s="7">
        <v>10</v>
      </c>
      <c r="D6" s="8">
        <f>I11</f>
        <v>0.94</v>
      </c>
      <c r="E6" s="9">
        <f t="shared" si="0"/>
        <v>9.3999999999999986</v>
      </c>
    </row>
    <row r="7" spans="2:13" x14ac:dyDescent="0.35">
      <c r="B7" s="6" t="s">
        <v>8</v>
      </c>
      <c r="C7" s="7">
        <v>10</v>
      </c>
      <c r="D7" s="8">
        <f>K11</f>
        <v>0.89</v>
      </c>
      <c r="E7" s="9">
        <f t="shared" si="0"/>
        <v>8.9</v>
      </c>
    </row>
    <row r="8" spans="2:13" x14ac:dyDescent="0.35">
      <c r="B8" s="6" t="s">
        <v>9</v>
      </c>
      <c r="C8" s="7">
        <v>30</v>
      </c>
      <c r="D8" s="8">
        <f>M11</f>
        <v>0.96799999999999997</v>
      </c>
      <c r="E8" s="9">
        <f t="shared" si="0"/>
        <v>29.04</v>
      </c>
    </row>
    <row r="9" spans="2:13" ht="15" thickBot="1" x14ac:dyDescent="0.4">
      <c r="B9" s="10"/>
      <c r="C9" s="11"/>
      <c r="D9" s="12" t="s">
        <v>10</v>
      </c>
      <c r="E9" s="13">
        <f>SUM(E3:E8)</f>
        <v>92.215000000000003</v>
      </c>
    </row>
    <row r="11" spans="2:13" x14ac:dyDescent="0.35">
      <c r="D11" s="1" t="s">
        <v>11</v>
      </c>
      <c r="E11" s="2">
        <v>1</v>
      </c>
      <c r="F11" s="1" t="s">
        <v>12</v>
      </c>
      <c r="G11" s="2">
        <f>AVERAGE(G12:G23)/100</f>
        <v>0.875</v>
      </c>
      <c r="H11" s="1" t="s">
        <v>13</v>
      </c>
      <c r="I11" s="2">
        <f>(I12+I13)/100</f>
        <v>0.94</v>
      </c>
      <c r="J11" s="1" t="s">
        <v>14</v>
      </c>
      <c r="K11" s="2">
        <f>(K12+K13)/100</f>
        <v>0.89</v>
      </c>
      <c r="L11" s="1" t="s">
        <v>15</v>
      </c>
      <c r="M11" s="2">
        <f>AVERAGE(M12:M31)/100*2</f>
        <v>0.96799999999999997</v>
      </c>
    </row>
    <row r="12" spans="2:13" x14ac:dyDescent="0.35">
      <c r="G12">
        <v>100</v>
      </c>
      <c r="H12" s="14" t="s">
        <v>16</v>
      </c>
      <c r="I12">
        <v>50</v>
      </c>
      <c r="J12" s="14" t="s">
        <v>16</v>
      </c>
      <c r="K12">
        <v>50</v>
      </c>
      <c r="L12" s="14" t="s">
        <v>17</v>
      </c>
      <c r="M12">
        <v>50</v>
      </c>
    </row>
    <row r="13" spans="2:13" x14ac:dyDescent="0.35">
      <c r="G13">
        <v>100</v>
      </c>
      <c r="H13" s="14" t="s">
        <v>18</v>
      </c>
      <c r="I13">
        <v>44</v>
      </c>
      <c r="J13" s="14" t="s">
        <v>18</v>
      </c>
      <c r="K13">
        <v>39</v>
      </c>
      <c r="L13" s="14" t="s">
        <v>19</v>
      </c>
      <c r="M13">
        <v>50</v>
      </c>
    </row>
    <row r="14" spans="2:13" x14ac:dyDescent="0.35">
      <c r="G14">
        <v>100</v>
      </c>
      <c r="L14" s="14" t="s">
        <v>20</v>
      </c>
      <c r="M14">
        <v>50</v>
      </c>
    </row>
    <row r="15" spans="2:13" x14ac:dyDescent="0.35">
      <c r="G15">
        <v>100</v>
      </c>
      <c r="L15" s="14" t="s">
        <v>21</v>
      </c>
      <c r="M15">
        <v>50</v>
      </c>
    </row>
    <row r="16" spans="2:13" x14ac:dyDescent="0.35">
      <c r="G16">
        <v>80</v>
      </c>
      <c r="L16" s="14" t="s">
        <v>22</v>
      </c>
      <c r="M16">
        <v>50</v>
      </c>
    </row>
    <row r="17" spans="7:13" x14ac:dyDescent="0.35">
      <c r="G17">
        <v>70</v>
      </c>
      <c r="L17" s="14" t="s">
        <v>23</v>
      </c>
      <c r="M17">
        <v>50</v>
      </c>
    </row>
    <row r="18" spans="7:13" x14ac:dyDescent="0.35">
      <c r="G18">
        <v>90</v>
      </c>
      <c r="L18" s="14" t="s">
        <v>24</v>
      </c>
      <c r="M18">
        <v>50</v>
      </c>
    </row>
    <row r="19" spans="7:13" x14ac:dyDescent="0.35">
      <c r="G19">
        <v>100</v>
      </c>
      <c r="L19" s="14" t="s">
        <v>25</v>
      </c>
      <c r="M19">
        <v>40</v>
      </c>
    </row>
    <row r="20" spans="7:13" x14ac:dyDescent="0.35">
      <c r="G20">
        <v>80</v>
      </c>
      <c r="L20" s="14" t="s">
        <v>26</v>
      </c>
      <c r="M20">
        <v>50</v>
      </c>
    </row>
    <row r="21" spans="7:13" x14ac:dyDescent="0.35">
      <c r="G21">
        <v>90</v>
      </c>
      <c r="L21" s="14" t="s">
        <v>27</v>
      </c>
      <c r="M21">
        <v>50</v>
      </c>
    </row>
    <row r="22" spans="7:13" x14ac:dyDescent="0.35">
      <c r="G22">
        <v>40</v>
      </c>
      <c r="L22" s="14" t="s">
        <v>28</v>
      </c>
      <c r="M22">
        <v>50</v>
      </c>
    </row>
    <row r="23" spans="7:13" x14ac:dyDescent="0.35">
      <c r="G23">
        <v>100</v>
      </c>
      <c r="L23" s="14" t="s">
        <v>29</v>
      </c>
      <c r="M23">
        <v>50</v>
      </c>
    </row>
    <row r="24" spans="7:13" x14ac:dyDescent="0.35">
      <c r="L24" s="14" t="s">
        <v>30</v>
      </c>
      <c r="M24">
        <v>50</v>
      </c>
    </row>
    <row r="25" spans="7:13" x14ac:dyDescent="0.35">
      <c r="L25" s="14" t="s">
        <v>31</v>
      </c>
      <c r="M25">
        <v>50</v>
      </c>
    </row>
    <row r="26" spans="7:13" x14ac:dyDescent="0.35">
      <c r="L26" s="14" t="s">
        <v>32</v>
      </c>
      <c r="M26">
        <v>50</v>
      </c>
    </row>
    <row r="27" spans="7:13" x14ac:dyDescent="0.35">
      <c r="L27" s="14" t="s">
        <v>33</v>
      </c>
      <c r="M27">
        <v>50</v>
      </c>
    </row>
    <row r="28" spans="7:13" x14ac:dyDescent="0.35">
      <c r="L28" s="14" t="s">
        <v>34</v>
      </c>
      <c r="M28">
        <v>35</v>
      </c>
    </row>
    <row r="29" spans="7:13" x14ac:dyDescent="0.35">
      <c r="L29" s="14" t="s">
        <v>35</v>
      </c>
      <c r="M29">
        <v>49</v>
      </c>
    </row>
    <row r="30" spans="7:13" x14ac:dyDescent="0.35">
      <c r="L30" s="14" t="s">
        <v>36</v>
      </c>
      <c r="M30">
        <v>50</v>
      </c>
    </row>
    <row r="31" spans="7:13" x14ac:dyDescent="0.35">
      <c r="L31" s="14" t="s">
        <v>37</v>
      </c>
      <c r="M31">
        <v>44</v>
      </c>
    </row>
  </sheetData>
  <mergeCells count="1">
    <mergeCell ref="B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Vaught, Jacob</cp:lastModifiedBy>
  <cp:revision/>
  <dcterms:created xsi:type="dcterms:W3CDTF">2024-04-24T03:25:59Z</dcterms:created>
  <dcterms:modified xsi:type="dcterms:W3CDTF">2024-04-25T17:06:44Z</dcterms:modified>
  <cp:category/>
  <cp:contentStatus/>
</cp:coreProperties>
</file>