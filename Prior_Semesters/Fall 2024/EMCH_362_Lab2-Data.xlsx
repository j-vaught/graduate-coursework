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queryTables/queryTable1.xml" ContentType="application/vnd.openxmlformats-officedocument.spreadsheetml.query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queryTables/queryTable2.xml" ContentType="application/vnd.openxmlformats-officedocument.spreadsheetml.queryTab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10"/>
  <workbookPr/>
  <mc:AlternateContent xmlns:mc="http://schemas.openxmlformats.org/markup-compatibility/2006">
    <mc:Choice Requires="x15">
      <x15ac:absPath xmlns:x15ac="http://schemas.microsoft.com/office/spreadsheetml/2010/11/ac" url="https://emailsc-my.sharepoint.com/personal/jvaught_sc_edu/Documents/"/>
    </mc:Choice>
  </mc:AlternateContent>
  <xr:revisionPtr revIDLastSave="275" documentId="8_{A0DC3C0A-5727-754C-B708-95C57C4E1EE1}" xr6:coauthVersionLast="47" xr6:coauthVersionMax="47" xr10:uidLastSave="{3711BFBF-9E36-4743-8E1B-AD56287F87C1}"/>
  <bookViews>
    <workbookView xWindow="-120" yWindow="-120" windowWidth="29040" windowHeight="15720" firstSheet="2" activeTab="2" xr2:uid="{34257165-CFB6-4E43-A5F0-8FA1F5F7DA61}"/>
  </bookViews>
  <sheets>
    <sheet name="Part 1 Data" sheetId="2" r:id="rId1"/>
    <sheet name="Part 2 Data" sheetId="3" r:id="rId2"/>
    <sheet name="Part 3 Data" sheetId="1" r:id="rId3"/>
  </sheets>
  <definedNames>
    <definedName name="Analog___9_9_2024_5_58_51.3_PM" localSheetId="0">'Part 1 Data'!$A$2:$I$47</definedName>
    <definedName name="convectionlab_data" localSheetId="2">'Part 3 Data'!$A$2:$B$2872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3" i="1" l="1"/>
  <c r="Y3" i="1" s="1"/>
  <c r="V3" i="1"/>
  <c r="W3" i="1" s="1"/>
  <c r="L16" i="1"/>
  <c r="L15" i="1"/>
  <c r="G4" i="1"/>
  <c r="H4" i="1" s="1"/>
  <c r="G5" i="1"/>
  <c r="H5" i="1" s="1"/>
  <c r="G6" i="1"/>
  <c r="H6" i="1" s="1"/>
  <c r="G7" i="1"/>
  <c r="H7" i="1" s="1"/>
  <c r="G8" i="1"/>
  <c r="H8" i="1" s="1"/>
  <c r="G9" i="1"/>
  <c r="H9" i="1" s="1"/>
  <c r="G10" i="1"/>
  <c r="H10" i="1" s="1"/>
  <c r="G11" i="1"/>
  <c r="H11" i="1" s="1"/>
  <c r="G12" i="1"/>
  <c r="H12" i="1" s="1"/>
  <c r="G13" i="1"/>
  <c r="H13" i="1" s="1"/>
  <c r="G14" i="1"/>
  <c r="H14" i="1" s="1"/>
  <c r="G15" i="1"/>
  <c r="H15" i="1" s="1"/>
  <c r="G16" i="1"/>
  <c r="H16" i="1" s="1"/>
  <c r="G17" i="1"/>
  <c r="H17" i="1" s="1"/>
  <c r="G18" i="1"/>
  <c r="H18" i="1" s="1"/>
  <c r="G19" i="1"/>
  <c r="H19" i="1" s="1"/>
  <c r="G20" i="1"/>
  <c r="H20" i="1" s="1"/>
  <c r="G21" i="1"/>
  <c r="H21" i="1" s="1"/>
  <c r="G22" i="1"/>
  <c r="H22" i="1" s="1"/>
  <c r="G23" i="1"/>
  <c r="H23" i="1" s="1"/>
  <c r="G24" i="1"/>
  <c r="H24" i="1" s="1"/>
  <c r="G25" i="1"/>
  <c r="H25" i="1" s="1"/>
  <c r="G26" i="1"/>
  <c r="H26" i="1" s="1"/>
  <c r="G27" i="1"/>
  <c r="H27" i="1" s="1"/>
  <c r="G28" i="1"/>
  <c r="H28" i="1" s="1"/>
  <c r="G29" i="1"/>
  <c r="H29" i="1" s="1"/>
  <c r="G30" i="1"/>
  <c r="H30" i="1" s="1"/>
  <c r="G31" i="1"/>
  <c r="H31" i="1" s="1"/>
  <c r="G32" i="1"/>
  <c r="H32" i="1" s="1"/>
  <c r="G33" i="1"/>
  <c r="H33" i="1" s="1"/>
  <c r="G34" i="1"/>
  <c r="H34" i="1" s="1"/>
  <c r="G35" i="1"/>
  <c r="H35" i="1" s="1"/>
  <c r="G36" i="1"/>
  <c r="H36" i="1" s="1"/>
  <c r="G37" i="1"/>
  <c r="H37" i="1" s="1"/>
  <c r="G38" i="1"/>
  <c r="H38" i="1" s="1"/>
  <c r="G39" i="1"/>
  <c r="H39" i="1" s="1"/>
  <c r="G40" i="1"/>
  <c r="H40" i="1" s="1"/>
  <c r="G41" i="1"/>
  <c r="H41" i="1" s="1"/>
  <c r="G42" i="1"/>
  <c r="H42" i="1" s="1"/>
  <c r="G43" i="1"/>
  <c r="H43" i="1" s="1"/>
  <c r="G44" i="1"/>
  <c r="H44" i="1" s="1"/>
  <c r="G45" i="1"/>
  <c r="H45" i="1" s="1"/>
  <c r="G46" i="1"/>
  <c r="H46" i="1" s="1"/>
  <c r="G47" i="1"/>
  <c r="H47" i="1" s="1"/>
  <c r="G48" i="1"/>
  <c r="H48" i="1" s="1"/>
  <c r="G49" i="1"/>
  <c r="H49" i="1" s="1"/>
  <c r="G50" i="1"/>
  <c r="H50" i="1" s="1"/>
  <c r="G51" i="1"/>
  <c r="H51" i="1" s="1"/>
  <c r="G52" i="1"/>
  <c r="H52" i="1" s="1"/>
  <c r="G53" i="1"/>
  <c r="H53" i="1" s="1"/>
  <c r="G54" i="1"/>
  <c r="H54" i="1" s="1"/>
  <c r="G55" i="1"/>
  <c r="H55" i="1" s="1"/>
  <c r="G56" i="1"/>
  <c r="H56" i="1" s="1"/>
  <c r="G57" i="1"/>
  <c r="H57" i="1" s="1"/>
  <c r="G58" i="1"/>
  <c r="H58" i="1" s="1"/>
  <c r="G59" i="1"/>
  <c r="H59" i="1" s="1"/>
  <c r="G60" i="1"/>
  <c r="H60" i="1" s="1"/>
  <c r="G61" i="1"/>
  <c r="H61" i="1" s="1"/>
  <c r="G62" i="1"/>
  <c r="H62" i="1" s="1"/>
  <c r="G63" i="1"/>
  <c r="H63" i="1" s="1"/>
  <c r="G64" i="1"/>
  <c r="H64" i="1" s="1"/>
  <c r="G65" i="1"/>
  <c r="H65" i="1" s="1"/>
  <c r="G66" i="1"/>
  <c r="H66" i="1" s="1"/>
  <c r="G67" i="1"/>
  <c r="H67" i="1" s="1"/>
  <c r="G68" i="1"/>
  <c r="H68" i="1" s="1"/>
  <c r="G69" i="1"/>
  <c r="H69" i="1" s="1"/>
  <c r="G70" i="1"/>
  <c r="H70" i="1" s="1"/>
  <c r="G71" i="1"/>
  <c r="H71" i="1" s="1"/>
  <c r="G72" i="1"/>
  <c r="H72" i="1" s="1"/>
  <c r="G73" i="1"/>
  <c r="H73" i="1" s="1"/>
  <c r="G74" i="1"/>
  <c r="H74" i="1" s="1"/>
  <c r="G75" i="1"/>
  <c r="H75" i="1" s="1"/>
  <c r="G76" i="1"/>
  <c r="H76" i="1" s="1"/>
  <c r="G77" i="1"/>
  <c r="H77" i="1" s="1"/>
  <c r="G78" i="1"/>
  <c r="H78" i="1" s="1"/>
  <c r="G79" i="1"/>
  <c r="H79" i="1" s="1"/>
  <c r="G80" i="1"/>
  <c r="H80" i="1" s="1"/>
  <c r="G81" i="1"/>
  <c r="H81" i="1" s="1"/>
  <c r="G82" i="1"/>
  <c r="H82" i="1" s="1"/>
  <c r="G83" i="1"/>
  <c r="H83" i="1" s="1"/>
  <c r="G84" i="1"/>
  <c r="H84" i="1" s="1"/>
  <c r="G85" i="1"/>
  <c r="H85" i="1" s="1"/>
  <c r="G86" i="1"/>
  <c r="H86" i="1" s="1"/>
  <c r="G87" i="1"/>
  <c r="H87" i="1" s="1"/>
  <c r="G88" i="1"/>
  <c r="H88" i="1" s="1"/>
  <c r="G89" i="1"/>
  <c r="H89" i="1" s="1"/>
  <c r="G90" i="1"/>
  <c r="H90" i="1" s="1"/>
  <c r="G91" i="1"/>
  <c r="H91" i="1" s="1"/>
  <c r="G92" i="1"/>
  <c r="H92" i="1" s="1"/>
  <c r="G93" i="1"/>
  <c r="H93" i="1" s="1"/>
  <c r="G94" i="1"/>
  <c r="H94" i="1" s="1"/>
  <c r="G95" i="1"/>
  <c r="H95" i="1" s="1"/>
  <c r="G96" i="1"/>
  <c r="H96" i="1" s="1"/>
  <c r="G97" i="1"/>
  <c r="H97" i="1" s="1"/>
  <c r="G98" i="1"/>
  <c r="H98" i="1" s="1"/>
  <c r="G99" i="1"/>
  <c r="H99" i="1" s="1"/>
  <c r="G100" i="1"/>
  <c r="H100" i="1" s="1"/>
  <c r="G101" i="1"/>
  <c r="H101" i="1" s="1"/>
  <c r="G102" i="1"/>
  <c r="H102" i="1" s="1"/>
  <c r="G103" i="1"/>
  <c r="H103" i="1" s="1"/>
  <c r="G104" i="1"/>
  <c r="H104" i="1" s="1"/>
  <c r="G105" i="1"/>
  <c r="H105" i="1" s="1"/>
  <c r="G106" i="1"/>
  <c r="H106" i="1" s="1"/>
  <c r="G107" i="1"/>
  <c r="H107" i="1" s="1"/>
  <c r="G108" i="1"/>
  <c r="H108" i="1" s="1"/>
  <c r="G109" i="1"/>
  <c r="H109" i="1" s="1"/>
  <c r="G110" i="1"/>
  <c r="H110" i="1" s="1"/>
  <c r="G111" i="1"/>
  <c r="H111" i="1" s="1"/>
  <c r="G112" i="1"/>
  <c r="H112" i="1" s="1"/>
  <c r="G113" i="1"/>
  <c r="H113" i="1" s="1"/>
  <c r="G114" i="1"/>
  <c r="H114" i="1" s="1"/>
  <c r="G115" i="1"/>
  <c r="H115" i="1" s="1"/>
  <c r="G116" i="1"/>
  <c r="H116" i="1" s="1"/>
  <c r="G117" i="1"/>
  <c r="H117" i="1" s="1"/>
  <c r="G118" i="1"/>
  <c r="H118" i="1" s="1"/>
  <c r="G119" i="1"/>
  <c r="H119" i="1" s="1"/>
  <c r="G120" i="1"/>
  <c r="H120" i="1" s="1"/>
  <c r="G121" i="1"/>
  <c r="H121" i="1" s="1"/>
  <c r="G122" i="1"/>
  <c r="H122" i="1" s="1"/>
  <c r="G123" i="1"/>
  <c r="H123" i="1" s="1"/>
  <c r="G124" i="1"/>
  <c r="H124" i="1" s="1"/>
  <c r="G125" i="1"/>
  <c r="H125" i="1" s="1"/>
  <c r="G126" i="1"/>
  <c r="H126" i="1" s="1"/>
  <c r="G127" i="1"/>
  <c r="H127" i="1" s="1"/>
  <c r="G128" i="1"/>
  <c r="H128" i="1" s="1"/>
  <c r="G129" i="1"/>
  <c r="H129" i="1" s="1"/>
  <c r="G130" i="1"/>
  <c r="H130" i="1" s="1"/>
  <c r="G131" i="1"/>
  <c r="H131" i="1" s="1"/>
  <c r="G132" i="1"/>
  <c r="H132" i="1" s="1"/>
  <c r="G133" i="1"/>
  <c r="H133" i="1" s="1"/>
  <c r="G134" i="1"/>
  <c r="H134" i="1" s="1"/>
  <c r="G135" i="1"/>
  <c r="H135" i="1" s="1"/>
  <c r="G136" i="1"/>
  <c r="H136" i="1" s="1"/>
  <c r="G137" i="1"/>
  <c r="H137" i="1" s="1"/>
  <c r="G138" i="1"/>
  <c r="H138" i="1" s="1"/>
  <c r="G139" i="1"/>
  <c r="H139" i="1" s="1"/>
  <c r="G140" i="1"/>
  <c r="H140" i="1" s="1"/>
  <c r="G141" i="1"/>
  <c r="H141" i="1" s="1"/>
  <c r="G142" i="1"/>
  <c r="H142" i="1" s="1"/>
  <c r="G143" i="1"/>
  <c r="H143" i="1" s="1"/>
  <c r="G144" i="1"/>
  <c r="H144" i="1" s="1"/>
  <c r="G145" i="1"/>
  <c r="H145" i="1" s="1"/>
  <c r="G146" i="1"/>
  <c r="H146" i="1" s="1"/>
  <c r="G147" i="1"/>
  <c r="H147" i="1" s="1"/>
  <c r="G148" i="1"/>
  <c r="H148" i="1" s="1"/>
  <c r="G149" i="1"/>
  <c r="H149" i="1" s="1"/>
  <c r="G150" i="1"/>
  <c r="H150" i="1" s="1"/>
  <c r="G151" i="1"/>
  <c r="H151" i="1" s="1"/>
  <c r="G152" i="1"/>
  <c r="H152" i="1" s="1"/>
  <c r="G153" i="1"/>
  <c r="H153" i="1" s="1"/>
  <c r="G154" i="1"/>
  <c r="H154" i="1" s="1"/>
  <c r="G155" i="1"/>
  <c r="H155" i="1" s="1"/>
  <c r="G156" i="1"/>
  <c r="H156" i="1" s="1"/>
  <c r="G157" i="1"/>
  <c r="H157" i="1" s="1"/>
  <c r="G158" i="1"/>
  <c r="H158" i="1" s="1"/>
  <c r="G159" i="1"/>
  <c r="H159" i="1" s="1"/>
  <c r="G160" i="1"/>
  <c r="H160" i="1" s="1"/>
  <c r="G161" i="1"/>
  <c r="H161" i="1" s="1"/>
  <c r="G162" i="1"/>
  <c r="H162" i="1" s="1"/>
  <c r="G163" i="1"/>
  <c r="H163" i="1" s="1"/>
  <c r="G164" i="1"/>
  <c r="H164" i="1" s="1"/>
  <c r="G165" i="1"/>
  <c r="H165" i="1" s="1"/>
  <c r="G166" i="1"/>
  <c r="H166" i="1" s="1"/>
  <c r="G167" i="1"/>
  <c r="H167" i="1" s="1"/>
  <c r="G168" i="1"/>
  <c r="H168" i="1" s="1"/>
  <c r="G169" i="1"/>
  <c r="H169" i="1" s="1"/>
  <c r="G170" i="1"/>
  <c r="H170" i="1" s="1"/>
  <c r="G171" i="1"/>
  <c r="H171" i="1" s="1"/>
  <c r="G172" i="1"/>
  <c r="H172" i="1" s="1"/>
  <c r="G173" i="1"/>
  <c r="H173" i="1" s="1"/>
  <c r="G174" i="1"/>
  <c r="H174" i="1" s="1"/>
  <c r="G175" i="1"/>
  <c r="H175" i="1" s="1"/>
  <c r="G176" i="1"/>
  <c r="H176" i="1" s="1"/>
  <c r="G177" i="1"/>
  <c r="H177" i="1" s="1"/>
  <c r="G178" i="1"/>
  <c r="H178" i="1" s="1"/>
  <c r="G179" i="1"/>
  <c r="H179" i="1" s="1"/>
  <c r="G180" i="1"/>
  <c r="H180" i="1" s="1"/>
  <c r="G181" i="1"/>
  <c r="H181" i="1" s="1"/>
  <c r="G182" i="1"/>
  <c r="H182" i="1" s="1"/>
  <c r="G183" i="1"/>
  <c r="H183" i="1" s="1"/>
  <c r="G184" i="1"/>
  <c r="H184" i="1" s="1"/>
  <c r="G185" i="1"/>
  <c r="H185" i="1" s="1"/>
  <c r="G186" i="1"/>
  <c r="H186" i="1" s="1"/>
  <c r="G187" i="1"/>
  <c r="H187" i="1" s="1"/>
  <c r="G188" i="1"/>
  <c r="H188" i="1" s="1"/>
  <c r="G189" i="1"/>
  <c r="H189" i="1" s="1"/>
  <c r="G190" i="1"/>
  <c r="H190" i="1" s="1"/>
  <c r="G191" i="1"/>
  <c r="H191" i="1" s="1"/>
  <c r="G192" i="1"/>
  <c r="H192" i="1" s="1"/>
  <c r="G193" i="1"/>
  <c r="H193" i="1" s="1"/>
  <c r="G194" i="1"/>
  <c r="H194" i="1" s="1"/>
  <c r="G195" i="1"/>
  <c r="H195" i="1" s="1"/>
  <c r="G196" i="1"/>
  <c r="H196" i="1" s="1"/>
  <c r="G197" i="1"/>
  <c r="H197" i="1" s="1"/>
  <c r="G198" i="1"/>
  <c r="H198" i="1" s="1"/>
  <c r="G199" i="1"/>
  <c r="H199" i="1" s="1"/>
  <c r="G200" i="1"/>
  <c r="H200" i="1" s="1"/>
  <c r="G201" i="1"/>
  <c r="H201" i="1" s="1"/>
  <c r="G202" i="1"/>
  <c r="H202" i="1" s="1"/>
  <c r="G203" i="1"/>
  <c r="H203" i="1" s="1"/>
  <c r="G204" i="1"/>
  <c r="H204" i="1" s="1"/>
  <c r="G205" i="1"/>
  <c r="H205" i="1" s="1"/>
  <c r="G206" i="1"/>
  <c r="H206" i="1" s="1"/>
  <c r="G207" i="1"/>
  <c r="H207" i="1" s="1"/>
  <c r="G208" i="1"/>
  <c r="H208" i="1" s="1"/>
  <c r="G209" i="1"/>
  <c r="H209" i="1" s="1"/>
  <c r="G210" i="1"/>
  <c r="H210" i="1" s="1"/>
  <c r="G211" i="1"/>
  <c r="H211" i="1" s="1"/>
  <c r="G212" i="1"/>
  <c r="H212" i="1" s="1"/>
  <c r="G213" i="1"/>
  <c r="H213" i="1" s="1"/>
  <c r="G214" i="1"/>
  <c r="H214" i="1" s="1"/>
  <c r="G215" i="1"/>
  <c r="H215" i="1" s="1"/>
  <c r="G216" i="1"/>
  <c r="H216" i="1" s="1"/>
  <c r="G217" i="1"/>
  <c r="H217" i="1" s="1"/>
  <c r="G218" i="1"/>
  <c r="H218" i="1" s="1"/>
  <c r="G219" i="1"/>
  <c r="H219" i="1" s="1"/>
  <c r="G220" i="1"/>
  <c r="H220" i="1" s="1"/>
  <c r="G221" i="1"/>
  <c r="H221" i="1" s="1"/>
  <c r="G222" i="1"/>
  <c r="H222" i="1" s="1"/>
  <c r="G223" i="1"/>
  <c r="H223" i="1" s="1"/>
  <c r="G224" i="1"/>
  <c r="H224" i="1" s="1"/>
  <c r="G225" i="1"/>
  <c r="H225" i="1" s="1"/>
  <c r="G226" i="1"/>
  <c r="H226" i="1" s="1"/>
  <c r="G227" i="1"/>
  <c r="H227" i="1" s="1"/>
  <c r="G228" i="1"/>
  <c r="H228" i="1" s="1"/>
  <c r="G229" i="1"/>
  <c r="H229" i="1" s="1"/>
  <c r="G230" i="1"/>
  <c r="H230" i="1" s="1"/>
  <c r="G231" i="1"/>
  <c r="H231" i="1" s="1"/>
  <c r="G232" i="1"/>
  <c r="H232" i="1" s="1"/>
  <c r="G233" i="1"/>
  <c r="H233" i="1" s="1"/>
  <c r="G234" i="1"/>
  <c r="H234" i="1" s="1"/>
  <c r="G235" i="1"/>
  <c r="H235" i="1" s="1"/>
  <c r="G236" i="1"/>
  <c r="H236" i="1" s="1"/>
  <c r="G237" i="1"/>
  <c r="H237" i="1" s="1"/>
  <c r="G238" i="1"/>
  <c r="H238" i="1" s="1"/>
  <c r="G239" i="1"/>
  <c r="H239" i="1" s="1"/>
  <c r="G240" i="1"/>
  <c r="H240" i="1" s="1"/>
  <c r="G241" i="1"/>
  <c r="H241" i="1" s="1"/>
  <c r="G242" i="1"/>
  <c r="H242" i="1" s="1"/>
  <c r="G243" i="1"/>
  <c r="H243" i="1" s="1"/>
  <c r="G244" i="1"/>
  <c r="H244" i="1" s="1"/>
  <c r="G245" i="1"/>
  <c r="H245" i="1" s="1"/>
  <c r="G246" i="1"/>
  <c r="H246" i="1" s="1"/>
  <c r="G247" i="1"/>
  <c r="H247" i="1" s="1"/>
  <c r="G248" i="1"/>
  <c r="H248" i="1" s="1"/>
  <c r="G249" i="1"/>
  <c r="H249" i="1" s="1"/>
  <c r="G250" i="1"/>
  <c r="H250" i="1" s="1"/>
  <c r="G251" i="1"/>
  <c r="H251" i="1" s="1"/>
  <c r="G252" i="1"/>
  <c r="H252" i="1" s="1"/>
  <c r="G253" i="1"/>
  <c r="H253" i="1" s="1"/>
  <c r="G254" i="1"/>
  <c r="H254" i="1" s="1"/>
  <c r="G255" i="1"/>
  <c r="H255" i="1" s="1"/>
  <c r="G256" i="1"/>
  <c r="H256" i="1" s="1"/>
  <c r="G257" i="1"/>
  <c r="H257" i="1" s="1"/>
  <c r="G258" i="1"/>
  <c r="H258" i="1" s="1"/>
  <c r="G259" i="1"/>
  <c r="H259" i="1" s="1"/>
  <c r="G260" i="1"/>
  <c r="H260" i="1" s="1"/>
  <c r="G261" i="1"/>
  <c r="H261" i="1" s="1"/>
  <c r="G262" i="1"/>
  <c r="H262" i="1" s="1"/>
  <c r="G263" i="1"/>
  <c r="H263" i="1" s="1"/>
  <c r="G264" i="1"/>
  <c r="H264" i="1" s="1"/>
  <c r="G265" i="1"/>
  <c r="H265" i="1" s="1"/>
  <c r="G266" i="1"/>
  <c r="H266" i="1" s="1"/>
  <c r="G267" i="1"/>
  <c r="H267" i="1" s="1"/>
  <c r="G268" i="1"/>
  <c r="H268" i="1" s="1"/>
  <c r="G269" i="1"/>
  <c r="H269" i="1" s="1"/>
  <c r="G270" i="1"/>
  <c r="H270" i="1" s="1"/>
  <c r="G271" i="1"/>
  <c r="H271" i="1" s="1"/>
  <c r="G272" i="1"/>
  <c r="H272" i="1" s="1"/>
  <c r="G273" i="1"/>
  <c r="H273" i="1" s="1"/>
  <c r="G274" i="1"/>
  <c r="H274" i="1" s="1"/>
  <c r="G275" i="1"/>
  <c r="H275" i="1" s="1"/>
  <c r="G276" i="1"/>
  <c r="H276" i="1" s="1"/>
  <c r="G277" i="1"/>
  <c r="H277" i="1" s="1"/>
  <c r="G278" i="1"/>
  <c r="H278" i="1" s="1"/>
  <c r="G279" i="1"/>
  <c r="H279" i="1" s="1"/>
  <c r="G280" i="1"/>
  <c r="H280" i="1" s="1"/>
  <c r="G281" i="1"/>
  <c r="H281" i="1" s="1"/>
  <c r="G282" i="1"/>
  <c r="H282" i="1" s="1"/>
  <c r="G283" i="1"/>
  <c r="H283" i="1" s="1"/>
  <c r="G284" i="1"/>
  <c r="H284" i="1" s="1"/>
  <c r="G285" i="1"/>
  <c r="H285" i="1" s="1"/>
  <c r="G286" i="1"/>
  <c r="H286" i="1" s="1"/>
  <c r="G287" i="1"/>
  <c r="H287" i="1" s="1"/>
  <c r="G288" i="1"/>
  <c r="H288" i="1" s="1"/>
  <c r="G289" i="1"/>
  <c r="H289" i="1" s="1"/>
  <c r="G290" i="1"/>
  <c r="H290" i="1" s="1"/>
  <c r="G291" i="1"/>
  <c r="H291" i="1" s="1"/>
  <c r="G292" i="1"/>
  <c r="H292" i="1" s="1"/>
  <c r="G293" i="1"/>
  <c r="H293" i="1" s="1"/>
  <c r="G294" i="1"/>
  <c r="H294" i="1" s="1"/>
  <c r="G295" i="1"/>
  <c r="H295" i="1" s="1"/>
  <c r="G296" i="1"/>
  <c r="H296" i="1" s="1"/>
  <c r="G297" i="1"/>
  <c r="H297" i="1" s="1"/>
  <c r="G298" i="1"/>
  <c r="H298" i="1" s="1"/>
  <c r="G299" i="1"/>
  <c r="H299" i="1" s="1"/>
  <c r="G300" i="1"/>
  <c r="H300" i="1" s="1"/>
  <c r="G301" i="1"/>
  <c r="H301" i="1" s="1"/>
  <c r="G302" i="1"/>
  <c r="H302" i="1" s="1"/>
  <c r="G303" i="1"/>
  <c r="H303" i="1" s="1"/>
  <c r="G304" i="1"/>
  <c r="H304" i="1" s="1"/>
  <c r="G305" i="1"/>
  <c r="H305" i="1" s="1"/>
  <c r="G306" i="1"/>
  <c r="H306" i="1" s="1"/>
  <c r="G307" i="1"/>
  <c r="H307" i="1" s="1"/>
  <c r="G308" i="1"/>
  <c r="H308" i="1" s="1"/>
  <c r="G309" i="1"/>
  <c r="H309" i="1" s="1"/>
  <c r="G310" i="1"/>
  <c r="H310" i="1" s="1"/>
  <c r="G311" i="1"/>
  <c r="H311" i="1" s="1"/>
  <c r="G312" i="1"/>
  <c r="H312" i="1" s="1"/>
  <c r="G313" i="1"/>
  <c r="H313" i="1" s="1"/>
  <c r="G314" i="1"/>
  <c r="H314" i="1" s="1"/>
  <c r="G315" i="1"/>
  <c r="H315" i="1" s="1"/>
  <c r="G316" i="1"/>
  <c r="H316" i="1" s="1"/>
  <c r="G317" i="1"/>
  <c r="H317" i="1" s="1"/>
  <c r="G318" i="1"/>
  <c r="H318" i="1" s="1"/>
  <c r="G319" i="1"/>
  <c r="H319" i="1" s="1"/>
  <c r="G320" i="1"/>
  <c r="H320" i="1" s="1"/>
  <c r="G321" i="1"/>
  <c r="H321" i="1" s="1"/>
  <c r="G322" i="1"/>
  <c r="H322" i="1" s="1"/>
  <c r="G323" i="1"/>
  <c r="H323" i="1" s="1"/>
  <c r="G324" i="1"/>
  <c r="H324" i="1" s="1"/>
  <c r="G325" i="1"/>
  <c r="H325" i="1" s="1"/>
  <c r="G326" i="1"/>
  <c r="H326" i="1" s="1"/>
  <c r="G327" i="1"/>
  <c r="H327" i="1" s="1"/>
  <c r="G328" i="1"/>
  <c r="H328" i="1" s="1"/>
  <c r="G329" i="1"/>
  <c r="H329" i="1" s="1"/>
  <c r="G330" i="1"/>
  <c r="H330" i="1" s="1"/>
  <c r="G331" i="1"/>
  <c r="H331" i="1" s="1"/>
  <c r="G332" i="1"/>
  <c r="H332" i="1" s="1"/>
  <c r="G333" i="1"/>
  <c r="H333" i="1" s="1"/>
  <c r="G334" i="1"/>
  <c r="H334" i="1" s="1"/>
  <c r="G335" i="1"/>
  <c r="H335" i="1" s="1"/>
  <c r="G336" i="1"/>
  <c r="H336" i="1" s="1"/>
  <c r="G337" i="1"/>
  <c r="H337" i="1" s="1"/>
  <c r="G338" i="1"/>
  <c r="H338" i="1" s="1"/>
  <c r="G339" i="1"/>
  <c r="H339" i="1" s="1"/>
  <c r="G340" i="1"/>
  <c r="H340" i="1" s="1"/>
  <c r="G341" i="1"/>
  <c r="H341" i="1" s="1"/>
  <c r="G342" i="1"/>
  <c r="H342" i="1" s="1"/>
  <c r="G343" i="1"/>
  <c r="H343" i="1" s="1"/>
  <c r="G344" i="1"/>
  <c r="H344" i="1" s="1"/>
  <c r="G345" i="1"/>
  <c r="H345" i="1" s="1"/>
  <c r="G346" i="1"/>
  <c r="H346" i="1" s="1"/>
  <c r="G347" i="1"/>
  <c r="H347" i="1" s="1"/>
  <c r="G348" i="1"/>
  <c r="H348" i="1" s="1"/>
  <c r="G349" i="1"/>
  <c r="H349" i="1" s="1"/>
  <c r="G350" i="1"/>
  <c r="H350" i="1" s="1"/>
  <c r="G351" i="1"/>
  <c r="H351" i="1" s="1"/>
  <c r="G352" i="1"/>
  <c r="H352" i="1" s="1"/>
  <c r="G353" i="1"/>
  <c r="H353" i="1" s="1"/>
  <c r="G354" i="1"/>
  <c r="H354" i="1" s="1"/>
  <c r="G355" i="1"/>
  <c r="H355" i="1" s="1"/>
  <c r="G356" i="1"/>
  <c r="H356" i="1" s="1"/>
  <c r="G357" i="1"/>
  <c r="H357" i="1" s="1"/>
  <c r="G358" i="1"/>
  <c r="H358" i="1" s="1"/>
  <c r="G359" i="1"/>
  <c r="H359" i="1" s="1"/>
  <c r="G360" i="1"/>
  <c r="H360" i="1" s="1"/>
  <c r="G361" i="1"/>
  <c r="H361" i="1" s="1"/>
  <c r="G362" i="1"/>
  <c r="H362" i="1" s="1"/>
  <c r="G363" i="1"/>
  <c r="H363" i="1" s="1"/>
  <c r="G364" i="1"/>
  <c r="H364" i="1" s="1"/>
  <c r="G365" i="1"/>
  <c r="H365" i="1" s="1"/>
  <c r="G366" i="1"/>
  <c r="H366" i="1" s="1"/>
  <c r="G367" i="1"/>
  <c r="H367" i="1" s="1"/>
  <c r="G368" i="1"/>
  <c r="H368" i="1" s="1"/>
  <c r="G369" i="1"/>
  <c r="H369" i="1" s="1"/>
  <c r="G370" i="1"/>
  <c r="H370" i="1" s="1"/>
  <c r="G371" i="1"/>
  <c r="H371" i="1" s="1"/>
  <c r="G372" i="1"/>
  <c r="H372" i="1" s="1"/>
  <c r="G373" i="1"/>
  <c r="H373" i="1" s="1"/>
  <c r="G374" i="1"/>
  <c r="H374" i="1" s="1"/>
  <c r="G375" i="1"/>
  <c r="H375" i="1" s="1"/>
  <c r="G376" i="1"/>
  <c r="H376" i="1" s="1"/>
  <c r="G377" i="1"/>
  <c r="H377" i="1" s="1"/>
  <c r="G378" i="1"/>
  <c r="H378" i="1" s="1"/>
  <c r="G379" i="1"/>
  <c r="H379" i="1" s="1"/>
  <c r="G380" i="1"/>
  <c r="H380" i="1" s="1"/>
  <c r="G381" i="1"/>
  <c r="H381" i="1" s="1"/>
  <c r="G382" i="1"/>
  <c r="H382" i="1" s="1"/>
  <c r="G383" i="1"/>
  <c r="H383" i="1" s="1"/>
  <c r="G384" i="1"/>
  <c r="H384" i="1" s="1"/>
  <c r="G385" i="1"/>
  <c r="H385" i="1" s="1"/>
  <c r="G386" i="1"/>
  <c r="H386" i="1" s="1"/>
  <c r="G387" i="1"/>
  <c r="H387" i="1" s="1"/>
  <c r="G388" i="1"/>
  <c r="H388" i="1" s="1"/>
  <c r="G389" i="1"/>
  <c r="H389" i="1" s="1"/>
  <c r="G390" i="1"/>
  <c r="H390" i="1" s="1"/>
  <c r="G391" i="1"/>
  <c r="H391" i="1" s="1"/>
  <c r="G392" i="1"/>
  <c r="H392" i="1" s="1"/>
  <c r="G393" i="1"/>
  <c r="H393" i="1" s="1"/>
  <c r="G394" i="1"/>
  <c r="H394" i="1" s="1"/>
  <c r="G395" i="1"/>
  <c r="H395" i="1" s="1"/>
  <c r="G396" i="1"/>
  <c r="H396" i="1" s="1"/>
  <c r="G397" i="1"/>
  <c r="H397" i="1" s="1"/>
  <c r="G398" i="1"/>
  <c r="H398" i="1" s="1"/>
  <c r="G399" i="1"/>
  <c r="H399" i="1" s="1"/>
  <c r="G400" i="1"/>
  <c r="H400" i="1" s="1"/>
  <c r="G401" i="1"/>
  <c r="H401" i="1" s="1"/>
  <c r="G402" i="1"/>
  <c r="H402" i="1" s="1"/>
  <c r="G403" i="1"/>
  <c r="H403" i="1" s="1"/>
  <c r="G404" i="1"/>
  <c r="H404" i="1" s="1"/>
  <c r="G405" i="1"/>
  <c r="H405" i="1" s="1"/>
  <c r="G406" i="1"/>
  <c r="H406" i="1" s="1"/>
  <c r="G407" i="1"/>
  <c r="H407" i="1" s="1"/>
  <c r="G408" i="1"/>
  <c r="H408" i="1" s="1"/>
  <c r="G409" i="1"/>
  <c r="H409" i="1" s="1"/>
  <c r="G410" i="1"/>
  <c r="H410" i="1" s="1"/>
  <c r="G411" i="1"/>
  <c r="H411" i="1" s="1"/>
  <c r="G412" i="1"/>
  <c r="H412" i="1" s="1"/>
  <c r="G413" i="1"/>
  <c r="H413" i="1" s="1"/>
  <c r="G414" i="1"/>
  <c r="H414" i="1" s="1"/>
  <c r="G415" i="1"/>
  <c r="H415" i="1" s="1"/>
  <c r="G416" i="1"/>
  <c r="H416" i="1" s="1"/>
  <c r="G417" i="1"/>
  <c r="H417" i="1" s="1"/>
  <c r="G418" i="1"/>
  <c r="H418" i="1" s="1"/>
  <c r="G419" i="1"/>
  <c r="H419" i="1" s="1"/>
  <c r="G420" i="1"/>
  <c r="H420" i="1" s="1"/>
  <c r="G421" i="1"/>
  <c r="H421" i="1" s="1"/>
  <c r="G422" i="1"/>
  <c r="H422" i="1" s="1"/>
  <c r="G423" i="1"/>
  <c r="H423" i="1" s="1"/>
  <c r="G424" i="1"/>
  <c r="H424" i="1" s="1"/>
  <c r="G425" i="1"/>
  <c r="H425" i="1" s="1"/>
  <c r="G426" i="1"/>
  <c r="H426" i="1" s="1"/>
  <c r="G427" i="1"/>
  <c r="H427" i="1" s="1"/>
  <c r="G428" i="1"/>
  <c r="H428" i="1" s="1"/>
  <c r="G429" i="1"/>
  <c r="H429" i="1" s="1"/>
  <c r="G430" i="1"/>
  <c r="H430" i="1" s="1"/>
  <c r="G431" i="1"/>
  <c r="H431" i="1" s="1"/>
  <c r="G432" i="1"/>
  <c r="H432" i="1" s="1"/>
  <c r="G433" i="1"/>
  <c r="H433" i="1" s="1"/>
  <c r="G434" i="1"/>
  <c r="H434" i="1" s="1"/>
  <c r="G435" i="1"/>
  <c r="H435" i="1" s="1"/>
  <c r="G436" i="1"/>
  <c r="H436" i="1" s="1"/>
  <c r="G437" i="1"/>
  <c r="H437" i="1" s="1"/>
  <c r="G438" i="1"/>
  <c r="H438" i="1" s="1"/>
  <c r="G439" i="1"/>
  <c r="H439" i="1" s="1"/>
  <c r="G440" i="1"/>
  <c r="H440" i="1" s="1"/>
  <c r="G441" i="1"/>
  <c r="H441" i="1" s="1"/>
  <c r="G442" i="1"/>
  <c r="H442" i="1" s="1"/>
  <c r="G443" i="1"/>
  <c r="H443" i="1" s="1"/>
  <c r="G444" i="1"/>
  <c r="H444" i="1" s="1"/>
  <c r="G445" i="1"/>
  <c r="H445" i="1" s="1"/>
  <c r="G446" i="1"/>
  <c r="H446" i="1" s="1"/>
  <c r="G447" i="1"/>
  <c r="H447" i="1" s="1"/>
  <c r="G448" i="1"/>
  <c r="H448" i="1" s="1"/>
  <c r="G449" i="1"/>
  <c r="H449" i="1" s="1"/>
  <c r="G450" i="1"/>
  <c r="H450" i="1" s="1"/>
  <c r="G451" i="1"/>
  <c r="H451" i="1" s="1"/>
  <c r="G452" i="1"/>
  <c r="H452" i="1" s="1"/>
  <c r="G453" i="1"/>
  <c r="H453" i="1" s="1"/>
  <c r="G454" i="1"/>
  <c r="H454" i="1" s="1"/>
  <c r="G455" i="1"/>
  <c r="H455" i="1" s="1"/>
  <c r="G456" i="1"/>
  <c r="H456" i="1" s="1"/>
  <c r="G457" i="1"/>
  <c r="H457" i="1" s="1"/>
  <c r="G458" i="1"/>
  <c r="H458" i="1" s="1"/>
  <c r="G459" i="1"/>
  <c r="H459" i="1" s="1"/>
  <c r="G460" i="1"/>
  <c r="H460" i="1" s="1"/>
  <c r="G461" i="1"/>
  <c r="H461" i="1" s="1"/>
  <c r="G462" i="1"/>
  <c r="H462" i="1" s="1"/>
  <c r="G463" i="1"/>
  <c r="H463" i="1" s="1"/>
  <c r="G464" i="1"/>
  <c r="H464" i="1" s="1"/>
  <c r="G465" i="1"/>
  <c r="H465" i="1" s="1"/>
  <c r="G466" i="1"/>
  <c r="H466" i="1" s="1"/>
  <c r="G467" i="1"/>
  <c r="H467" i="1" s="1"/>
  <c r="G468" i="1"/>
  <c r="H468" i="1" s="1"/>
  <c r="G469" i="1"/>
  <c r="H469" i="1" s="1"/>
  <c r="G470" i="1"/>
  <c r="H470" i="1" s="1"/>
  <c r="G471" i="1"/>
  <c r="H471" i="1" s="1"/>
  <c r="G472" i="1"/>
  <c r="H472" i="1" s="1"/>
  <c r="G473" i="1"/>
  <c r="H473" i="1" s="1"/>
  <c r="G474" i="1"/>
  <c r="H474" i="1" s="1"/>
  <c r="G475" i="1"/>
  <c r="H475" i="1" s="1"/>
  <c r="G476" i="1"/>
  <c r="H476" i="1" s="1"/>
  <c r="G477" i="1"/>
  <c r="H477" i="1" s="1"/>
  <c r="G478" i="1"/>
  <c r="H478" i="1" s="1"/>
  <c r="G479" i="1"/>
  <c r="H479" i="1" s="1"/>
  <c r="G480" i="1"/>
  <c r="H480" i="1" s="1"/>
  <c r="G481" i="1"/>
  <c r="H481" i="1" s="1"/>
  <c r="G482" i="1"/>
  <c r="H482" i="1" s="1"/>
  <c r="G483" i="1"/>
  <c r="H483" i="1" s="1"/>
  <c r="G484" i="1"/>
  <c r="H484" i="1" s="1"/>
  <c r="G485" i="1"/>
  <c r="H485" i="1" s="1"/>
  <c r="G486" i="1"/>
  <c r="H486" i="1" s="1"/>
  <c r="G487" i="1"/>
  <c r="H487" i="1" s="1"/>
  <c r="G488" i="1"/>
  <c r="H488" i="1" s="1"/>
  <c r="G489" i="1"/>
  <c r="H489" i="1" s="1"/>
  <c r="G490" i="1"/>
  <c r="H490" i="1" s="1"/>
  <c r="G491" i="1"/>
  <c r="H491" i="1" s="1"/>
  <c r="G492" i="1"/>
  <c r="H492" i="1" s="1"/>
  <c r="G493" i="1"/>
  <c r="H493" i="1" s="1"/>
  <c r="G494" i="1"/>
  <c r="H494" i="1" s="1"/>
  <c r="G495" i="1"/>
  <c r="H495" i="1" s="1"/>
  <c r="G496" i="1"/>
  <c r="H496" i="1" s="1"/>
  <c r="G497" i="1"/>
  <c r="H497" i="1" s="1"/>
  <c r="G498" i="1"/>
  <c r="H498" i="1" s="1"/>
  <c r="G499" i="1"/>
  <c r="H499" i="1" s="1"/>
  <c r="G500" i="1"/>
  <c r="H500" i="1" s="1"/>
  <c r="G501" i="1"/>
  <c r="H501" i="1" s="1"/>
  <c r="G502" i="1"/>
  <c r="H502" i="1" s="1"/>
  <c r="G503" i="1"/>
  <c r="H503" i="1" s="1"/>
  <c r="G504" i="1"/>
  <c r="H504" i="1" s="1"/>
  <c r="G505" i="1"/>
  <c r="H505" i="1" s="1"/>
  <c r="G506" i="1"/>
  <c r="H506" i="1" s="1"/>
  <c r="G507" i="1"/>
  <c r="H507" i="1" s="1"/>
  <c r="G508" i="1"/>
  <c r="H508" i="1" s="1"/>
  <c r="G509" i="1"/>
  <c r="H509" i="1" s="1"/>
  <c r="G510" i="1"/>
  <c r="H510" i="1" s="1"/>
  <c r="G511" i="1"/>
  <c r="H511" i="1" s="1"/>
  <c r="G512" i="1"/>
  <c r="H512" i="1" s="1"/>
  <c r="G513" i="1"/>
  <c r="H513" i="1" s="1"/>
  <c r="G514" i="1"/>
  <c r="H514" i="1" s="1"/>
  <c r="G515" i="1"/>
  <c r="H515" i="1" s="1"/>
  <c r="G516" i="1"/>
  <c r="H516" i="1" s="1"/>
  <c r="G517" i="1"/>
  <c r="H517" i="1" s="1"/>
  <c r="G518" i="1"/>
  <c r="H518" i="1" s="1"/>
  <c r="G519" i="1"/>
  <c r="H519" i="1" s="1"/>
  <c r="G520" i="1"/>
  <c r="H520" i="1" s="1"/>
  <c r="G521" i="1"/>
  <c r="H521" i="1" s="1"/>
  <c r="G522" i="1"/>
  <c r="H522" i="1" s="1"/>
  <c r="G523" i="1"/>
  <c r="H523" i="1" s="1"/>
  <c r="G524" i="1"/>
  <c r="H524" i="1" s="1"/>
  <c r="G525" i="1"/>
  <c r="H525" i="1" s="1"/>
  <c r="G526" i="1"/>
  <c r="H526" i="1" s="1"/>
  <c r="G527" i="1"/>
  <c r="H527" i="1" s="1"/>
  <c r="G528" i="1"/>
  <c r="H528" i="1" s="1"/>
  <c r="G529" i="1"/>
  <c r="H529" i="1" s="1"/>
  <c r="G530" i="1"/>
  <c r="H530" i="1" s="1"/>
  <c r="G531" i="1"/>
  <c r="H531" i="1" s="1"/>
  <c r="G532" i="1"/>
  <c r="H532" i="1" s="1"/>
  <c r="G533" i="1"/>
  <c r="H533" i="1" s="1"/>
  <c r="G534" i="1"/>
  <c r="H534" i="1" s="1"/>
  <c r="G535" i="1"/>
  <c r="H535" i="1" s="1"/>
  <c r="G536" i="1"/>
  <c r="H536" i="1" s="1"/>
  <c r="G537" i="1"/>
  <c r="H537" i="1" s="1"/>
  <c r="G538" i="1"/>
  <c r="H538" i="1" s="1"/>
  <c r="G539" i="1"/>
  <c r="H539" i="1" s="1"/>
  <c r="G540" i="1"/>
  <c r="H540" i="1" s="1"/>
  <c r="G541" i="1"/>
  <c r="H541" i="1" s="1"/>
  <c r="G542" i="1"/>
  <c r="H542" i="1" s="1"/>
  <c r="G543" i="1"/>
  <c r="H543" i="1" s="1"/>
  <c r="G544" i="1"/>
  <c r="H544" i="1" s="1"/>
  <c r="G545" i="1"/>
  <c r="H545" i="1" s="1"/>
  <c r="G546" i="1"/>
  <c r="H546" i="1" s="1"/>
  <c r="G547" i="1"/>
  <c r="H547" i="1" s="1"/>
  <c r="G548" i="1"/>
  <c r="H548" i="1" s="1"/>
  <c r="G549" i="1"/>
  <c r="H549" i="1" s="1"/>
  <c r="G550" i="1"/>
  <c r="H550" i="1" s="1"/>
  <c r="G551" i="1"/>
  <c r="H551" i="1" s="1"/>
  <c r="G552" i="1"/>
  <c r="H552" i="1" s="1"/>
  <c r="G553" i="1"/>
  <c r="H553" i="1" s="1"/>
  <c r="G554" i="1"/>
  <c r="H554" i="1" s="1"/>
  <c r="G555" i="1"/>
  <c r="H555" i="1" s="1"/>
  <c r="G556" i="1"/>
  <c r="H556" i="1" s="1"/>
  <c r="G557" i="1"/>
  <c r="H557" i="1" s="1"/>
  <c r="G558" i="1"/>
  <c r="H558" i="1" s="1"/>
  <c r="G559" i="1"/>
  <c r="H559" i="1" s="1"/>
  <c r="G560" i="1"/>
  <c r="H560" i="1" s="1"/>
  <c r="G561" i="1"/>
  <c r="H561" i="1" s="1"/>
  <c r="G562" i="1"/>
  <c r="H562" i="1" s="1"/>
  <c r="G563" i="1"/>
  <c r="H563" i="1" s="1"/>
  <c r="G564" i="1"/>
  <c r="H564" i="1" s="1"/>
  <c r="G565" i="1"/>
  <c r="H565" i="1" s="1"/>
  <c r="G566" i="1"/>
  <c r="H566" i="1" s="1"/>
  <c r="G567" i="1"/>
  <c r="H567" i="1" s="1"/>
  <c r="G568" i="1"/>
  <c r="H568" i="1" s="1"/>
  <c r="G569" i="1"/>
  <c r="H569" i="1" s="1"/>
  <c r="G570" i="1"/>
  <c r="H570" i="1" s="1"/>
  <c r="G571" i="1"/>
  <c r="H571" i="1" s="1"/>
  <c r="G572" i="1"/>
  <c r="H572" i="1" s="1"/>
  <c r="G573" i="1"/>
  <c r="H573" i="1" s="1"/>
  <c r="G574" i="1"/>
  <c r="H574" i="1" s="1"/>
  <c r="G575" i="1"/>
  <c r="H575" i="1" s="1"/>
  <c r="G576" i="1"/>
  <c r="H576" i="1" s="1"/>
  <c r="G577" i="1"/>
  <c r="H577" i="1" s="1"/>
  <c r="G578" i="1"/>
  <c r="H578" i="1" s="1"/>
  <c r="G579" i="1"/>
  <c r="H579" i="1" s="1"/>
  <c r="G580" i="1"/>
  <c r="H580" i="1" s="1"/>
  <c r="G581" i="1"/>
  <c r="H581" i="1" s="1"/>
  <c r="G582" i="1"/>
  <c r="H582" i="1" s="1"/>
  <c r="G583" i="1"/>
  <c r="H583" i="1" s="1"/>
  <c r="G584" i="1"/>
  <c r="H584" i="1" s="1"/>
  <c r="G585" i="1"/>
  <c r="H585" i="1" s="1"/>
  <c r="G586" i="1"/>
  <c r="H586" i="1" s="1"/>
  <c r="G587" i="1"/>
  <c r="H587" i="1" s="1"/>
  <c r="G588" i="1"/>
  <c r="H588" i="1" s="1"/>
  <c r="G589" i="1"/>
  <c r="H589" i="1" s="1"/>
  <c r="G590" i="1"/>
  <c r="H590" i="1" s="1"/>
  <c r="G591" i="1"/>
  <c r="H591" i="1" s="1"/>
  <c r="G592" i="1"/>
  <c r="H592" i="1" s="1"/>
  <c r="G593" i="1"/>
  <c r="H593" i="1" s="1"/>
  <c r="G594" i="1"/>
  <c r="H594" i="1" s="1"/>
  <c r="G595" i="1"/>
  <c r="H595" i="1" s="1"/>
  <c r="G596" i="1"/>
  <c r="H596" i="1" s="1"/>
  <c r="G597" i="1"/>
  <c r="H597" i="1" s="1"/>
  <c r="G598" i="1"/>
  <c r="H598" i="1" s="1"/>
  <c r="G599" i="1"/>
  <c r="H599" i="1" s="1"/>
  <c r="G600" i="1"/>
  <c r="H600" i="1" s="1"/>
  <c r="G601" i="1"/>
  <c r="H601" i="1" s="1"/>
  <c r="G602" i="1"/>
  <c r="H602" i="1" s="1"/>
  <c r="G603" i="1"/>
  <c r="H603" i="1" s="1"/>
  <c r="G604" i="1"/>
  <c r="H604" i="1" s="1"/>
  <c r="G605" i="1"/>
  <c r="H605" i="1" s="1"/>
  <c r="G606" i="1"/>
  <c r="H606" i="1" s="1"/>
  <c r="G607" i="1"/>
  <c r="H607" i="1" s="1"/>
  <c r="G608" i="1"/>
  <c r="H608" i="1" s="1"/>
  <c r="G609" i="1"/>
  <c r="H609" i="1" s="1"/>
  <c r="G610" i="1"/>
  <c r="H610" i="1" s="1"/>
  <c r="G611" i="1"/>
  <c r="H611" i="1" s="1"/>
  <c r="G612" i="1"/>
  <c r="H612" i="1" s="1"/>
  <c r="G613" i="1"/>
  <c r="H613" i="1" s="1"/>
  <c r="G614" i="1"/>
  <c r="H614" i="1" s="1"/>
  <c r="G615" i="1"/>
  <c r="H615" i="1" s="1"/>
  <c r="G616" i="1"/>
  <c r="H616" i="1" s="1"/>
  <c r="G617" i="1"/>
  <c r="H617" i="1" s="1"/>
  <c r="G618" i="1"/>
  <c r="H618" i="1" s="1"/>
  <c r="G619" i="1"/>
  <c r="H619" i="1" s="1"/>
  <c r="G620" i="1"/>
  <c r="H620" i="1" s="1"/>
  <c r="G621" i="1"/>
  <c r="H621" i="1" s="1"/>
  <c r="G622" i="1"/>
  <c r="H622" i="1" s="1"/>
  <c r="G623" i="1"/>
  <c r="H623" i="1" s="1"/>
  <c r="G624" i="1"/>
  <c r="H624" i="1" s="1"/>
  <c r="G625" i="1"/>
  <c r="H625" i="1" s="1"/>
  <c r="G626" i="1"/>
  <c r="H626" i="1" s="1"/>
  <c r="G627" i="1"/>
  <c r="H627" i="1" s="1"/>
  <c r="G628" i="1"/>
  <c r="H628" i="1" s="1"/>
  <c r="G629" i="1"/>
  <c r="H629" i="1" s="1"/>
  <c r="G630" i="1"/>
  <c r="H630" i="1" s="1"/>
  <c r="G631" i="1"/>
  <c r="H631" i="1" s="1"/>
  <c r="G632" i="1"/>
  <c r="H632" i="1" s="1"/>
  <c r="G633" i="1"/>
  <c r="H633" i="1" s="1"/>
  <c r="G634" i="1"/>
  <c r="H634" i="1" s="1"/>
  <c r="G635" i="1"/>
  <c r="H635" i="1" s="1"/>
  <c r="G636" i="1"/>
  <c r="H636" i="1" s="1"/>
  <c r="G637" i="1"/>
  <c r="H637" i="1" s="1"/>
  <c r="G638" i="1"/>
  <c r="H638" i="1" s="1"/>
  <c r="G639" i="1"/>
  <c r="H639" i="1" s="1"/>
  <c r="G640" i="1"/>
  <c r="H640" i="1" s="1"/>
  <c r="G641" i="1"/>
  <c r="H641" i="1" s="1"/>
  <c r="G642" i="1"/>
  <c r="H642" i="1" s="1"/>
  <c r="G643" i="1"/>
  <c r="H643" i="1" s="1"/>
  <c r="G644" i="1"/>
  <c r="H644" i="1" s="1"/>
  <c r="G645" i="1"/>
  <c r="H645" i="1" s="1"/>
  <c r="G646" i="1"/>
  <c r="H646" i="1" s="1"/>
  <c r="G647" i="1"/>
  <c r="H647" i="1" s="1"/>
  <c r="G648" i="1"/>
  <c r="H648" i="1" s="1"/>
  <c r="G649" i="1"/>
  <c r="H649" i="1" s="1"/>
  <c r="G650" i="1"/>
  <c r="H650" i="1" s="1"/>
  <c r="G651" i="1"/>
  <c r="H651" i="1" s="1"/>
  <c r="G652" i="1"/>
  <c r="H652" i="1" s="1"/>
  <c r="G653" i="1"/>
  <c r="H653" i="1" s="1"/>
  <c r="G654" i="1"/>
  <c r="H654" i="1" s="1"/>
  <c r="G655" i="1"/>
  <c r="H655" i="1" s="1"/>
  <c r="G656" i="1"/>
  <c r="H656" i="1" s="1"/>
  <c r="G657" i="1"/>
  <c r="H657" i="1" s="1"/>
  <c r="G658" i="1"/>
  <c r="H658" i="1" s="1"/>
  <c r="G659" i="1"/>
  <c r="H659" i="1" s="1"/>
  <c r="G660" i="1"/>
  <c r="H660" i="1" s="1"/>
  <c r="G661" i="1"/>
  <c r="H661" i="1" s="1"/>
  <c r="G662" i="1"/>
  <c r="H662" i="1" s="1"/>
  <c r="G663" i="1"/>
  <c r="H663" i="1" s="1"/>
  <c r="G664" i="1"/>
  <c r="H664" i="1" s="1"/>
  <c r="G665" i="1"/>
  <c r="H665" i="1" s="1"/>
  <c r="G666" i="1"/>
  <c r="H666" i="1" s="1"/>
  <c r="G667" i="1"/>
  <c r="H667" i="1" s="1"/>
  <c r="G668" i="1"/>
  <c r="H668" i="1" s="1"/>
  <c r="G669" i="1"/>
  <c r="H669" i="1" s="1"/>
  <c r="G670" i="1"/>
  <c r="H670" i="1" s="1"/>
  <c r="G671" i="1"/>
  <c r="H671" i="1" s="1"/>
  <c r="G672" i="1"/>
  <c r="H672" i="1" s="1"/>
  <c r="G673" i="1"/>
  <c r="H673" i="1" s="1"/>
  <c r="G674" i="1"/>
  <c r="H674" i="1" s="1"/>
  <c r="G675" i="1"/>
  <c r="H675" i="1" s="1"/>
  <c r="G676" i="1"/>
  <c r="H676" i="1" s="1"/>
  <c r="G677" i="1"/>
  <c r="H677" i="1" s="1"/>
  <c r="G678" i="1"/>
  <c r="H678" i="1" s="1"/>
  <c r="G679" i="1"/>
  <c r="H679" i="1" s="1"/>
  <c r="G680" i="1"/>
  <c r="H680" i="1" s="1"/>
  <c r="G681" i="1"/>
  <c r="H681" i="1" s="1"/>
  <c r="G682" i="1"/>
  <c r="H682" i="1" s="1"/>
  <c r="G683" i="1"/>
  <c r="H683" i="1" s="1"/>
  <c r="G684" i="1"/>
  <c r="H684" i="1" s="1"/>
  <c r="G685" i="1"/>
  <c r="H685" i="1" s="1"/>
  <c r="G686" i="1"/>
  <c r="H686" i="1" s="1"/>
  <c r="G687" i="1"/>
  <c r="H687" i="1" s="1"/>
  <c r="G688" i="1"/>
  <c r="H688" i="1" s="1"/>
  <c r="G689" i="1"/>
  <c r="H689" i="1" s="1"/>
  <c r="G690" i="1"/>
  <c r="H690" i="1" s="1"/>
  <c r="G691" i="1"/>
  <c r="H691" i="1" s="1"/>
  <c r="G692" i="1"/>
  <c r="H692" i="1" s="1"/>
  <c r="G693" i="1"/>
  <c r="H693" i="1" s="1"/>
  <c r="G694" i="1"/>
  <c r="H694" i="1" s="1"/>
  <c r="G695" i="1"/>
  <c r="H695" i="1" s="1"/>
  <c r="G696" i="1"/>
  <c r="H696" i="1" s="1"/>
  <c r="G697" i="1"/>
  <c r="H697" i="1" s="1"/>
  <c r="G698" i="1"/>
  <c r="H698" i="1" s="1"/>
  <c r="G699" i="1"/>
  <c r="H699" i="1" s="1"/>
  <c r="G700" i="1"/>
  <c r="H700" i="1" s="1"/>
  <c r="G701" i="1"/>
  <c r="H701" i="1" s="1"/>
  <c r="G702" i="1"/>
  <c r="H702" i="1" s="1"/>
  <c r="G703" i="1"/>
  <c r="H703" i="1" s="1"/>
  <c r="G704" i="1"/>
  <c r="H704" i="1" s="1"/>
  <c r="G705" i="1"/>
  <c r="H705" i="1" s="1"/>
  <c r="G706" i="1"/>
  <c r="H706" i="1" s="1"/>
  <c r="G707" i="1"/>
  <c r="H707" i="1" s="1"/>
  <c r="G708" i="1"/>
  <c r="H708" i="1" s="1"/>
  <c r="G709" i="1"/>
  <c r="H709" i="1" s="1"/>
  <c r="G710" i="1"/>
  <c r="H710" i="1" s="1"/>
  <c r="G711" i="1"/>
  <c r="H711" i="1" s="1"/>
  <c r="G712" i="1"/>
  <c r="H712" i="1" s="1"/>
  <c r="G713" i="1"/>
  <c r="H713" i="1" s="1"/>
  <c r="G714" i="1"/>
  <c r="H714" i="1" s="1"/>
  <c r="G715" i="1"/>
  <c r="H715" i="1" s="1"/>
  <c r="G716" i="1"/>
  <c r="H716" i="1" s="1"/>
  <c r="G717" i="1"/>
  <c r="H717" i="1" s="1"/>
  <c r="G718" i="1"/>
  <c r="H718" i="1" s="1"/>
  <c r="G719" i="1"/>
  <c r="H719" i="1" s="1"/>
  <c r="G720" i="1"/>
  <c r="H720" i="1" s="1"/>
  <c r="G721" i="1"/>
  <c r="H721" i="1" s="1"/>
  <c r="G722" i="1"/>
  <c r="H722" i="1" s="1"/>
  <c r="G723" i="1"/>
  <c r="H723" i="1" s="1"/>
  <c r="G724" i="1"/>
  <c r="H724" i="1" s="1"/>
  <c r="G725" i="1"/>
  <c r="H725" i="1" s="1"/>
  <c r="G726" i="1"/>
  <c r="H726" i="1" s="1"/>
  <c r="G727" i="1"/>
  <c r="H727" i="1" s="1"/>
  <c r="G728" i="1"/>
  <c r="H728" i="1" s="1"/>
  <c r="G729" i="1"/>
  <c r="H729" i="1" s="1"/>
  <c r="G730" i="1"/>
  <c r="H730" i="1" s="1"/>
  <c r="G731" i="1"/>
  <c r="H731" i="1" s="1"/>
  <c r="G732" i="1"/>
  <c r="H732" i="1" s="1"/>
  <c r="G733" i="1"/>
  <c r="H733" i="1" s="1"/>
  <c r="G734" i="1"/>
  <c r="H734" i="1" s="1"/>
  <c r="G735" i="1"/>
  <c r="H735" i="1" s="1"/>
  <c r="G736" i="1"/>
  <c r="H736" i="1" s="1"/>
  <c r="G737" i="1"/>
  <c r="H737" i="1" s="1"/>
  <c r="G738" i="1"/>
  <c r="H738" i="1" s="1"/>
  <c r="G739" i="1"/>
  <c r="H739" i="1" s="1"/>
  <c r="G740" i="1"/>
  <c r="H740" i="1" s="1"/>
  <c r="G741" i="1"/>
  <c r="H741" i="1" s="1"/>
  <c r="G742" i="1"/>
  <c r="H742" i="1" s="1"/>
  <c r="G743" i="1"/>
  <c r="H743" i="1" s="1"/>
  <c r="G744" i="1"/>
  <c r="H744" i="1" s="1"/>
  <c r="G745" i="1"/>
  <c r="H745" i="1" s="1"/>
  <c r="G746" i="1"/>
  <c r="H746" i="1" s="1"/>
  <c r="G747" i="1"/>
  <c r="H747" i="1" s="1"/>
  <c r="G748" i="1"/>
  <c r="H748" i="1" s="1"/>
  <c r="G749" i="1"/>
  <c r="H749" i="1" s="1"/>
  <c r="G750" i="1"/>
  <c r="H750" i="1" s="1"/>
  <c r="G751" i="1"/>
  <c r="H751" i="1" s="1"/>
  <c r="G752" i="1"/>
  <c r="H752" i="1" s="1"/>
  <c r="G753" i="1"/>
  <c r="H753" i="1" s="1"/>
  <c r="G754" i="1"/>
  <c r="H754" i="1" s="1"/>
  <c r="G755" i="1"/>
  <c r="H755" i="1" s="1"/>
  <c r="G756" i="1"/>
  <c r="H756" i="1" s="1"/>
  <c r="G757" i="1"/>
  <c r="H757" i="1" s="1"/>
  <c r="G758" i="1"/>
  <c r="H758" i="1" s="1"/>
  <c r="G759" i="1"/>
  <c r="H759" i="1" s="1"/>
  <c r="G760" i="1"/>
  <c r="H760" i="1" s="1"/>
  <c r="G761" i="1"/>
  <c r="H761" i="1" s="1"/>
  <c r="G762" i="1"/>
  <c r="H762" i="1" s="1"/>
  <c r="G763" i="1"/>
  <c r="H763" i="1" s="1"/>
  <c r="G764" i="1"/>
  <c r="H764" i="1" s="1"/>
  <c r="G765" i="1"/>
  <c r="H765" i="1" s="1"/>
  <c r="G766" i="1"/>
  <c r="H766" i="1" s="1"/>
  <c r="G767" i="1"/>
  <c r="H767" i="1" s="1"/>
  <c r="G768" i="1"/>
  <c r="H768" i="1" s="1"/>
  <c r="G769" i="1"/>
  <c r="H769" i="1" s="1"/>
  <c r="G770" i="1"/>
  <c r="H770" i="1" s="1"/>
  <c r="G771" i="1"/>
  <c r="H771" i="1" s="1"/>
  <c r="G772" i="1"/>
  <c r="H772" i="1" s="1"/>
  <c r="G773" i="1"/>
  <c r="H773" i="1" s="1"/>
  <c r="G774" i="1"/>
  <c r="H774" i="1" s="1"/>
  <c r="G775" i="1"/>
  <c r="H775" i="1" s="1"/>
  <c r="G776" i="1"/>
  <c r="H776" i="1" s="1"/>
  <c r="G777" i="1"/>
  <c r="H777" i="1" s="1"/>
  <c r="G778" i="1"/>
  <c r="H778" i="1" s="1"/>
  <c r="G779" i="1"/>
  <c r="H779" i="1" s="1"/>
  <c r="G780" i="1"/>
  <c r="H780" i="1" s="1"/>
  <c r="G781" i="1"/>
  <c r="H781" i="1" s="1"/>
  <c r="G782" i="1"/>
  <c r="H782" i="1" s="1"/>
  <c r="G783" i="1"/>
  <c r="H783" i="1" s="1"/>
  <c r="G784" i="1"/>
  <c r="H784" i="1" s="1"/>
  <c r="G785" i="1"/>
  <c r="H785" i="1" s="1"/>
  <c r="G786" i="1"/>
  <c r="H786" i="1" s="1"/>
  <c r="G787" i="1"/>
  <c r="H787" i="1" s="1"/>
  <c r="G788" i="1"/>
  <c r="H788" i="1" s="1"/>
  <c r="G789" i="1"/>
  <c r="H789" i="1" s="1"/>
  <c r="G790" i="1"/>
  <c r="H790" i="1" s="1"/>
  <c r="G791" i="1"/>
  <c r="H791" i="1" s="1"/>
  <c r="G792" i="1"/>
  <c r="H792" i="1" s="1"/>
  <c r="G793" i="1"/>
  <c r="H793" i="1" s="1"/>
  <c r="G794" i="1"/>
  <c r="H794" i="1" s="1"/>
  <c r="G795" i="1"/>
  <c r="H795" i="1" s="1"/>
  <c r="G796" i="1"/>
  <c r="H796" i="1" s="1"/>
  <c r="G797" i="1"/>
  <c r="H797" i="1" s="1"/>
  <c r="G798" i="1"/>
  <c r="H798" i="1" s="1"/>
  <c r="G799" i="1"/>
  <c r="H799" i="1" s="1"/>
  <c r="G800" i="1"/>
  <c r="H800" i="1" s="1"/>
  <c r="G801" i="1"/>
  <c r="H801" i="1" s="1"/>
  <c r="G802" i="1"/>
  <c r="H802" i="1" s="1"/>
  <c r="G803" i="1"/>
  <c r="H803" i="1" s="1"/>
  <c r="G804" i="1"/>
  <c r="H804" i="1" s="1"/>
  <c r="G805" i="1"/>
  <c r="H805" i="1" s="1"/>
  <c r="G806" i="1"/>
  <c r="H806" i="1" s="1"/>
  <c r="G807" i="1"/>
  <c r="H807" i="1" s="1"/>
  <c r="G808" i="1"/>
  <c r="H808" i="1" s="1"/>
  <c r="G809" i="1"/>
  <c r="H809" i="1" s="1"/>
  <c r="G810" i="1"/>
  <c r="H810" i="1" s="1"/>
  <c r="G811" i="1"/>
  <c r="H811" i="1" s="1"/>
  <c r="G812" i="1"/>
  <c r="H812" i="1" s="1"/>
  <c r="G813" i="1"/>
  <c r="H813" i="1" s="1"/>
  <c r="G814" i="1"/>
  <c r="H814" i="1" s="1"/>
  <c r="G815" i="1"/>
  <c r="H815" i="1" s="1"/>
  <c r="G816" i="1"/>
  <c r="H816" i="1" s="1"/>
  <c r="G817" i="1"/>
  <c r="H817" i="1" s="1"/>
  <c r="G818" i="1"/>
  <c r="H818" i="1" s="1"/>
  <c r="G819" i="1"/>
  <c r="H819" i="1" s="1"/>
  <c r="G820" i="1"/>
  <c r="H820" i="1" s="1"/>
  <c r="G821" i="1"/>
  <c r="H821" i="1" s="1"/>
  <c r="G822" i="1"/>
  <c r="H822" i="1" s="1"/>
  <c r="G823" i="1"/>
  <c r="H823" i="1" s="1"/>
  <c r="G824" i="1"/>
  <c r="H824" i="1" s="1"/>
  <c r="G825" i="1"/>
  <c r="H825" i="1" s="1"/>
  <c r="G826" i="1"/>
  <c r="H826" i="1" s="1"/>
  <c r="G827" i="1"/>
  <c r="H827" i="1" s="1"/>
  <c r="G828" i="1"/>
  <c r="H828" i="1" s="1"/>
  <c r="G829" i="1"/>
  <c r="H829" i="1" s="1"/>
  <c r="G830" i="1"/>
  <c r="H830" i="1" s="1"/>
  <c r="G831" i="1"/>
  <c r="H831" i="1" s="1"/>
  <c r="G832" i="1"/>
  <c r="H832" i="1" s="1"/>
  <c r="G833" i="1"/>
  <c r="H833" i="1" s="1"/>
  <c r="G834" i="1"/>
  <c r="H834" i="1" s="1"/>
  <c r="G835" i="1"/>
  <c r="H835" i="1" s="1"/>
  <c r="G836" i="1"/>
  <c r="H836" i="1" s="1"/>
  <c r="G837" i="1"/>
  <c r="H837" i="1" s="1"/>
  <c r="G838" i="1"/>
  <c r="H838" i="1" s="1"/>
  <c r="G839" i="1"/>
  <c r="H839" i="1" s="1"/>
  <c r="G840" i="1"/>
  <c r="H840" i="1" s="1"/>
  <c r="G841" i="1"/>
  <c r="H841" i="1" s="1"/>
  <c r="G842" i="1"/>
  <c r="H842" i="1" s="1"/>
  <c r="G843" i="1"/>
  <c r="H843" i="1" s="1"/>
  <c r="G844" i="1"/>
  <c r="H844" i="1" s="1"/>
  <c r="G845" i="1"/>
  <c r="H845" i="1" s="1"/>
  <c r="G846" i="1"/>
  <c r="H846" i="1" s="1"/>
  <c r="G847" i="1"/>
  <c r="H847" i="1" s="1"/>
  <c r="G848" i="1"/>
  <c r="H848" i="1" s="1"/>
  <c r="G849" i="1"/>
  <c r="H849" i="1" s="1"/>
  <c r="G850" i="1"/>
  <c r="H850" i="1" s="1"/>
  <c r="G851" i="1"/>
  <c r="H851" i="1" s="1"/>
  <c r="G852" i="1"/>
  <c r="H852" i="1" s="1"/>
  <c r="G853" i="1"/>
  <c r="H853" i="1" s="1"/>
  <c r="G854" i="1"/>
  <c r="H854" i="1" s="1"/>
  <c r="G855" i="1"/>
  <c r="H855" i="1" s="1"/>
  <c r="G856" i="1"/>
  <c r="H856" i="1" s="1"/>
  <c r="G857" i="1"/>
  <c r="H857" i="1" s="1"/>
  <c r="G858" i="1"/>
  <c r="H858" i="1" s="1"/>
  <c r="G859" i="1"/>
  <c r="H859" i="1" s="1"/>
  <c r="G860" i="1"/>
  <c r="H860" i="1" s="1"/>
  <c r="G861" i="1"/>
  <c r="H861" i="1" s="1"/>
  <c r="G862" i="1"/>
  <c r="H862" i="1" s="1"/>
  <c r="G863" i="1"/>
  <c r="H863" i="1" s="1"/>
  <c r="G864" i="1"/>
  <c r="H864" i="1" s="1"/>
  <c r="G865" i="1"/>
  <c r="H865" i="1" s="1"/>
  <c r="G866" i="1"/>
  <c r="H866" i="1" s="1"/>
  <c r="G867" i="1"/>
  <c r="H867" i="1" s="1"/>
  <c r="G868" i="1"/>
  <c r="H868" i="1" s="1"/>
  <c r="G869" i="1"/>
  <c r="H869" i="1" s="1"/>
  <c r="G870" i="1"/>
  <c r="H870" i="1" s="1"/>
  <c r="G871" i="1"/>
  <c r="H871" i="1" s="1"/>
  <c r="G872" i="1"/>
  <c r="H872" i="1" s="1"/>
  <c r="G873" i="1"/>
  <c r="H873" i="1" s="1"/>
  <c r="G874" i="1"/>
  <c r="H874" i="1" s="1"/>
  <c r="G875" i="1"/>
  <c r="H875" i="1" s="1"/>
  <c r="G876" i="1"/>
  <c r="H876" i="1" s="1"/>
  <c r="G877" i="1"/>
  <c r="H877" i="1" s="1"/>
  <c r="G878" i="1"/>
  <c r="H878" i="1" s="1"/>
  <c r="G879" i="1"/>
  <c r="H879" i="1" s="1"/>
  <c r="G880" i="1"/>
  <c r="H880" i="1" s="1"/>
  <c r="G881" i="1"/>
  <c r="H881" i="1" s="1"/>
  <c r="G882" i="1"/>
  <c r="H882" i="1" s="1"/>
  <c r="G883" i="1"/>
  <c r="H883" i="1" s="1"/>
  <c r="G884" i="1"/>
  <c r="H884" i="1" s="1"/>
  <c r="G885" i="1"/>
  <c r="H885" i="1" s="1"/>
  <c r="G886" i="1"/>
  <c r="H886" i="1" s="1"/>
  <c r="G887" i="1"/>
  <c r="H887" i="1" s="1"/>
  <c r="G888" i="1"/>
  <c r="H888" i="1" s="1"/>
  <c r="G889" i="1"/>
  <c r="H889" i="1" s="1"/>
  <c r="G890" i="1"/>
  <c r="H890" i="1" s="1"/>
  <c r="G891" i="1"/>
  <c r="H891" i="1" s="1"/>
  <c r="G892" i="1"/>
  <c r="H892" i="1" s="1"/>
  <c r="G893" i="1"/>
  <c r="H893" i="1" s="1"/>
  <c r="G894" i="1"/>
  <c r="H894" i="1" s="1"/>
  <c r="G895" i="1"/>
  <c r="H895" i="1" s="1"/>
  <c r="G896" i="1"/>
  <c r="H896" i="1" s="1"/>
  <c r="G897" i="1"/>
  <c r="H897" i="1" s="1"/>
  <c r="G898" i="1"/>
  <c r="H898" i="1" s="1"/>
  <c r="G899" i="1"/>
  <c r="H899" i="1" s="1"/>
  <c r="G900" i="1"/>
  <c r="H900" i="1" s="1"/>
  <c r="G901" i="1"/>
  <c r="H901" i="1" s="1"/>
  <c r="G902" i="1"/>
  <c r="H902" i="1" s="1"/>
  <c r="G903" i="1"/>
  <c r="H903" i="1" s="1"/>
  <c r="G904" i="1"/>
  <c r="H904" i="1" s="1"/>
  <c r="G905" i="1"/>
  <c r="H905" i="1" s="1"/>
  <c r="G906" i="1"/>
  <c r="H906" i="1" s="1"/>
  <c r="G907" i="1"/>
  <c r="H907" i="1" s="1"/>
  <c r="G908" i="1"/>
  <c r="H908" i="1" s="1"/>
  <c r="G909" i="1"/>
  <c r="H909" i="1" s="1"/>
  <c r="G910" i="1"/>
  <c r="H910" i="1" s="1"/>
  <c r="G911" i="1"/>
  <c r="H911" i="1" s="1"/>
  <c r="G912" i="1"/>
  <c r="H912" i="1" s="1"/>
  <c r="G913" i="1"/>
  <c r="H913" i="1" s="1"/>
  <c r="G914" i="1"/>
  <c r="H914" i="1" s="1"/>
  <c r="G915" i="1"/>
  <c r="H915" i="1" s="1"/>
  <c r="G916" i="1"/>
  <c r="H916" i="1" s="1"/>
  <c r="G917" i="1"/>
  <c r="H917" i="1" s="1"/>
  <c r="G918" i="1"/>
  <c r="H918" i="1" s="1"/>
  <c r="G919" i="1"/>
  <c r="H919" i="1" s="1"/>
  <c r="G920" i="1"/>
  <c r="H920" i="1" s="1"/>
  <c r="G921" i="1"/>
  <c r="H921" i="1" s="1"/>
  <c r="G922" i="1"/>
  <c r="H922" i="1" s="1"/>
  <c r="G923" i="1"/>
  <c r="H923" i="1" s="1"/>
  <c r="G924" i="1"/>
  <c r="H924" i="1" s="1"/>
  <c r="G925" i="1"/>
  <c r="H925" i="1" s="1"/>
  <c r="G926" i="1"/>
  <c r="H926" i="1" s="1"/>
  <c r="G927" i="1"/>
  <c r="H927" i="1" s="1"/>
  <c r="G928" i="1"/>
  <c r="H928" i="1" s="1"/>
  <c r="G929" i="1"/>
  <c r="H929" i="1" s="1"/>
  <c r="G930" i="1"/>
  <c r="H930" i="1" s="1"/>
  <c r="G931" i="1"/>
  <c r="H931" i="1" s="1"/>
  <c r="G932" i="1"/>
  <c r="H932" i="1" s="1"/>
  <c r="G933" i="1"/>
  <c r="H933" i="1" s="1"/>
  <c r="G934" i="1"/>
  <c r="H934" i="1" s="1"/>
  <c r="G935" i="1"/>
  <c r="H935" i="1" s="1"/>
  <c r="G936" i="1"/>
  <c r="H936" i="1" s="1"/>
  <c r="G937" i="1"/>
  <c r="H937" i="1" s="1"/>
  <c r="G938" i="1"/>
  <c r="H938" i="1" s="1"/>
  <c r="G939" i="1"/>
  <c r="H939" i="1" s="1"/>
  <c r="G940" i="1"/>
  <c r="H940" i="1" s="1"/>
  <c r="G941" i="1"/>
  <c r="H941" i="1" s="1"/>
  <c r="G942" i="1"/>
  <c r="H942" i="1" s="1"/>
  <c r="G943" i="1"/>
  <c r="H943" i="1" s="1"/>
  <c r="G944" i="1"/>
  <c r="H944" i="1" s="1"/>
  <c r="G945" i="1"/>
  <c r="H945" i="1" s="1"/>
  <c r="G946" i="1"/>
  <c r="H946" i="1" s="1"/>
  <c r="G947" i="1"/>
  <c r="H947" i="1" s="1"/>
  <c r="G948" i="1"/>
  <c r="H948" i="1" s="1"/>
  <c r="G949" i="1"/>
  <c r="H949" i="1" s="1"/>
  <c r="G950" i="1"/>
  <c r="H950" i="1" s="1"/>
  <c r="G3" i="1"/>
  <c r="H3" i="1" s="1"/>
  <c r="E3" i="1"/>
  <c r="F3" i="1" s="1"/>
  <c r="E4" i="1"/>
  <c r="F4" i="1" s="1"/>
  <c r="E5" i="1"/>
  <c r="F5" i="1" s="1"/>
  <c r="E6" i="1"/>
  <c r="F6" i="1" s="1"/>
  <c r="E7" i="1"/>
  <c r="F7" i="1" s="1"/>
  <c r="E8" i="1"/>
  <c r="F8" i="1" s="1"/>
  <c r="E9" i="1"/>
  <c r="F9" i="1" s="1"/>
  <c r="E10" i="1"/>
  <c r="F10" i="1" s="1"/>
  <c r="E11" i="1"/>
  <c r="F11" i="1" s="1"/>
  <c r="E12" i="1"/>
  <c r="F12" i="1" s="1"/>
  <c r="E13" i="1"/>
  <c r="F13" i="1" s="1"/>
  <c r="E14" i="1"/>
  <c r="F14" i="1" s="1"/>
  <c r="E15" i="1"/>
  <c r="F15" i="1" s="1"/>
  <c r="E16" i="1"/>
  <c r="F16" i="1" s="1"/>
  <c r="E17" i="1"/>
  <c r="F17" i="1" s="1"/>
  <c r="E18" i="1"/>
  <c r="F18" i="1" s="1"/>
  <c r="E19" i="1"/>
  <c r="F19" i="1" s="1"/>
  <c r="E20" i="1"/>
  <c r="F20" i="1" s="1"/>
  <c r="E21" i="1"/>
  <c r="F21" i="1" s="1"/>
  <c r="E22" i="1"/>
  <c r="F22" i="1" s="1"/>
  <c r="E23" i="1"/>
  <c r="F23" i="1" s="1"/>
  <c r="E24" i="1"/>
  <c r="F24" i="1" s="1"/>
  <c r="E25" i="1"/>
  <c r="F25" i="1" s="1"/>
  <c r="E26" i="1"/>
  <c r="F26" i="1" s="1"/>
  <c r="E27" i="1"/>
  <c r="F27" i="1" s="1"/>
  <c r="E28" i="1"/>
  <c r="F28" i="1" s="1"/>
  <c r="E29" i="1"/>
  <c r="F29" i="1" s="1"/>
  <c r="E30" i="1"/>
  <c r="F30" i="1" s="1"/>
  <c r="E31" i="1"/>
  <c r="F31" i="1" s="1"/>
  <c r="E32" i="1"/>
  <c r="F32" i="1" s="1"/>
  <c r="E33" i="1"/>
  <c r="F33" i="1" s="1"/>
  <c r="E34" i="1"/>
  <c r="F34" i="1" s="1"/>
  <c r="E35" i="1"/>
  <c r="F35" i="1" s="1"/>
  <c r="E36" i="1"/>
  <c r="F36" i="1" s="1"/>
  <c r="E37" i="1"/>
  <c r="F37" i="1" s="1"/>
  <c r="E38" i="1"/>
  <c r="F38" i="1" s="1"/>
  <c r="E39" i="1"/>
  <c r="F39" i="1" s="1"/>
  <c r="E40" i="1"/>
  <c r="F40" i="1" s="1"/>
  <c r="E41" i="1"/>
  <c r="F41" i="1" s="1"/>
  <c r="E42" i="1"/>
  <c r="F42" i="1" s="1"/>
  <c r="E43" i="1"/>
  <c r="F43" i="1" s="1"/>
  <c r="E44" i="1"/>
  <c r="F44" i="1" s="1"/>
  <c r="E45" i="1"/>
  <c r="F45" i="1" s="1"/>
  <c r="E46" i="1"/>
  <c r="F46" i="1" s="1"/>
  <c r="E47" i="1"/>
  <c r="F47" i="1" s="1"/>
  <c r="E48" i="1"/>
  <c r="F48" i="1" s="1"/>
  <c r="E49" i="1"/>
  <c r="F49" i="1" s="1"/>
  <c r="E50" i="1"/>
  <c r="F50" i="1" s="1"/>
  <c r="E51" i="1"/>
  <c r="F51" i="1" s="1"/>
  <c r="E52" i="1"/>
  <c r="F52" i="1" s="1"/>
  <c r="E53" i="1"/>
  <c r="F53" i="1" s="1"/>
  <c r="E54" i="1"/>
  <c r="F54" i="1" s="1"/>
  <c r="E55" i="1"/>
  <c r="F55" i="1" s="1"/>
  <c r="E56" i="1"/>
  <c r="F56" i="1" s="1"/>
  <c r="E57" i="1"/>
  <c r="F57" i="1" s="1"/>
  <c r="E58" i="1"/>
  <c r="F58" i="1" s="1"/>
  <c r="E59" i="1"/>
  <c r="F59" i="1" s="1"/>
  <c r="E60" i="1"/>
  <c r="F60" i="1" s="1"/>
  <c r="E61" i="1"/>
  <c r="F61" i="1" s="1"/>
  <c r="E62" i="1"/>
  <c r="F62" i="1" s="1"/>
  <c r="E63" i="1"/>
  <c r="F63" i="1" s="1"/>
  <c r="E64" i="1"/>
  <c r="F64" i="1" s="1"/>
  <c r="E65" i="1"/>
  <c r="F65" i="1" s="1"/>
  <c r="E66" i="1"/>
  <c r="F66" i="1" s="1"/>
  <c r="E67" i="1"/>
  <c r="F67" i="1" s="1"/>
  <c r="E68" i="1"/>
  <c r="F68" i="1" s="1"/>
  <c r="E69" i="1"/>
  <c r="F69" i="1" s="1"/>
  <c r="E70" i="1"/>
  <c r="F70" i="1" s="1"/>
  <c r="E71" i="1"/>
  <c r="F71" i="1" s="1"/>
  <c r="E72" i="1"/>
  <c r="F72" i="1" s="1"/>
  <c r="E73" i="1"/>
  <c r="F73" i="1" s="1"/>
  <c r="E74" i="1"/>
  <c r="F74" i="1" s="1"/>
  <c r="E75" i="1"/>
  <c r="F75" i="1" s="1"/>
  <c r="E76" i="1"/>
  <c r="F76" i="1" s="1"/>
  <c r="E77" i="1"/>
  <c r="F77" i="1" s="1"/>
  <c r="E78" i="1"/>
  <c r="F78" i="1" s="1"/>
  <c r="E79" i="1"/>
  <c r="F79" i="1" s="1"/>
  <c r="E80" i="1"/>
  <c r="F80" i="1" s="1"/>
  <c r="E81" i="1"/>
  <c r="F81" i="1" s="1"/>
  <c r="E82" i="1"/>
  <c r="F82" i="1" s="1"/>
  <c r="E83" i="1"/>
  <c r="F83" i="1" s="1"/>
  <c r="E84" i="1"/>
  <c r="F84" i="1" s="1"/>
  <c r="E85" i="1"/>
  <c r="F85" i="1" s="1"/>
  <c r="E86" i="1"/>
  <c r="F86" i="1" s="1"/>
  <c r="E87" i="1"/>
  <c r="F87" i="1" s="1"/>
  <c r="E88" i="1"/>
  <c r="F88" i="1" s="1"/>
  <c r="E89" i="1"/>
  <c r="F89" i="1" s="1"/>
  <c r="E90" i="1"/>
  <c r="F90" i="1" s="1"/>
  <c r="E91" i="1"/>
  <c r="F91" i="1" s="1"/>
  <c r="E92" i="1"/>
  <c r="F92" i="1" s="1"/>
  <c r="E93" i="1"/>
  <c r="F93" i="1" s="1"/>
  <c r="E94" i="1"/>
  <c r="F94" i="1" s="1"/>
  <c r="E95" i="1"/>
  <c r="F95" i="1" s="1"/>
  <c r="E96" i="1"/>
  <c r="F96" i="1" s="1"/>
  <c r="E97" i="1"/>
  <c r="F97" i="1" s="1"/>
  <c r="E98" i="1"/>
  <c r="F98" i="1" s="1"/>
  <c r="E99" i="1"/>
  <c r="F99" i="1" s="1"/>
  <c r="E100" i="1"/>
  <c r="F100" i="1" s="1"/>
  <c r="E101" i="1"/>
  <c r="F101" i="1" s="1"/>
  <c r="E102" i="1"/>
  <c r="F102" i="1" s="1"/>
  <c r="E103" i="1"/>
  <c r="F103" i="1" s="1"/>
  <c r="E104" i="1"/>
  <c r="F104" i="1" s="1"/>
  <c r="E105" i="1"/>
  <c r="F105" i="1" s="1"/>
  <c r="E106" i="1"/>
  <c r="F106" i="1" s="1"/>
  <c r="E107" i="1"/>
  <c r="F107" i="1" s="1"/>
  <c r="E108" i="1"/>
  <c r="F108" i="1" s="1"/>
  <c r="E109" i="1"/>
  <c r="F109" i="1" s="1"/>
  <c r="E110" i="1"/>
  <c r="F110" i="1" s="1"/>
  <c r="E111" i="1"/>
  <c r="F111" i="1" s="1"/>
  <c r="E112" i="1"/>
  <c r="F112" i="1" s="1"/>
  <c r="E113" i="1"/>
  <c r="F113" i="1" s="1"/>
  <c r="E114" i="1"/>
  <c r="F114" i="1" s="1"/>
  <c r="E115" i="1"/>
  <c r="F115" i="1" s="1"/>
  <c r="E116" i="1"/>
  <c r="F116" i="1" s="1"/>
  <c r="E117" i="1"/>
  <c r="F117" i="1" s="1"/>
  <c r="E118" i="1"/>
  <c r="F118" i="1" s="1"/>
  <c r="E119" i="1"/>
  <c r="F119" i="1" s="1"/>
  <c r="E120" i="1"/>
  <c r="F120" i="1" s="1"/>
  <c r="E121" i="1"/>
  <c r="F121" i="1" s="1"/>
  <c r="E122" i="1"/>
  <c r="F122" i="1" s="1"/>
  <c r="E123" i="1"/>
  <c r="F123" i="1" s="1"/>
  <c r="E124" i="1"/>
  <c r="F124" i="1" s="1"/>
  <c r="E125" i="1"/>
  <c r="F125" i="1" s="1"/>
  <c r="E126" i="1"/>
  <c r="F126" i="1" s="1"/>
  <c r="E127" i="1"/>
  <c r="F127" i="1" s="1"/>
  <c r="E128" i="1"/>
  <c r="F128" i="1" s="1"/>
  <c r="E129" i="1"/>
  <c r="F129" i="1" s="1"/>
  <c r="E130" i="1"/>
  <c r="F130" i="1" s="1"/>
  <c r="E131" i="1"/>
  <c r="F131" i="1" s="1"/>
  <c r="E132" i="1"/>
  <c r="F132" i="1" s="1"/>
  <c r="E133" i="1"/>
  <c r="F133" i="1" s="1"/>
  <c r="E134" i="1"/>
  <c r="F134" i="1" s="1"/>
  <c r="E135" i="1"/>
  <c r="F135" i="1" s="1"/>
  <c r="E136" i="1"/>
  <c r="F136" i="1" s="1"/>
  <c r="E137" i="1"/>
  <c r="F137" i="1" s="1"/>
  <c r="E138" i="1"/>
  <c r="F138" i="1" s="1"/>
  <c r="E139" i="1"/>
  <c r="F139" i="1" s="1"/>
  <c r="E140" i="1"/>
  <c r="F140" i="1" s="1"/>
  <c r="E141" i="1"/>
  <c r="F141" i="1" s="1"/>
  <c r="E142" i="1"/>
  <c r="F142" i="1" s="1"/>
  <c r="E143" i="1"/>
  <c r="F143" i="1" s="1"/>
  <c r="E144" i="1"/>
  <c r="F144" i="1" s="1"/>
  <c r="E145" i="1"/>
  <c r="F145" i="1" s="1"/>
  <c r="E146" i="1"/>
  <c r="F146" i="1" s="1"/>
  <c r="E147" i="1"/>
  <c r="F147" i="1" s="1"/>
  <c r="E148" i="1"/>
  <c r="F148" i="1" s="1"/>
  <c r="E149" i="1"/>
  <c r="F149" i="1" s="1"/>
  <c r="E150" i="1"/>
  <c r="F150" i="1" s="1"/>
  <c r="E151" i="1"/>
  <c r="F151" i="1" s="1"/>
  <c r="E152" i="1"/>
  <c r="F152" i="1" s="1"/>
  <c r="E153" i="1"/>
  <c r="F153" i="1" s="1"/>
  <c r="E154" i="1"/>
  <c r="F154" i="1" s="1"/>
  <c r="E155" i="1"/>
  <c r="F155" i="1" s="1"/>
  <c r="E156" i="1"/>
  <c r="F156" i="1" s="1"/>
  <c r="E157" i="1"/>
  <c r="F157" i="1" s="1"/>
  <c r="E158" i="1"/>
  <c r="F158" i="1" s="1"/>
  <c r="E159" i="1"/>
  <c r="F159" i="1" s="1"/>
  <c r="E160" i="1"/>
  <c r="F160" i="1" s="1"/>
  <c r="E161" i="1"/>
  <c r="F161" i="1" s="1"/>
  <c r="E162" i="1"/>
  <c r="F162" i="1" s="1"/>
  <c r="E163" i="1"/>
  <c r="F163" i="1" s="1"/>
  <c r="E164" i="1"/>
  <c r="F164" i="1" s="1"/>
  <c r="E165" i="1"/>
  <c r="F165" i="1" s="1"/>
  <c r="E166" i="1"/>
  <c r="F166" i="1" s="1"/>
  <c r="E167" i="1"/>
  <c r="F167" i="1" s="1"/>
  <c r="E168" i="1"/>
  <c r="F168" i="1" s="1"/>
  <c r="E169" i="1"/>
  <c r="F169" i="1" s="1"/>
  <c r="E170" i="1"/>
  <c r="F170" i="1" s="1"/>
  <c r="E171" i="1"/>
  <c r="F171" i="1" s="1"/>
  <c r="E172" i="1"/>
  <c r="F172" i="1" s="1"/>
  <c r="E173" i="1"/>
  <c r="F173" i="1" s="1"/>
  <c r="E174" i="1"/>
  <c r="F174" i="1" s="1"/>
  <c r="E175" i="1"/>
  <c r="F175" i="1" s="1"/>
  <c r="E176" i="1"/>
  <c r="F176" i="1" s="1"/>
  <c r="E177" i="1"/>
  <c r="F177" i="1" s="1"/>
  <c r="E178" i="1"/>
  <c r="F178" i="1" s="1"/>
  <c r="E179" i="1"/>
  <c r="F179" i="1" s="1"/>
  <c r="E180" i="1"/>
  <c r="F180" i="1" s="1"/>
  <c r="E181" i="1"/>
  <c r="F181" i="1" s="1"/>
  <c r="E182" i="1"/>
  <c r="F182" i="1" s="1"/>
  <c r="E183" i="1"/>
  <c r="F183" i="1" s="1"/>
  <c r="E184" i="1"/>
  <c r="F184" i="1" s="1"/>
  <c r="E185" i="1"/>
  <c r="F185" i="1" s="1"/>
  <c r="E186" i="1"/>
  <c r="F186" i="1" s="1"/>
  <c r="E187" i="1"/>
  <c r="F187" i="1" s="1"/>
  <c r="E188" i="1"/>
  <c r="F188" i="1" s="1"/>
  <c r="E189" i="1"/>
  <c r="F189" i="1" s="1"/>
  <c r="E190" i="1"/>
  <c r="F190" i="1" s="1"/>
  <c r="E191" i="1"/>
  <c r="F191" i="1" s="1"/>
  <c r="E192" i="1"/>
  <c r="F192" i="1" s="1"/>
  <c r="E193" i="1"/>
  <c r="F193" i="1" s="1"/>
  <c r="E194" i="1"/>
  <c r="F194" i="1" s="1"/>
  <c r="E195" i="1"/>
  <c r="F195" i="1" s="1"/>
  <c r="E196" i="1"/>
  <c r="F196" i="1" s="1"/>
  <c r="E197" i="1"/>
  <c r="F197" i="1" s="1"/>
  <c r="E198" i="1"/>
  <c r="F198" i="1" s="1"/>
  <c r="E199" i="1"/>
  <c r="F199" i="1" s="1"/>
  <c r="E200" i="1"/>
  <c r="F200" i="1" s="1"/>
  <c r="E201" i="1"/>
  <c r="F201" i="1" s="1"/>
  <c r="E202" i="1"/>
  <c r="F202" i="1" s="1"/>
  <c r="E203" i="1"/>
  <c r="F203" i="1" s="1"/>
  <c r="E204" i="1"/>
  <c r="F204" i="1" s="1"/>
  <c r="E205" i="1"/>
  <c r="F205" i="1" s="1"/>
  <c r="E206" i="1"/>
  <c r="F206" i="1" s="1"/>
  <c r="E207" i="1"/>
  <c r="F207" i="1" s="1"/>
  <c r="E208" i="1"/>
  <c r="F208" i="1" s="1"/>
  <c r="E209" i="1"/>
  <c r="F209" i="1" s="1"/>
  <c r="E210" i="1"/>
  <c r="F210" i="1" s="1"/>
  <c r="E211" i="1"/>
  <c r="F211" i="1" s="1"/>
  <c r="E212" i="1"/>
  <c r="F212" i="1" s="1"/>
  <c r="E213" i="1"/>
  <c r="F213" i="1" s="1"/>
  <c r="E214" i="1"/>
  <c r="F214" i="1" s="1"/>
  <c r="E215" i="1"/>
  <c r="F215" i="1" s="1"/>
  <c r="E216" i="1"/>
  <c r="F216" i="1" s="1"/>
  <c r="E217" i="1"/>
  <c r="F217" i="1" s="1"/>
  <c r="E218" i="1"/>
  <c r="F218" i="1" s="1"/>
  <c r="E219" i="1"/>
  <c r="F219" i="1" s="1"/>
  <c r="E220" i="1"/>
  <c r="F220" i="1" s="1"/>
  <c r="E221" i="1"/>
  <c r="F221" i="1" s="1"/>
  <c r="E222" i="1"/>
  <c r="F222" i="1" s="1"/>
  <c r="E223" i="1"/>
  <c r="F223" i="1" s="1"/>
  <c r="E224" i="1"/>
  <c r="F224" i="1" s="1"/>
  <c r="E225" i="1"/>
  <c r="F225" i="1" s="1"/>
  <c r="E226" i="1"/>
  <c r="F226" i="1" s="1"/>
  <c r="E227" i="1"/>
  <c r="F227" i="1" s="1"/>
  <c r="E228" i="1"/>
  <c r="F228" i="1" s="1"/>
  <c r="E229" i="1"/>
  <c r="F229" i="1" s="1"/>
  <c r="E230" i="1"/>
  <c r="F230" i="1" s="1"/>
  <c r="E231" i="1"/>
  <c r="F231" i="1" s="1"/>
  <c r="E232" i="1"/>
  <c r="F232" i="1" s="1"/>
  <c r="E233" i="1"/>
  <c r="F233" i="1" s="1"/>
  <c r="E234" i="1"/>
  <c r="F234" i="1" s="1"/>
  <c r="E235" i="1"/>
  <c r="F235" i="1" s="1"/>
  <c r="E236" i="1"/>
  <c r="F236" i="1" s="1"/>
  <c r="E237" i="1"/>
  <c r="F237" i="1" s="1"/>
  <c r="E238" i="1"/>
  <c r="F238" i="1" s="1"/>
  <c r="E239" i="1"/>
  <c r="F239" i="1" s="1"/>
  <c r="E240" i="1"/>
  <c r="F240" i="1" s="1"/>
  <c r="E241" i="1"/>
  <c r="F241" i="1" s="1"/>
  <c r="E242" i="1"/>
  <c r="F242" i="1" s="1"/>
  <c r="E243" i="1"/>
  <c r="F243" i="1" s="1"/>
  <c r="E244" i="1"/>
  <c r="F244" i="1" s="1"/>
  <c r="E245" i="1"/>
  <c r="F245" i="1" s="1"/>
  <c r="E246" i="1"/>
  <c r="F246" i="1" s="1"/>
  <c r="E247" i="1"/>
  <c r="F247" i="1" s="1"/>
  <c r="E248" i="1"/>
  <c r="F248" i="1" s="1"/>
  <c r="E249" i="1"/>
  <c r="F249" i="1" s="1"/>
  <c r="E250" i="1"/>
  <c r="F250" i="1" s="1"/>
  <c r="E251" i="1"/>
  <c r="F251" i="1" s="1"/>
  <c r="E252" i="1"/>
  <c r="F252" i="1" s="1"/>
  <c r="E253" i="1"/>
  <c r="F253" i="1" s="1"/>
  <c r="E254" i="1"/>
  <c r="F254" i="1" s="1"/>
  <c r="E255" i="1"/>
  <c r="F255" i="1" s="1"/>
  <c r="E256" i="1"/>
  <c r="F256" i="1" s="1"/>
  <c r="E257" i="1"/>
  <c r="F257" i="1" s="1"/>
  <c r="E258" i="1"/>
  <c r="F258" i="1" s="1"/>
  <c r="E259" i="1"/>
  <c r="F259" i="1" s="1"/>
  <c r="E260" i="1"/>
  <c r="F260" i="1" s="1"/>
  <c r="E261" i="1"/>
  <c r="F261" i="1" s="1"/>
  <c r="E262" i="1"/>
  <c r="F262" i="1" s="1"/>
  <c r="E263" i="1"/>
  <c r="F263" i="1" s="1"/>
  <c r="E264" i="1"/>
  <c r="F264" i="1" s="1"/>
  <c r="E265" i="1"/>
  <c r="F265" i="1" s="1"/>
  <c r="E266" i="1"/>
  <c r="F266" i="1" s="1"/>
  <c r="E267" i="1"/>
  <c r="F267" i="1" s="1"/>
  <c r="E268" i="1"/>
  <c r="F268" i="1" s="1"/>
  <c r="E269" i="1"/>
  <c r="F269" i="1" s="1"/>
  <c r="E270" i="1"/>
  <c r="F270" i="1" s="1"/>
  <c r="E271" i="1"/>
  <c r="F271" i="1" s="1"/>
  <c r="E272" i="1"/>
  <c r="F272" i="1" s="1"/>
  <c r="E273" i="1"/>
  <c r="F273" i="1" s="1"/>
  <c r="E274" i="1"/>
  <c r="F274" i="1" s="1"/>
  <c r="E275" i="1"/>
  <c r="F275" i="1" s="1"/>
  <c r="E276" i="1"/>
  <c r="F276" i="1" s="1"/>
  <c r="E277" i="1"/>
  <c r="F277" i="1" s="1"/>
  <c r="E278" i="1"/>
  <c r="F278" i="1" s="1"/>
  <c r="E279" i="1"/>
  <c r="F279" i="1" s="1"/>
  <c r="E280" i="1"/>
  <c r="F280" i="1" s="1"/>
  <c r="E281" i="1"/>
  <c r="F281" i="1" s="1"/>
  <c r="E282" i="1"/>
  <c r="F282" i="1" s="1"/>
  <c r="E283" i="1"/>
  <c r="F283" i="1" s="1"/>
  <c r="E284" i="1"/>
  <c r="F284" i="1" s="1"/>
  <c r="E285" i="1"/>
  <c r="F285" i="1" s="1"/>
  <c r="E286" i="1"/>
  <c r="F286" i="1" s="1"/>
  <c r="E287" i="1"/>
  <c r="F287" i="1" s="1"/>
  <c r="E288" i="1"/>
  <c r="F288" i="1" s="1"/>
  <c r="E289" i="1"/>
  <c r="F289" i="1" s="1"/>
  <c r="E290" i="1"/>
  <c r="F290" i="1" s="1"/>
  <c r="E291" i="1"/>
  <c r="F291" i="1" s="1"/>
  <c r="E292" i="1"/>
  <c r="F292" i="1" s="1"/>
  <c r="E293" i="1"/>
  <c r="F293" i="1" s="1"/>
  <c r="E294" i="1"/>
  <c r="F294" i="1" s="1"/>
  <c r="E295" i="1"/>
  <c r="F295" i="1" s="1"/>
  <c r="E296" i="1"/>
  <c r="F296" i="1" s="1"/>
  <c r="E297" i="1"/>
  <c r="F297" i="1" s="1"/>
  <c r="E298" i="1"/>
  <c r="F298" i="1" s="1"/>
  <c r="E299" i="1"/>
  <c r="F299" i="1" s="1"/>
  <c r="E300" i="1"/>
  <c r="F300" i="1" s="1"/>
  <c r="E301" i="1"/>
  <c r="F301" i="1" s="1"/>
  <c r="E302" i="1"/>
  <c r="F302" i="1" s="1"/>
  <c r="E303" i="1"/>
  <c r="F303" i="1" s="1"/>
  <c r="E304" i="1"/>
  <c r="F304" i="1" s="1"/>
  <c r="E305" i="1"/>
  <c r="F305" i="1" s="1"/>
  <c r="E306" i="1"/>
  <c r="F306" i="1" s="1"/>
  <c r="E307" i="1"/>
  <c r="F307" i="1" s="1"/>
  <c r="E308" i="1"/>
  <c r="F308" i="1" s="1"/>
  <c r="E309" i="1"/>
  <c r="F309" i="1" s="1"/>
  <c r="E310" i="1"/>
  <c r="F310" i="1" s="1"/>
  <c r="E311" i="1"/>
  <c r="F311" i="1" s="1"/>
  <c r="E312" i="1"/>
  <c r="F312" i="1" s="1"/>
  <c r="E313" i="1"/>
  <c r="F313" i="1" s="1"/>
  <c r="E314" i="1"/>
  <c r="F314" i="1" s="1"/>
  <c r="E315" i="1"/>
  <c r="F315" i="1" s="1"/>
  <c r="E316" i="1"/>
  <c r="F316" i="1" s="1"/>
  <c r="E317" i="1"/>
  <c r="F317" i="1" s="1"/>
  <c r="E318" i="1"/>
  <c r="F318" i="1" s="1"/>
  <c r="E319" i="1"/>
  <c r="F319" i="1" s="1"/>
  <c r="E320" i="1"/>
  <c r="F320" i="1" s="1"/>
  <c r="E321" i="1"/>
  <c r="F321" i="1" s="1"/>
  <c r="E322" i="1"/>
  <c r="F322" i="1" s="1"/>
  <c r="E323" i="1"/>
  <c r="F323" i="1" s="1"/>
  <c r="E324" i="1"/>
  <c r="F324" i="1" s="1"/>
  <c r="E325" i="1"/>
  <c r="F325" i="1" s="1"/>
  <c r="E326" i="1"/>
  <c r="F326" i="1" s="1"/>
  <c r="E327" i="1"/>
  <c r="F327" i="1" s="1"/>
  <c r="E328" i="1"/>
  <c r="F328" i="1" s="1"/>
  <c r="E329" i="1"/>
  <c r="F329" i="1" s="1"/>
  <c r="E330" i="1"/>
  <c r="F330" i="1" s="1"/>
  <c r="E331" i="1"/>
  <c r="F331" i="1" s="1"/>
  <c r="E332" i="1"/>
  <c r="F332" i="1" s="1"/>
  <c r="E333" i="1"/>
  <c r="F333" i="1" s="1"/>
  <c r="E334" i="1"/>
  <c r="F334" i="1" s="1"/>
  <c r="E335" i="1"/>
  <c r="F335" i="1" s="1"/>
  <c r="E336" i="1"/>
  <c r="F336" i="1" s="1"/>
  <c r="E337" i="1"/>
  <c r="F337" i="1" s="1"/>
  <c r="E338" i="1"/>
  <c r="F338" i="1" s="1"/>
  <c r="E339" i="1"/>
  <c r="F339" i="1" s="1"/>
  <c r="E340" i="1"/>
  <c r="F340" i="1" s="1"/>
  <c r="E341" i="1"/>
  <c r="F341" i="1" s="1"/>
  <c r="E342" i="1"/>
  <c r="F342" i="1" s="1"/>
  <c r="E343" i="1"/>
  <c r="F343" i="1" s="1"/>
  <c r="E344" i="1"/>
  <c r="F344" i="1" s="1"/>
  <c r="E345" i="1"/>
  <c r="F345" i="1" s="1"/>
  <c r="E346" i="1"/>
  <c r="F346" i="1" s="1"/>
  <c r="E347" i="1"/>
  <c r="F347" i="1" s="1"/>
  <c r="E348" i="1"/>
  <c r="F348" i="1" s="1"/>
  <c r="E349" i="1"/>
  <c r="F349" i="1" s="1"/>
  <c r="E350" i="1"/>
  <c r="F350" i="1" s="1"/>
  <c r="E351" i="1"/>
  <c r="F351" i="1" s="1"/>
  <c r="E352" i="1"/>
  <c r="F352" i="1" s="1"/>
  <c r="E353" i="1"/>
  <c r="F353" i="1" s="1"/>
  <c r="E354" i="1"/>
  <c r="F354" i="1" s="1"/>
  <c r="E355" i="1"/>
  <c r="F355" i="1" s="1"/>
  <c r="E356" i="1"/>
  <c r="F356" i="1" s="1"/>
  <c r="E357" i="1"/>
  <c r="F357" i="1" s="1"/>
  <c r="E358" i="1"/>
  <c r="F358" i="1" s="1"/>
  <c r="E359" i="1"/>
  <c r="F359" i="1" s="1"/>
  <c r="E360" i="1"/>
  <c r="F360" i="1" s="1"/>
  <c r="E361" i="1"/>
  <c r="F361" i="1" s="1"/>
  <c r="E362" i="1"/>
  <c r="F362" i="1" s="1"/>
  <c r="E363" i="1"/>
  <c r="F363" i="1" s="1"/>
  <c r="E364" i="1"/>
  <c r="F364" i="1" s="1"/>
  <c r="E365" i="1"/>
  <c r="F365" i="1" s="1"/>
  <c r="E366" i="1"/>
  <c r="F366" i="1" s="1"/>
  <c r="E367" i="1"/>
  <c r="F367" i="1" s="1"/>
  <c r="E368" i="1"/>
  <c r="F368" i="1" s="1"/>
  <c r="E369" i="1"/>
  <c r="F369" i="1" s="1"/>
  <c r="E370" i="1"/>
  <c r="F370" i="1" s="1"/>
  <c r="E371" i="1"/>
  <c r="F371" i="1" s="1"/>
  <c r="E372" i="1"/>
  <c r="F372" i="1" s="1"/>
  <c r="E373" i="1"/>
  <c r="F373" i="1" s="1"/>
  <c r="E374" i="1"/>
  <c r="F374" i="1" s="1"/>
  <c r="E375" i="1"/>
  <c r="F375" i="1" s="1"/>
  <c r="E376" i="1"/>
  <c r="F376" i="1" s="1"/>
  <c r="E377" i="1"/>
  <c r="F377" i="1" s="1"/>
  <c r="E378" i="1"/>
  <c r="F378" i="1" s="1"/>
  <c r="E379" i="1"/>
  <c r="F379" i="1" s="1"/>
  <c r="E380" i="1"/>
  <c r="F380" i="1" s="1"/>
  <c r="E381" i="1"/>
  <c r="F381" i="1" s="1"/>
  <c r="E382" i="1"/>
  <c r="F382" i="1" s="1"/>
  <c r="E383" i="1"/>
  <c r="F383" i="1" s="1"/>
  <c r="E384" i="1"/>
  <c r="F384" i="1" s="1"/>
  <c r="E385" i="1"/>
  <c r="F385" i="1" s="1"/>
  <c r="E386" i="1"/>
  <c r="F386" i="1" s="1"/>
  <c r="E387" i="1"/>
  <c r="F387" i="1" s="1"/>
  <c r="E388" i="1"/>
  <c r="F388" i="1" s="1"/>
  <c r="E389" i="1"/>
  <c r="F389" i="1" s="1"/>
  <c r="E390" i="1"/>
  <c r="F390" i="1" s="1"/>
  <c r="E391" i="1"/>
  <c r="F391" i="1" s="1"/>
  <c r="E392" i="1"/>
  <c r="F392" i="1" s="1"/>
  <c r="E393" i="1"/>
  <c r="F393" i="1" s="1"/>
  <c r="E394" i="1"/>
  <c r="F394" i="1" s="1"/>
  <c r="E395" i="1"/>
  <c r="F395" i="1" s="1"/>
  <c r="E396" i="1"/>
  <c r="F396" i="1" s="1"/>
  <c r="E397" i="1"/>
  <c r="F397" i="1" s="1"/>
  <c r="E398" i="1"/>
  <c r="F398" i="1" s="1"/>
  <c r="E399" i="1"/>
  <c r="F399" i="1" s="1"/>
  <c r="E400" i="1"/>
  <c r="F400" i="1" s="1"/>
  <c r="E401" i="1"/>
  <c r="F401" i="1" s="1"/>
  <c r="E402" i="1"/>
  <c r="F402" i="1" s="1"/>
  <c r="E403" i="1"/>
  <c r="F403" i="1" s="1"/>
  <c r="E404" i="1"/>
  <c r="F404" i="1" s="1"/>
  <c r="E405" i="1"/>
  <c r="F405" i="1" s="1"/>
  <c r="E406" i="1"/>
  <c r="F406" i="1" s="1"/>
  <c r="E407" i="1"/>
  <c r="F407" i="1" s="1"/>
  <c r="E408" i="1"/>
  <c r="F408" i="1" s="1"/>
  <c r="E409" i="1"/>
  <c r="F409" i="1" s="1"/>
  <c r="E410" i="1"/>
  <c r="F410" i="1" s="1"/>
  <c r="E411" i="1"/>
  <c r="F411" i="1" s="1"/>
  <c r="E412" i="1"/>
  <c r="F412" i="1" s="1"/>
  <c r="E413" i="1"/>
  <c r="F413" i="1" s="1"/>
  <c r="E414" i="1"/>
  <c r="F414" i="1" s="1"/>
  <c r="E415" i="1"/>
  <c r="F415" i="1" s="1"/>
  <c r="E416" i="1"/>
  <c r="F416" i="1" s="1"/>
  <c r="E417" i="1"/>
  <c r="F417" i="1" s="1"/>
  <c r="E418" i="1"/>
  <c r="F418" i="1" s="1"/>
  <c r="E419" i="1"/>
  <c r="F419" i="1" s="1"/>
  <c r="E420" i="1"/>
  <c r="F420" i="1" s="1"/>
  <c r="E421" i="1"/>
  <c r="F421" i="1" s="1"/>
  <c r="E422" i="1"/>
  <c r="F422" i="1" s="1"/>
  <c r="E423" i="1"/>
  <c r="F423" i="1" s="1"/>
  <c r="E424" i="1"/>
  <c r="F424" i="1" s="1"/>
  <c r="E425" i="1"/>
  <c r="F425" i="1" s="1"/>
  <c r="E426" i="1"/>
  <c r="F426" i="1" s="1"/>
  <c r="E427" i="1"/>
  <c r="F427" i="1" s="1"/>
  <c r="E428" i="1"/>
  <c r="F428" i="1" s="1"/>
  <c r="E429" i="1"/>
  <c r="F429" i="1" s="1"/>
  <c r="E430" i="1"/>
  <c r="F430" i="1" s="1"/>
  <c r="E431" i="1"/>
  <c r="F431" i="1" s="1"/>
  <c r="E432" i="1"/>
  <c r="F432" i="1" s="1"/>
  <c r="E433" i="1"/>
  <c r="F433" i="1" s="1"/>
  <c r="E434" i="1"/>
  <c r="F434" i="1" s="1"/>
  <c r="E435" i="1"/>
  <c r="F435" i="1" s="1"/>
  <c r="E436" i="1"/>
  <c r="F436" i="1" s="1"/>
  <c r="E437" i="1"/>
  <c r="F437" i="1" s="1"/>
  <c r="E438" i="1"/>
  <c r="F438" i="1" s="1"/>
  <c r="E439" i="1"/>
  <c r="F439" i="1" s="1"/>
  <c r="E440" i="1"/>
  <c r="F440" i="1" s="1"/>
  <c r="E441" i="1"/>
  <c r="F441" i="1" s="1"/>
  <c r="E442" i="1"/>
  <c r="F442" i="1" s="1"/>
  <c r="E443" i="1"/>
  <c r="F443" i="1" s="1"/>
  <c r="E444" i="1"/>
  <c r="F444" i="1" s="1"/>
  <c r="E445" i="1"/>
  <c r="F445" i="1" s="1"/>
  <c r="E446" i="1"/>
  <c r="F446" i="1" s="1"/>
  <c r="E447" i="1"/>
  <c r="F447" i="1" s="1"/>
  <c r="E448" i="1"/>
  <c r="F448" i="1" s="1"/>
  <c r="E449" i="1"/>
  <c r="F449" i="1" s="1"/>
  <c r="E450" i="1"/>
  <c r="F450" i="1" s="1"/>
  <c r="E451" i="1"/>
  <c r="F451" i="1" s="1"/>
  <c r="E452" i="1"/>
  <c r="F452" i="1" s="1"/>
  <c r="E453" i="1"/>
  <c r="F453" i="1" s="1"/>
  <c r="E454" i="1"/>
  <c r="F454" i="1" s="1"/>
  <c r="E455" i="1"/>
  <c r="F455" i="1" s="1"/>
  <c r="E456" i="1"/>
  <c r="F456" i="1" s="1"/>
  <c r="E457" i="1"/>
  <c r="F457" i="1" s="1"/>
  <c r="E458" i="1"/>
  <c r="F458" i="1" s="1"/>
  <c r="E459" i="1"/>
  <c r="F459" i="1" s="1"/>
  <c r="E460" i="1"/>
  <c r="F460" i="1" s="1"/>
  <c r="E461" i="1"/>
  <c r="F461" i="1" s="1"/>
  <c r="E462" i="1"/>
  <c r="F462" i="1" s="1"/>
  <c r="E463" i="1"/>
  <c r="F463" i="1" s="1"/>
  <c r="E464" i="1"/>
  <c r="F464" i="1" s="1"/>
  <c r="E465" i="1"/>
  <c r="F465" i="1" s="1"/>
  <c r="E466" i="1"/>
  <c r="F466" i="1" s="1"/>
  <c r="E467" i="1"/>
  <c r="F467" i="1" s="1"/>
  <c r="E468" i="1"/>
  <c r="F468" i="1" s="1"/>
  <c r="E469" i="1"/>
  <c r="F469" i="1" s="1"/>
  <c r="E470" i="1"/>
  <c r="F470" i="1" s="1"/>
  <c r="E471" i="1"/>
  <c r="F471" i="1" s="1"/>
  <c r="E472" i="1"/>
  <c r="F472" i="1" s="1"/>
  <c r="E473" i="1"/>
  <c r="F473" i="1" s="1"/>
  <c r="E474" i="1"/>
  <c r="F474" i="1" s="1"/>
  <c r="E475" i="1"/>
  <c r="F475" i="1" s="1"/>
  <c r="E476" i="1"/>
  <c r="F476" i="1" s="1"/>
  <c r="E477" i="1"/>
  <c r="F477" i="1" s="1"/>
  <c r="E478" i="1"/>
  <c r="F478" i="1" s="1"/>
  <c r="E479" i="1"/>
  <c r="F479" i="1" s="1"/>
  <c r="E480" i="1"/>
  <c r="F480" i="1" s="1"/>
  <c r="E481" i="1"/>
  <c r="F481" i="1" s="1"/>
  <c r="E482" i="1"/>
  <c r="F482" i="1" s="1"/>
  <c r="E483" i="1"/>
  <c r="F483" i="1" s="1"/>
  <c r="E484" i="1"/>
  <c r="F484" i="1" s="1"/>
  <c r="E485" i="1"/>
  <c r="F485" i="1" s="1"/>
  <c r="E486" i="1"/>
  <c r="F486" i="1" s="1"/>
  <c r="E487" i="1"/>
  <c r="F487" i="1" s="1"/>
  <c r="E488" i="1"/>
  <c r="F488" i="1" s="1"/>
  <c r="E489" i="1"/>
  <c r="F489" i="1" s="1"/>
  <c r="E490" i="1"/>
  <c r="F490" i="1" s="1"/>
  <c r="E491" i="1"/>
  <c r="F491" i="1" s="1"/>
  <c r="E492" i="1"/>
  <c r="F492" i="1" s="1"/>
  <c r="E493" i="1"/>
  <c r="F493" i="1" s="1"/>
  <c r="E494" i="1"/>
  <c r="F494" i="1" s="1"/>
  <c r="E495" i="1"/>
  <c r="F495" i="1" s="1"/>
  <c r="E496" i="1"/>
  <c r="F496" i="1" s="1"/>
  <c r="E497" i="1"/>
  <c r="F497" i="1" s="1"/>
  <c r="E498" i="1"/>
  <c r="F498" i="1" s="1"/>
  <c r="E499" i="1"/>
  <c r="F499" i="1" s="1"/>
  <c r="E500" i="1"/>
  <c r="F500" i="1" s="1"/>
  <c r="E501" i="1"/>
  <c r="F501" i="1" s="1"/>
  <c r="E502" i="1"/>
  <c r="F502" i="1" s="1"/>
  <c r="E503" i="1"/>
  <c r="F503" i="1" s="1"/>
  <c r="E504" i="1"/>
  <c r="F504" i="1" s="1"/>
  <c r="E505" i="1"/>
  <c r="F505" i="1" s="1"/>
  <c r="E506" i="1"/>
  <c r="F506" i="1" s="1"/>
  <c r="E507" i="1"/>
  <c r="F507" i="1" s="1"/>
  <c r="E508" i="1"/>
  <c r="F508" i="1" s="1"/>
  <c r="E509" i="1"/>
  <c r="F509" i="1" s="1"/>
  <c r="E510" i="1"/>
  <c r="F510" i="1" s="1"/>
  <c r="E511" i="1"/>
  <c r="F511" i="1" s="1"/>
  <c r="E512" i="1"/>
  <c r="F512" i="1" s="1"/>
  <c r="E513" i="1"/>
  <c r="F513" i="1" s="1"/>
  <c r="E514" i="1"/>
  <c r="F514" i="1" s="1"/>
  <c r="E515" i="1"/>
  <c r="F515" i="1" s="1"/>
  <c r="E516" i="1"/>
  <c r="F516" i="1" s="1"/>
  <c r="E517" i="1"/>
  <c r="F517" i="1" s="1"/>
  <c r="E518" i="1"/>
  <c r="F518" i="1" s="1"/>
  <c r="E519" i="1"/>
  <c r="F519" i="1" s="1"/>
  <c r="E520" i="1"/>
  <c r="F520" i="1" s="1"/>
  <c r="E521" i="1"/>
  <c r="F521" i="1" s="1"/>
  <c r="E522" i="1"/>
  <c r="F522" i="1" s="1"/>
  <c r="E523" i="1"/>
  <c r="F523" i="1" s="1"/>
  <c r="E524" i="1"/>
  <c r="F524" i="1" s="1"/>
  <c r="E525" i="1"/>
  <c r="F525" i="1" s="1"/>
  <c r="E526" i="1"/>
  <c r="F526" i="1" s="1"/>
  <c r="E527" i="1"/>
  <c r="F527" i="1" s="1"/>
  <c r="E528" i="1"/>
  <c r="F528" i="1" s="1"/>
  <c r="E529" i="1"/>
  <c r="F529" i="1" s="1"/>
  <c r="E530" i="1"/>
  <c r="F530" i="1" s="1"/>
  <c r="E531" i="1"/>
  <c r="F531" i="1" s="1"/>
  <c r="E532" i="1"/>
  <c r="F532" i="1" s="1"/>
  <c r="E533" i="1"/>
  <c r="F533" i="1" s="1"/>
  <c r="E534" i="1"/>
  <c r="F534" i="1" s="1"/>
  <c r="E535" i="1"/>
  <c r="F535" i="1" s="1"/>
  <c r="E536" i="1"/>
  <c r="F536" i="1" s="1"/>
  <c r="E537" i="1"/>
  <c r="F537" i="1" s="1"/>
  <c r="E538" i="1"/>
  <c r="F538" i="1" s="1"/>
  <c r="E539" i="1"/>
  <c r="F539" i="1" s="1"/>
  <c r="E540" i="1"/>
  <c r="F540" i="1" s="1"/>
  <c r="E541" i="1"/>
  <c r="F541" i="1" s="1"/>
  <c r="E542" i="1"/>
  <c r="F542" i="1" s="1"/>
  <c r="E543" i="1"/>
  <c r="F543" i="1" s="1"/>
  <c r="E544" i="1"/>
  <c r="F544" i="1" s="1"/>
  <c r="E545" i="1"/>
  <c r="F545" i="1" s="1"/>
  <c r="E546" i="1"/>
  <c r="F546" i="1" s="1"/>
  <c r="E547" i="1"/>
  <c r="F547" i="1" s="1"/>
  <c r="E548" i="1"/>
  <c r="F548" i="1" s="1"/>
  <c r="E549" i="1"/>
  <c r="F549" i="1" s="1"/>
  <c r="E550" i="1"/>
  <c r="F550" i="1" s="1"/>
  <c r="E551" i="1"/>
  <c r="F551" i="1" s="1"/>
  <c r="E552" i="1"/>
  <c r="F552" i="1" s="1"/>
  <c r="E553" i="1"/>
  <c r="F553" i="1" s="1"/>
  <c r="E554" i="1"/>
  <c r="F554" i="1" s="1"/>
  <c r="E555" i="1"/>
  <c r="F555" i="1" s="1"/>
  <c r="E556" i="1"/>
  <c r="F556" i="1" s="1"/>
  <c r="E557" i="1"/>
  <c r="F557" i="1" s="1"/>
  <c r="E558" i="1"/>
  <c r="F558" i="1" s="1"/>
  <c r="E559" i="1"/>
  <c r="F559" i="1" s="1"/>
  <c r="E560" i="1"/>
  <c r="F560" i="1" s="1"/>
  <c r="E561" i="1"/>
  <c r="F561" i="1" s="1"/>
  <c r="E562" i="1"/>
  <c r="F562" i="1" s="1"/>
  <c r="E563" i="1"/>
  <c r="F563" i="1" s="1"/>
  <c r="E564" i="1"/>
  <c r="F564" i="1" s="1"/>
  <c r="E565" i="1"/>
  <c r="F565" i="1" s="1"/>
  <c r="E566" i="1"/>
  <c r="F566" i="1" s="1"/>
  <c r="E567" i="1"/>
  <c r="F567" i="1" s="1"/>
  <c r="E568" i="1"/>
  <c r="F568" i="1" s="1"/>
  <c r="E569" i="1"/>
  <c r="F569" i="1" s="1"/>
  <c r="E570" i="1"/>
  <c r="F570" i="1" s="1"/>
  <c r="E571" i="1"/>
  <c r="F571" i="1" s="1"/>
  <c r="E572" i="1"/>
  <c r="F572" i="1" s="1"/>
  <c r="E573" i="1"/>
  <c r="F573" i="1" s="1"/>
  <c r="E574" i="1"/>
  <c r="F574" i="1" s="1"/>
  <c r="E575" i="1"/>
  <c r="F575" i="1" s="1"/>
  <c r="E576" i="1"/>
  <c r="F576" i="1" s="1"/>
  <c r="E577" i="1"/>
  <c r="F577" i="1" s="1"/>
  <c r="E578" i="1"/>
  <c r="F578" i="1" s="1"/>
  <c r="E579" i="1"/>
  <c r="F579" i="1" s="1"/>
  <c r="E580" i="1"/>
  <c r="F580" i="1" s="1"/>
  <c r="E581" i="1"/>
  <c r="F581" i="1" s="1"/>
  <c r="E582" i="1"/>
  <c r="F582" i="1" s="1"/>
  <c r="E583" i="1"/>
  <c r="F583" i="1" s="1"/>
  <c r="E584" i="1"/>
  <c r="F584" i="1" s="1"/>
  <c r="E585" i="1"/>
  <c r="F585" i="1" s="1"/>
  <c r="E586" i="1"/>
  <c r="F586" i="1" s="1"/>
  <c r="E587" i="1"/>
  <c r="F587" i="1" s="1"/>
  <c r="E588" i="1"/>
  <c r="F588" i="1" s="1"/>
  <c r="E589" i="1"/>
  <c r="F589" i="1" s="1"/>
  <c r="E590" i="1"/>
  <c r="F590" i="1" s="1"/>
  <c r="E591" i="1"/>
  <c r="F591" i="1" s="1"/>
  <c r="E592" i="1"/>
  <c r="F592" i="1" s="1"/>
  <c r="E593" i="1"/>
  <c r="F593" i="1" s="1"/>
  <c r="E594" i="1"/>
  <c r="F594" i="1" s="1"/>
  <c r="E595" i="1"/>
  <c r="F595" i="1" s="1"/>
  <c r="E596" i="1"/>
  <c r="F596" i="1" s="1"/>
  <c r="E597" i="1"/>
  <c r="F597" i="1" s="1"/>
  <c r="E598" i="1"/>
  <c r="F598" i="1" s="1"/>
  <c r="E599" i="1"/>
  <c r="F599" i="1" s="1"/>
  <c r="E600" i="1"/>
  <c r="F600" i="1" s="1"/>
  <c r="E601" i="1"/>
  <c r="F601" i="1" s="1"/>
  <c r="E602" i="1"/>
  <c r="F602" i="1" s="1"/>
  <c r="E603" i="1"/>
  <c r="F603" i="1" s="1"/>
  <c r="E604" i="1"/>
  <c r="F604" i="1" s="1"/>
  <c r="E605" i="1"/>
  <c r="F605" i="1" s="1"/>
  <c r="E606" i="1"/>
  <c r="F606" i="1" s="1"/>
  <c r="E607" i="1"/>
  <c r="F607" i="1" s="1"/>
  <c r="E608" i="1"/>
  <c r="F608" i="1" s="1"/>
  <c r="E609" i="1"/>
  <c r="F609" i="1" s="1"/>
  <c r="E610" i="1"/>
  <c r="F610" i="1" s="1"/>
  <c r="E611" i="1"/>
  <c r="F611" i="1" s="1"/>
  <c r="E612" i="1"/>
  <c r="F612" i="1" s="1"/>
  <c r="E613" i="1"/>
  <c r="F613" i="1" s="1"/>
  <c r="E614" i="1"/>
  <c r="F614" i="1" s="1"/>
  <c r="E615" i="1"/>
  <c r="F615" i="1" s="1"/>
  <c r="E616" i="1"/>
  <c r="F616" i="1" s="1"/>
  <c r="E617" i="1"/>
  <c r="F617" i="1" s="1"/>
  <c r="E618" i="1"/>
  <c r="F618" i="1" s="1"/>
  <c r="E619" i="1"/>
  <c r="F619" i="1" s="1"/>
  <c r="E620" i="1"/>
  <c r="F620" i="1" s="1"/>
  <c r="E621" i="1"/>
  <c r="F621" i="1" s="1"/>
  <c r="E622" i="1"/>
  <c r="F622" i="1" s="1"/>
  <c r="E623" i="1"/>
  <c r="F623" i="1" s="1"/>
  <c r="E624" i="1"/>
  <c r="F624" i="1" s="1"/>
  <c r="E625" i="1"/>
  <c r="F625" i="1" s="1"/>
  <c r="E626" i="1"/>
  <c r="F626" i="1" s="1"/>
  <c r="E627" i="1"/>
  <c r="F627" i="1" s="1"/>
  <c r="E628" i="1"/>
  <c r="F628" i="1" s="1"/>
  <c r="E629" i="1"/>
  <c r="F629" i="1" s="1"/>
  <c r="E630" i="1"/>
  <c r="F630" i="1" s="1"/>
  <c r="E631" i="1"/>
  <c r="F631" i="1" s="1"/>
  <c r="E632" i="1"/>
  <c r="F632" i="1" s="1"/>
  <c r="E633" i="1"/>
  <c r="F633" i="1" s="1"/>
  <c r="E634" i="1"/>
  <c r="F634" i="1" s="1"/>
  <c r="E635" i="1"/>
  <c r="F635" i="1" s="1"/>
  <c r="E636" i="1"/>
  <c r="F636" i="1" s="1"/>
  <c r="E637" i="1"/>
  <c r="F637" i="1" s="1"/>
  <c r="E638" i="1"/>
  <c r="F638" i="1" s="1"/>
  <c r="E639" i="1"/>
  <c r="F639" i="1" s="1"/>
  <c r="E640" i="1"/>
  <c r="F640" i="1" s="1"/>
  <c r="E641" i="1"/>
  <c r="F641" i="1" s="1"/>
  <c r="E642" i="1"/>
  <c r="F642" i="1" s="1"/>
  <c r="E643" i="1"/>
  <c r="F643" i="1" s="1"/>
  <c r="E644" i="1"/>
  <c r="F644" i="1" s="1"/>
  <c r="E645" i="1"/>
  <c r="F645" i="1" s="1"/>
  <c r="E646" i="1"/>
  <c r="F646" i="1" s="1"/>
  <c r="E647" i="1"/>
  <c r="F647" i="1" s="1"/>
  <c r="E648" i="1"/>
  <c r="F648" i="1" s="1"/>
  <c r="E649" i="1"/>
  <c r="F649" i="1" s="1"/>
  <c r="E650" i="1"/>
  <c r="F650" i="1" s="1"/>
  <c r="E651" i="1"/>
  <c r="F651" i="1" s="1"/>
  <c r="E652" i="1"/>
  <c r="F652" i="1" s="1"/>
  <c r="E653" i="1"/>
  <c r="F653" i="1" s="1"/>
  <c r="E654" i="1"/>
  <c r="F654" i="1" s="1"/>
  <c r="E655" i="1"/>
  <c r="F655" i="1" s="1"/>
  <c r="E656" i="1"/>
  <c r="F656" i="1" s="1"/>
  <c r="E657" i="1"/>
  <c r="F657" i="1" s="1"/>
  <c r="E658" i="1"/>
  <c r="F658" i="1" s="1"/>
  <c r="E659" i="1"/>
  <c r="F659" i="1" s="1"/>
  <c r="E660" i="1"/>
  <c r="F660" i="1" s="1"/>
  <c r="E661" i="1"/>
  <c r="F661" i="1" s="1"/>
  <c r="E662" i="1"/>
  <c r="F662" i="1" s="1"/>
  <c r="E663" i="1"/>
  <c r="F663" i="1" s="1"/>
  <c r="E664" i="1"/>
  <c r="F664" i="1" s="1"/>
  <c r="E665" i="1"/>
  <c r="F665" i="1" s="1"/>
  <c r="E666" i="1"/>
  <c r="F666" i="1" s="1"/>
  <c r="E667" i="1"/>
  <c r="F667" i="1" s="1"/>
  <c r="E668" i="1"/>
  <c r="F668" i="1" s="1"/>
  <c r="E669" i="1"/>
  <c r="F669" i="1" s="1"/>
  <c r="E670" i="1"/>
  <c r="F670" i="1" s="1"/>
  <c r="E671" i="1"/>
  <c r="F671" i="1" s="1"/>
  <c r="E672" i="1"/>
  <c r="F672" i="1" s="1"/>
  <c r="E673" i="1"/>
  <c r="F673" i="1" s="1"/>
  <c r="E674" i="1"/>
  <c r="F674" i="1" s="1"/>
  <c r="E675" i="1"/>
  <c r="F675" i="1" s="1"/>
  <c r="E676" i="1"/>
  <c r="F676" i="1" s="1"/>
  <c r="E677" i="1"/>
  <c r="F677" i="1" s="1"/>
  <c r="E678" i="1"/>
  <c r="F678" i="1" s="1"/>
  <c r="E679" i="1"/>
  <c r="F679" i="1" s="1"/>
  <c r="E680" i="1"/>
  <c r="F680" i="1" s="1"/>
  <c r="E681" i="1"/>
  <c r="F681" i="1" s="1"/>
  <c r="E682" i="1"/>
  <c r="F682" i="1" s="1"/>
  <c r="E683" i="1"/>
  <c r="F683" i="1" s="1"/>
  <c r="E684" i="1"/>
  <c r="F684" i="1" s="1"/>
  <c r="E685" i="1"/>
  <c r="F685" i="1" s="1"/>
  <c r="E686" i="1"/>
  <c r="F686" i="1" s="1"/>
  <c r="E687" i="1"/>
  <c r="F687" i="1" s="1"/>
  <c r="E688" i="1"/>
  <c r="F688" i="1" s="1"/>
  <c r="E689" i="1"/>
  <c r="F689" i="1" s="1"/>
  <c r="E690" i="1"/>
  <c r="F690" i="1" s="1"/>
  <c r="E691" i="1"/>
  <c r="F691" i="1" s="1"/>
  <c r="E692" i="1"/>
  <c r="F692" i="1" s="1"/>
  <c r="E693" i="1"/>
  <c r="F693" i="1" s="1"/>
  <c r="E694" i="1"/>
  <c r="F694" i="1" s="1"/>
  <c r="E695" i="1"/>
  <c r="F695" i="1" s="1"/>
  <c r="E696" i="1"/>
  <c r="F696" i="1" s="1"/>
  <c r="E697" i="1"/>
  <c r="F697" i="1" s="1"/>
  <c r="E698" i="1"/>
  <c r="F698" i="1" s="1"/>
  <c r="E699" i="1"/>
  <c r="F699" i="1" s="1"/>
  <c r="E700" i="1"/>
  <c r="F700" i="1" s="1"/>
  <c r="E701" i="1"/>
  <c r="F701" i="1" s="1"/>
  <c r="E702" i="1"/>
  <c r="F702" i="1" s="1"/>
  <c r="E703" i="1"/>
  <c r="F703" i="1" s="1"/>
  <c r="E704" i="1"/>
  <c r="F704" i="1" s="1"/>
  <c r="E705" i="1"/>
  <c r="F705" i="1" s="1"/>
  <c r="E706" i="1"/>
  <c r="F706" i="1" s="1"/>
  <c r="E707" i="1"/>
  <c r="F707" i="1" s="1"/>
  <c r="E708" i="1"/>
  <c r="F708" i="1" s="1"/>
  <c r="E709" i="1"/>
  <c r="F709" i="1" s="1"/>
  <c r="E710" i="1"/>
  <c r="F710" i="1" s="1"/>
  <c r="E711" i="1"/>
  <c r="F711" i="1" s="1"/>
  <c r="E712" i="1"/>
  <c r="F712" i="1" s="1"/>
  <c r="E713" i="1"/>
  <c r="F713" i="1" s="1"/>
  <c r="E714" i="1"/>
  <c r="F714" i="1" s="1"/>
  <c r="E715" i="1"/>
  <c r="F715" i="1" s="1"/>
  <c r="E716" i="1"/>
  <c r="F716" i="1" s="1"/>
  <c r="E717" i="1"/>
  <c r="F717" i="1" s="1"/>
  <c r="E718" i="1"/>
  <c r="F718" i="1" s="1"/>
  <c r="E719" i="1"/>
  <c r="F719" i="1" s="1"/>
  <c r="E720" i="1"/>
  <c r="F720" i="1" s="1"/>
  <c r="E721" i="1"/>
  <c r="F721" i="1" s="1"/>
  <c r="E722" i="1"/>
  <c r="F722" i="1" s="1"/>
  <c r="E723" i="1"/>
  <c r="F723" i="1" s="1"/>
  <c r="E724" i="1"/>
  <c r="F724" i="1" s="1"/>
  <c r="E725" i="1"/>
  <c r="F725" i="1" s="1"/>
  <c r="E726" i="1"/>
  <c r="F726" i="1" s="1"/>
  <c r="E727" i="1"/>
  <c r="F727" i="1" s="1"/>
  <c r="E728" i="1"/>
  <c r="F728" i="1" s="1"/>
  <c r="E729" i="1"/>
  <c r="F729" i="1" s="1"/>
  <c r="E730" i="1"/>
  <c r="F730" i="1" s="1"/>
  <c r="E731" i="1"/>
  <c r="F731" i="1" s="1"/>
  <c r="E732" i="1"/>
  <c r="F732" i="1" s="1"/>
  <c r="E733" i="1"/>
  <c r="F733" i="1" s="1"/>
  <c r="E734" i="1"/>
  <c r="F734" i="1" s="1"/>
  <c r="E735" i="1"/>
  <c r="F735" i="1" s="1"/>
  <c r="E736" i="1"/>
  <c r="F736" i="1" s="1"/>
  <c r="E737" i="1"/>
  <c r="F737" i="1" s="1"/>
  <c r="E738" i="1"/>
  <c r="F738" i="1" s="1"/>
  <c r="E739" i="1"/>
  <c r="F739" i="1" s="1"/>
  <c r="E740" i="1"/>
  <c r="F740" i="1" s="1"/>
  <c r="E741" i="1"/>
  <c r="F741" i="1" s="1"/>
  <c r="E742" i="1"/>
  <c r="F742" i="1" s="1"/>
  <c r="E743" i="1"/>
  <c r="F743" i="1" s="1"/>
  <c r="E744" i="1"/>
  <c r="F744" i="1" s="1"/>
  <c r="E745" i="1"/>
  <c r="F745" i="1" s="1"/>
  <c r="E746" i="1"/>
  <c r="F746" i="1" s="1"/>
  <c r="E747" i="1"/>
  <c r="F747" i="1" s="1"/>
  <c r="E748" i="1"/>
  <c r="F748" i="1" s="1"/>
  <c r="E749" i="1"/>
  <c r="F749" i="1" s="1"/>
  <c r="E750" i="1"/>
  <c r="F750" i="1" s="1"/>
  <c r="E751" i="1"/>
  <c r="F751" i="1" s="1"/>
  <c r="E752" i="1"/>
  <c r="F752" i="1" s="1"/>
  <c r="E753" i="1"/>
  <c r="F753" i="1" s="1"/>
  <c r="E754" i="1"/>
  <c r="F754" i="1" s="1"/>
  <c r="E755" i="1"/>
  <c r="F755" i="1" s="1"/>
  <c r="E756" i="1"/>
  <c r="F756" i="1" s="1"/>
  <c r="E757" i="1"/>
  <c r="F757" i="1" s="1"/>
  <c r="E758" i="1"/>
  <c r="F758" i="1" s="1"/>
  <c r="E759" i="1"/>
  <c r="F759" i="1" s="1"/>
  <c r="E760" i="1"/>
  <c r="F760" i="1" s="1"/>
  <c r="E761" i="1"/>
  <c r="F761" i="1" s="1"/>
  <c r="E762" i="1"/>
  <c r="F762" i="1" s="1"/>
  <c r="E763" i="1"/>
  <c r="F763" i="1" s="1"/>
  <c r="E764" i="1"/>
  <c r="F764" i="1" s="1"/>
  <c r="E765" i="1"/>
  <c r="F765" i="1" s="1"/>
  <c r="E766" i="1"/>
  <c r="F766" i="1" s="1"/>
  <c r="E767" i="1"/>
  <c r="F767" i="1" s="1"/>
  <c r="E768" i="1"/>
  <c r="F768" i="1" s="1"/>
  <c r="E769" i="1"/>
  <c r="F769" i="1" s="1"/>
  <c r="E770" i="1"/>
  <c r="F770" i="1" s="1"/>
  <c r="E771" i="1"/>
  <c r="F771" i="1" s="1"/>
  <c r="E772" i="1"/>
  <c r="F772" i="1" s="1"/>
  <c r="E773" i="1"/>
  <c r="F773" i="1" s="1"/>
  <c r="E774" i="1"/>
  <c r="F774" i="1" s="1"/>
  <c r="E775" i="1"/>
  <c r="F775" i="1" s="1"/>
  <c r="E776" i="1"/>
  <c r="F776" i="1" s="1"/>
  <c r="E777" i="1"/>
  <c r="F777" i="1" s="1"/>
  <c r="E778" i="1"/>
  <c r="F778" i="1" s="1"/>
  <c r="E779" i="1"/>
  <c r="F779" i="1" s="1"/>
  <c r="E780" i="1"/>
  <c r="F780" i="1" s="1"/>
  <c r="E781" i="1"/>
  <c r="F781" i="1" s="1"/>
  <c r="E782" i="1"/>
  <c r="F782" i="1" s="1"/>
  <c r="E783" i="1"/>
  <c r="F783" i="1" s="1"/>
  <c r="E784" i="1"/>
  <c r="F784" i="1" s="1"/>
  <c r="E785" i="1"/>
  <c r="F785" i="1" s="1"/>
  <c r="E786" i="1"/>
  <c r="F786" i="1" s="1"/>
  <c r="E787" i="1"/>
  <c r="F787" i="1" s="1"/>
  <c r="E788" i="1"/>
  <c r="F788" i="1" s="1"/>
  <c r="E789" i="1"/>
  <c r="F789" i="1" s="1"/>
  <c r="E790" i="1"/>
  <c r="F790" i="1" s="1"/>
  <c r="E791" i="1"/>
  <c r="F791" i="1" s="1"/>
  <c r="E792" i="1"/>
  <c r="F792" i="1" s="1"/>
  <c r="E793" i="1"/>
  <c r="F793" i="1" s="1"/>
  <c r="E794" i="1"/>
  <c r="F794" i="1" s="1"/>
  <c r="E795" i="1"/>
  <c r="F795" i="1" s="1"/>
  <c r="E796" i="1"/>
  <c r="F796" i="1" s="1"/>
  <c r="E797" i="1"/>
  <c r="F797" i="1" s="1"/>
  <c r="E798" i="1"/>
  <c r="F798" i="1" s="1"/>
  <c r="E799" i="1"/>
  <c r="F799" i="1" s="1"/>
  <c r="E800" i="1"/>
  <c r="F800" i="1" s="1"/>
  <c r="E801" i="1"/>
  <c r="F801" i="1" s="1"/>
  <c r="E802" i="1"/>
  <c r="F802" i="1" s="1"/>
  <c r="E803" i="1"/>
  <c r="F803" i="1" s="1"/>
  <c r="E804" i="1"/>
  <c r="F804" i="1" s="1"/>
  <c r="E805" i="1"/>
  <c r="F805" i="1" s="1"/>
  <c r="E806" i="1"/>
  <c r="F806" i="1" s="1"/>
  <c r="E807" i="1"/>
  <c r="F807" i="1" s="1"/>
  <c r="E808" i="1"/>
  <c r="F808" i="1" s="1"/>
  <c r="E809" i="1"/>
  <c r="F809" i="1" s="1"/>
  <c r="E810" i="1"/>
  <c r="F810" i="1" s="1"/>
  <c r="E811" i="1"/>
  <c r="F811" i="1" s="1"/>
  <c r="E812" i="1"/>
  <c r="F812" i="1" s="1"/>
  <c r="E813" i="1"/>
  <c r="F813" i="1" s="1"/>
  <c r="E814" i="1"/>
  <c r="F814" i="1" s="1"/>
  <c r="E815" i="1"/>
  <c r="F815" i="1" s="1"/>
  <c r="E816" i="1"/>
  <c r="F816" i="1" s="1"/>
  <c r="E817" i="1"/>
  <c r="F817" i="1" s="1"/>
  <c r="E818" i="1"/>
  <c r="F818" i="1" s="1"/>
  <c r="E819" i="1"/>
  <c r="F819" i="1" s="1"/>
  <c r="E820" i="1"/>
  <c r="F820" i="1" s="1"/>
  <c r="E821" i="1"/>
  <c r="F821" i="1" s="1"/>
  <c r="E822" i="1"/>
  <c r="F822" i="1" s="1"/>
  <c r="E823" i="1"/>
  <c r="F823" i="1" s="1"/>
  <c r="E824" i="1"/>
  <c r="F824" i="1" s="1"/>
  <c r="E825" i="1"/>
  <c r="F825" i="1" s="1"/>
  <c r="E826" i="1"/>
  <c r="F826" i="1" s="1"/>
  <c r="E827" i="1"/>
  <c r="F827" i="1" s="1"/>
  <c r="E828" i="1"/>
  <c r="F828" i="1" s="1"/>
  <c r="E829" i="1"/>
  <c r="F829" i="1" s="1"/>
  <c r="E830" i="1"/>
  <c r="F830" i="1" s="1"/>
  <c r="E831" i="1"/>
  <c r="F831" i="1" s="1"/>
  <c r="E832" i="1"/>
  <c r="F832" i="1" s="1"/>
  <c r="E833" i="1"/>
  <c r="F833" i="1" s="1"/>
  <c r="E834" i="1"/>
  <c r="F834" i="1" s="1"/>
  <c r="E835" i="1"/>
  <c r="F835" i="1" s="1"/>
  <c r="E836" i="1"/>
  <c r="F836" i="1" s="1"/>
  <c r="E837" i="1"/>
  <c r="F837" i="1" s="1"/>
  <c r="E838" i="1"/>
  <c r="F838" i="1" s="1"/>
  <c r="E839" i="1"/>
  <c r="F839" i="1" s="1"/>
  <c r="E840" i="1"/>
  <c r="F840" i="1" s="1"/>
  <c r="E841" i="1"/>
  <c r="F841" i="1" s="1"/>
  <c r="E842" i="1"/>
  <c r="F842" i="1" s="1"/>
  <c r="E843" i="1"/>
  <c r="F843" i="1" s="1"/>
  <c r="E844" i="1"/>
  <c r="F844" i="1" s="1"/>
  <c r="E845" i="1"/>
  <c r="F845" i="1" s="1"/>
  <c r="E846" i="1"/>
  <c r="F846" i="1" s="1"/>
  <c r="E847" i="1"/>
  <c r="F847" i="1" s="1"/>
  <c r="E848" i="1"/>
  <c r="F848" i="1" s="1"/>
  <c r="E849" i="1"/>
  <c r="F849" i="1" s="1"/>
  <c r="E850" i="1"/>
  <c r="F850" i="1" s="1"/>
  <c r="E851" i="1"/>
  <c r="F851" i="1" s="1"/>
  <c r="E852" i="1"/>
  <c r="F852" i="1" s="1"/>
  <c r="E853" i="1"/>
  <c r="F853" i="1" s="1"/>
  <c r="E854" i="1"/>
  <c r="F854" i="1" s="1"/>
  <c r="E855" i="1"/>
  <c r="F855" i="1" s="1"/>
  <c r="E856" i="1"/>
  <c r="F856" i="1" s="1"/>
  <c r="E857" i="1"/>
  <c r="F857" i="1" s="1"/>
  <c r="E858" i="1"/>
  <c r="F858" i="1" s="1"/>
  <c r="E859" i="1"/>
  <c r="F859" i="1" s="1"/>
  <c r="E860" i="1"/>
  <c r="F860" i="1" s="1"/>
  <c r="E861" i="1"/>
  <c r="F861" i="1" s="1"/>
  <c r="E862" i="1"/>
  <c r="F862" i="1" s="1"/>
  <c r="E863" i="1"/>
  <c r="F863" i="1" s="1"/>
  <c r="E864" i="1"/>
  <c r="F864" i="1" s="1"/>
  <c r="E865" i="1"/>
  <c r="F865" i="1" s="1"/>
  <c r="E866" i="1"/>
  <c r="F866" i="1" s="1"/>
  <c r="E867" i="1"/>
  <c r="F867" i="1" s="1"/>
  <c r="E868" i="1"/>
  <c r="F868" i="1" s="1"/>
  <c r="E869" i="1"/>
  <c r="F869" i="1" s="1"/>
  <c r="E870" i="1"/>
  <c r="F870" i="1" s="1"/>
  <c r="E871" i="1"/>
  <c r="F871" i="1" s="1"/>
  <c r="E872" i="1"/>
  <c r="F872" i="1" s="1"/>
  <c r="E873" i="1"/>
  <c r="F873" i="1" s="1"/>
  <c r="E874" i="1"/>
  <c r="F874" i="1" s="1"/>
  <c r="E875" i="1"/>
  <c r="F875" i="1" s="1"/>
  <c r="E876" i="1"/>
  <c r="F876" i="1" s="1"/>
  <c r="E877" i="1"/>
  <c r="F877" i="1" s="1"/>
  <c r="E878" i="1"/>
  <c r="F878" i="1" s="1"/>
  <c r="E879" i="1"/>
  <c r="F879" i="1" s="1"/>
  <c r="E880" i="1"/>
  <c r="F880" i="1" s="1"/>
  <c r="E881" i="1"/>
  <c r="F881" i="1" s="1"/>
  <c r="E882" i="1"/>
  <c r="F882" i="1" s="1"/>
  <c r="E883" i="1"/>
  <c r="F883" i="1" s="1"/>
  <c r="E884" i="1"/>
  <c r="F884" i="1" s="1"/>
  <c r="E885" i="1"/>
  <c r="F885" i="1" s="1"/>
  <c r="E886" i="1"/>
  <c r="F886" i="1" s="1"/>
  <c r="E887" i="1"/>
  <c r="F887" i="1" s="1"/>
  <c r="E888" i="1"/>
  <c r="F888" i="1" s="1"/>
  <c r="E889" i="1"/>
  <c r="F889" i="1" s="1"/>
  <c r="E890" i="1"/>
  <c r="F890" i="1" s="1"/>
  <c r="E891" i="1"/>
  <c r="F891" i="1" s="1"/>
  <c r="E892" i="1"/>
  <c r="F892" i="1" s="1"/>
  <c r="E893" i="1"/>
  <c r="F893" i="1" s="1"/>
  <c r="E894" i="1"/>
  <c r="F894" i="1" s="1"/>
  <c r="E895" i="1"/>
  <c r="F895" i="1" s="1"/>
  <c r="E896" i="1"/>
  <c r="F896" i="1" s="1"/>
  <c r="E897" i="1"/>
  <c r="F897" i="1" s="1"/>
  <c r="E898" i="1"/>
  <c r="F898" i="1" s="1"/>
  <c r="E899" i="1"/>
  <c r="F899" i="1" s="1"/>
  <c r="E900" i="1"/>
  <c r="F900" i="1" s="1"/>
  <c r="E901" i="1"/>
  <c r="F901" i="1" s="1"/>
  <c r="E902" i="1"/>
  <c r="F902" i="1" s="1"/>
  <c r="E903" i="1"/>
  <c r="F903" i="1" s="1"/>
  <c r="E904" i="1"/>
  <c r="F904" i="1" s="1"/>
  <c r="E905" i="1"/>
  <c r="F905" i="1" s="1"/>
  <c r="E906" i="1"/>
  <c r="F906" i="1" s="1"/>
  <c r="E907" i="1"/>
  <c r="F907" i="1" s="1"/>
  <c r="E908" i="1"/>
  <c r="F908" i="1" s="1"/>
  <c r="E909" i="1"/>
  <c r="F909" i="1" s="1"/>
  <c r="E910" i="1"/>
  <c r="F910" i="1" s="1"/>
  <c r="E911" i="1"/>
  <c r="F911" i="1" s="1"/>
  <c r="E912" i="1"/>
  <c r="F912" i="1" s="1"/>
  <c r="E913" i="1"/>
  <c r="F913" i="1" s="1"/>
  <c r="E914" i="1"/>
  <c r="F914" i="1" s="1"/>
  <c r="E915" i="1"/>
  <c r="F915" i="1" s="1"/>
  <c r="E916" i="1"/>
  <c r="F916" i="1" s="1"/>
  <c r="E917" i="1"/>
  <c r="F917" i="1" s="1"/>
  <c r="E918" i="1"/>
  <c r="F918" i="1" s="1"/>
  <c r="E919" i="1"/>
  <c r="F919" i="1" s="1"/>
  <c r="E920" i="1"/>
  <c r="F920" i="1" s="1"/>
  <c r="E921" i="1"/>
  <c r="F921" i="1" s="1"/>
  <c r="E922" i="1"/>
  <c r="F922" i="1" s="1"/>
  <c r="E923" i="1"/>
  <c r="F923" i="1" s="1"/>
  <c r="E924" i="1"/>
  <c r="F924" i="1" s="1"/>
  <c r="E925" i="1"/>
  <c r="F925" i="1" s="1"/>
  <c r="E926" i="1"/>
  <c r="F926" i="1" s="1"/>
  <c r="E927" i="1"/>
  <c r="F927" i="1" s="1"/>
  <c r="E928" i="1"/>
  <c r="F928" i="1" s="1"/>
  <c r="E929" i="1"/>
  <c r="F929" i="1" s="1"/>
  <c r="E930" i="1"/>
  <c r="F930" i="1" s="1"/>
  <c r="E931" i="1"/>
  <c r="F931" i="1" s="1"/>
  <c r="E932" i="1"/>
  <c r="F932" i="1" s="1"/>
  <c r="E933" i="1"/>
  <c r="F933" i="1" s="1"/>
  <c r="E934" i="1"/>
  <c r="F934" i="1" s="1"/>
  <c r="E935" i="1"/>
  <c r="F935" i="1" s="1"/>
  <c r="E936" i="1"/>
  <c r="F936" i="1" s="1"/>
  <c r="E937" i="1"/>
  <c r="F937" i="1" s="1"/>
  <c r="E938" i="1"/>
  <c r="F938" i="1" s="1"/>
  <c r="E939" i="1"/>
  <c r="F939" i="1" s="1"/>
  <c r="E940" i="1"/>
  <c r="F940" i="1" s="1"/>
  <c r="E941" i="1"/>
  <c r="F941" i="1" s="1"/>
  <c r="E942" i="1"/>
  <c r="F942" i="1" s="1"/>
  <c r="E943" i="1"/>
  <c r="F943" i="1" s="1"/>
  <c r="E944" i="1"/>
  <c r="F944" i="1" s="1"/>
  <c r="E945" i="1"/>
  <c r="F945" i="1" s="1"/>
  <c r="E946" i="1"/>
  <c r="F946" i="1" s="1"/>
  <c r="E947" i="1"/>
  <c r="F947" i="1" s="1"/>
  <c r="E948" i="1"/>
  <c r="F948" i="1" s="1"/>
  <c r="E949" i="1"/>
  <c r="F949" i="1" s="1"/>
  <c r="E950" i="1"/>
  <c r="F950" i="1" s="1"/>
  <c r="B48" i="2"/>
  <c r="C48" i="2"/>
  <c r="D48" i="2"/>
  <c r="E48" i="2"/>
  <c r="F48" i="2"/>
  <c r="G48" i="2"/>
  <c r="H48" i="2"/>
  <c r="I48" i="2"/>
  <c r="E1" i="2"/>
  <c r="F1" i="2" s="1"/>
  <c r="G1" i="2" s="1"/>
  <c r="H1" i="2" s="1"/>
  <c r="I1" i="2" s="1"/>
  <c r="E54" i="2"/>
  <c r="F54" i="2" s="1"/>
  <c r="G54" i="2" s="1"/>
  <c r="L3" i="1" l="1"/>
  <c r="L4" i="1"/>
  <c r="L17" i="1"/>
  <c r="P3" i="1"/>
  <c r="P4" i="1"/>
  <c r="O3" i="1"/>
  <c r="L19" i="1" s="1"/>
  <c r="L20" i="1" s="1"/>
  <c r="O4" i="1"/>
  <c r="H54" i="2"/>
  <c r="I54" i="2" s="1"/>
  <c r="L22" i="1" l="1"/>
  <c r="L23" i="1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DAF1120F-5D2F-2046-A703-E49AFA700835}" name="Analog - 9-9-2024 5-58-51.3 PM" type="6" refreshedVersion="8" background="1" saveData="1">
    <textPr codePage="65001" sourceFile="/Users/jacobvaught/Desktop/steadystatelab/Analog - 9-9-2024 5-58-51.3 PM.csv">
      <textFields count="10"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F545682E-4E3A-6944-B76D-243616DB2E20}" name="convectionlab data" type="6" refreshedVersion="8" background="1" saveData="1">
    <textPr sourceFile="/Users/jacobvaught/Desktop/convectionlab data.txt">
      <textFields count="2">
        <textField/>
        <textField/>
      </textFields>
    </textPr>
  </connection>
</connections>
</file>

<file path=xl/sharedStrings.xml><?xml version="1.0" encoding="utf-8"?>
<sst xmlns="http://schemas.openxmlformats.org/spreadsheetml/2006/main" count="79" uniqueCount="61">
  <si>
    <t>Distance</t>
  </si>
  <si>
    <t>NOTES</t>
  </si>
  <si>
    <t>V and I not recorded.</t>
  </si>
  <si>
    <t>Date/Time</t>
  </si>
  <si>
    <t>AI0 (°C)</t>
  </si>
  <si>
    <t>AI1 (°C)</t>
  </si>
  <si>
    <t>AI2 (°C)</t>
  </si>
  <si>
    <t>AI3 (°C)</t>
  </si>
  <si>
    <t>AI4 (°C)</t>
  </si>
  <si>
    <t>AI5 (°C)</t>
  </si>
  <si>
    <t>AI6 (°C)</t>
  </si>
  <si>
    <t>AI7 (°C)</t>
  </si>
  <si>
    <t>Distances between thermocouples not recorded.</t>
  </si>
  <si>
    <t>Manual provides distances for [T1, T2, T3], [T4, T5], [T6, T7, T8].</t>
  </si>
  <si>
    <t>Thermal conductivity of brass: 110–128 W/(m·K).</t>
  </si>
  <si>
    <t>Assumed linear temperature gradient from heat source.</t>
  </si>
  <si>
    <t>Calculated distances T3–T4 and T5–T6: ~45 mm.</t>
  </si>
  <si>
    <t>All thermocouple distances now provided.</t>
  </si>
  <si>
    <t>Calculated heater wattage (100% efficiency): 3.7–4.1 W.</t>
  </si>
  <si>
    <t>Temperature</t>
  </si>
  <si>
    <t>Effusivity (Ws 1/2 /m2 K)</t>
  </si>
  <si>
    <t>K (W/mK)</t>
  </si>
  <si>
    <t>1/m</t>
  </si>
  <si>
    <t>R2</t>
  </si>
  <si>
    <t>Start</t>
  </si>
  <si>
    <t>Vo (mV)</t>
  </si>
  <si>
    <t>Vmax (mV)</t>
  </si>
  <si>
    <t>DeltaV (mV)</t>
  </si>
  <si>
    <t>Ambient (°C)</t>
  </si>
  <si>
    <t>DeltaT (C)</t>
  </si>
  <si>
    <t>Collected Data</t>
  </si>
  <si>
    <t>Calculated (Forced)</t>
  </si>
  <si>
    <t>Calculated (None)</t>
  </si>
  <si>
    <t>Summary of data for report</t>
  </si>
  <si>
    <t>Time</t>
  </si>
  <si>
    <t>Forced Convection</t>
  </si>
  <si>
    <t>Convection</t>
  </si>
  <si>
    <t>T_infinite</t>
  </si>
  <si>
    <t>Theta_f</t>
  </si>
  <si>
    <t>ln(Theta_f)</t>
  </si>
  <si>
    <t>Theta_n</t>
  </si>
  <si>
    <t>ln(Theta_n)</t>
  </si>
  <si>
    <t>Name</t>
  </si>
  <si>
    <t>Slope</t>
  </si>
  <si>
    <t>Intercept</t>
  </si>
  <si>
    <t>E</t>
  </si>
  <si>
    <t>F</t>
  </si>
  <si>
    <t>T_i_f</t>
  </si>
  <si>
    <t>T_i_n</t>
  </si>
  <si>
    <t>Value</t>
  </si>
  <si>
    <t>ρ</t>
  </si>
  <si>
    <t>c</t>
  </si>
  <si>
    <t>k_s</t>
  </si>
  <si>
    <t>L_side</t>
  </si>
  <si>
    <t>A</t>
  </si>
  <si>
    <t>V</t>
  </si>
  <si>
    <t>C L</t>
  </si>
  <si>
    <t>h_f</t>
  </si>
  <si>
    <t>Bi_f</t>
  </si>
  <si>
    <t>h_n</t>
  </si>
  <si>
    <t>Bi_n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</si>
</sst>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0.0"/>
    <numFmt numFmtId="166" formatCode="0.0000000"/>
  </numFmts>
  <fonts count="6">
    <font>
      <sz val="12"/>
      <color theme="1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3"/>
      <color theme="1"/>
      <name val=".AppleSystemUIFont"/>
    </font>
    <font>
      <sz val="12"/>
      <color theme="1"/>
      <name val="Aptos Narrow"/>
      <family val="2"/>
      <scheme val="minor"/>
    </font>
    <font>
      <b/>
      <u/>
      <sz val="12"/>
      <color theme="1"/>
      <name val="Aptos Narrow"/>
      <family val="2"/>
      <scheme val="minor"/>
    </font>
    <font>
      <b/>
      <sz val="12"/>
      <color theme="3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theme="4" tint="0.39997558519241921"/>
      </bottom>
      <diagonal/>
    </border>
  </borders>
  <cellStyleXfs count="2">
    <xf numFmtId="0" fontId="0" fillId="0" borderId="0"/>
    <xf numFmtId="0" fontId="1" fillId="0" borderId="1" applyNumberFormat="0" applyFill="0" applyAlignment="0" applyProtection="0"/>
  </cellStyleXfs>
  <cellXfs count="28">
    <xf numFmtId="0" fontId="0" fillId="0" borderId="0" xfId="0"/>
    <xf numFmtId="0" fontId="1" fillId="0" borderId="1" xfId="1"/>
    <xf numFmtId="0" fontId="2" fillId="0" borderId="0" xfId="0" applyFont="1"/>
    <xf numFmtId="21" fontId="2" fillId="0" borderId="0" xfId="0" applyNumberFormat="1" applyFont="1"/>
    <xf numFmtId="2" fontId="2" fillId="0" borderId="0" xfId="0" applyNumberFormat="1" applyFont="1"/>
    <xf numFmtId="164" fontId="2" fillId="0" borderId="0" xfId="0" applyNumberFormat="1" applyFont="1"/>
    <xf numFmtId="165" fontId="2" fillId="0" borderId="0" xfId="0" applyNumberFormat="1" applyFont="1"/>
    <xf numFmtId="0" fontId="1" fillId="0" borderId="1" xfId="1" applyAlignment="1"/>
    <xf numFmtId="0" fontId="1" fillId="0" borderId="1" xfId="1" applyFill="1"/>
    <xf numFmtId="0" fontId="0" fillId="2" borderId="0" xfId="0" applyFill="1"/>
    <xf numFmtId="0" fontId="4" fillId="0" borderId="0" xfId="0" applyFont="1"/>
    <xf numFmtId="165" fontId="0" fillId="0" borderId="0" xfId="0" applyNumberFormat="1"/>
    <xf numFmtId="165" fontId="1" fillId="0" borderId="1" xfId="1" applyNumberFormat="1"/>
    <xf numFmtId="0" fontId="3" fillId="0" borderId="0" xfId="0" applyFont="1"/>
    <xf numFmtId="165" fontId="3" fillId="0" borderId="0" xfId="0" applyNumberFormat="1" applyFont="1"/>
    <xf numFmtId="166" fontId="3" fillId="0" borderId="0" xfId="0" applyNumberFormat="1" applyFont="1"/>
    <xf numFmtId="0" fontId="3" fillId="0" borderId="0" xfId="0" applyFont="1" applyAlignment="1">
      <alignment vertical="center" wrapText="1"/>
    </xf>
    <xf numFmtId="14" fontId="3" fillId="0" borderId="0" xfId="0" applyNumberFormat="1" applyFont="1"/>
    <xf numFmtId="21" fontId="3" fillId="0" borderId="0" xfId="0" applyNumberFormat="1" applyFont="1"/>
    <xf numFmtId="47" fontId="3" fillId="0" borderId="0" xfId="0" applyNumberFormat="1" applyFont="1"/>
    <xf numFmtId="165" fontId="5" fillId="0" borderId="1" xfId="1" applyNumberFormat="1" applyFont="1"/>
    <xf numFmtId="0" fontId="5" fillId="0" borderId="1" xfId="1" applyFont="1"/>
    <xf numFmtId="0" fontId="5" fillId="0" borderId="0" xfId="1" applyFont="1" applyFill="1" applyBorder="1"/>
    <xf numFmtId="2" fontId="3" fillId="0" borderId="0" xfId="0" applyNumberFormat="1" applyFont="1"/>
    <xf numFmtId="0" fontId="1" fillId="0" borderId="1" xfId="1" applyAlignment="1">
      <alignment horizontal="center" vertical="center" wrapText="1"/>
    </xf>
    <xf numFmtId="0" fontId="3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165" fontId="3" fillId="0" borderId="0" xfId="0" applyNumberFormat="1" applyFont="1" applyAlignment="1">
      <alignment horizontal="center"/>
    </xf>
  </cellXfs>
  <cellStyles count="2">
    <cellStyle name="Heading 3" xfId="1" builtinId="1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 1 Data'!$B$2</c:f>
              <c:strCache>
                <c:ptCount val="1"/>
                <c:pt idx="0">
                  <c:v>AI0 (°C)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'Part 1 Data'!$A$3:$A$47</c:f>
              <c:numCache>
                <c:formatCode>0.0</c:formatCode>
                <c:ptCount val="45"/>
                <c:pt idx="0">
                  <c:v>45544.749204861109</c:v>
                </c:pt>
                <c:pt idx="1">
                  <c:v>45544.749210648151</c:v>
                </c:pt>
                <c:pt idx="2">
                  <c:v>45544.749216435186</c:v>
                </c:pt>
                <c:pt idx="3">
                  <c:v>45544.749222222221</c:v>
                </c:pt>
                <c:pt idx="4">
                  <c:v>45544.749228009263</c:v>
                </c:pt>
                <c:pt idx="5">
                  <c:v>45544.749233796298</c:v>
                </c:pt>
                <c:pt idx="6">
                  <c:v>45544.749239583332</c:v>
                </c:pt>
                <c:pt idx="7">
                  <c:v>45544.749245370367</c:v>
                </c:pt>
                <c:pt idx="8">
                  <c:v>45544.749251157409</c:v>
                </c:pt>
                <c:pt idx="9">
                  <c:v>45544.749256944444</c:v>
                </c:pt>
                <c:pt idx="10">
                  <c:v>45544.749262731479</c:v>
                </c:pt>
                <c:pt idx="11">
                  <c:v>45544.749268518521</c:v>
                </c:pt>
                <c:pt idx="12">
                  <c:v>45544.749274305555</c:v>
                </c:pt>
                <c:pt idx="13">
                  <c:v>45544.74928009259</c:v>
                </c:pt>
                <c:pt idx="14">
                  <c:v>45544.749285879632</c:v>
                </c:pt>
                <c:pt idx="15">
                  <c:v>45544.749291666667</c:v>
                </c:pt>
                <c:pt idx="16">
                  <c:v>45544.749297453702</c:v>
                </c:pt>
                <c:pt idx="17">
                  <c:v>45544.749303240744</c:v>
                </c:pt>
                <c:pt idx="18">
                  <c:v>45544.749309027779</c:v>
                </c:pt>
                <c:pt idx="19">
                  <c:v>45544.749314814813</c:v>
                </c:pt>
                <c:pt idx="20">
                  <c:v>45544.749320601855</c:v>
                </c:pt>
                <c:pt idx="21">
                  <c:v>45544.74932638889</c:v>
                </c:pt>
                <c:pt idx="22">
                  <c:v>45544.749332175925</c:v>
                </c:pt>
                <c:pt idx="23">
                  <c:v>45544.74933796296</c:v>
                </c:pt>
                <c:pt idx="24">
                  <c:v>45544.749343750002</c:v>
                </c:pt>
                <c:pt idx="25">
                  <c:v>45544.749349537036</c:v>
                </c:pt>
                <c:pt idx="26">
                  <c:v>45544.749355324071</c:v>
                </c:pt>
                <c:pt idx="27">
                  <c:v>45544.749361111113</c:v>
                </c:pt>
                <c:pt idx="28">
                  <c:v>45544.749366898148</c:v>
                </c:pt>
                <c:pt idx="29">
                  <c:v>45544.749372685183</c:v>
                </c:pt>
                <c:pt idx="30">
                  <c:v>45544.749378472225</c:v>
                </c:pt>
                <c:pt idx="31">
                  <c:v>45544.749384259259</c:v>
                </c:pt>
                <c:pt idx="32">
                  <c:v>45544.749390046294</c:v>
                </c:pt>
                <c:pt idx="33">
                  <c:v>45544.749395833336</c:v>
                </c:pt>
                <c:pt idx="34">
                  <c:v>45544.749401620371</c:v>
                </c:pt>
                <c:pt idx="35">
                  <c:v>45544.749407407406</c:v>
                </c:pt>
                <c:pt idx="36">
                  <c:v>45544.749413194448</c:v>
                </c:pt>
                <c:pt idx="37">
                  <c:v>45544.749418981482</c:v>
                </c:pt>
                <c:pt idx="38">
                  <c:v>45544.749424768517</c:v>
                </c:pt>
                <c:pt idx="39">
                  <c:v>45544.749430555552</c:v>
                </c:pt>
                <c:pt idx="40">
                  <c:v>45544.749436342594</c:v>
                </c:pt>
                <c:pt idx="41">
                  <c:v>45544.749442129629</c:v>
                </c:pt>
                <c:pt idx="42">
                  <c:v>45544.749447916663</c:v>
                </c:pt>
                <c:pt idx="43">
                  <c:v>45544.749453703706</c:v>
                </c:pt>
                <c:pt idx="44">
                  <c:v>45544.74945949074</c:v>
                </c:pt>
              </c:numCache>
            </c:numRef>
          </c:cat>
          <c:val>
            <c:numRef>
              <c:f>'Part 1 Data'!$B$3:$B$47</c:f>
              <c:numCache>
                <c:formatCode>0.0</c:formatCode>
                <c:ptCount val="45"/>
                <c:pt idx="0">
                  <c:v>39.156999999999996</c:v>
                </c:pt>
                <c:pt idx="1">
                  <c:v>39.165999999999997</c:v>
                </c:pt>
                <c:pt idx="2">
                  <c:v>39.167000000000002</c:v>
                </c:pt>
                <c:pt idx="3">
                  <c:v>39.176000000000002</c:v>
                </c:pt>
                <c:pt idx="4">
                  <c:v>39.173999999999999</c:v>
                </c:pt>
                <c:pt idx="5">
                  <c:v>39.173999999999999</c:v>
                </c:pt>
                <c:pt idx="6">
                  <c:v>39.179000000000002</c:v>
                </c:pt>
                <c:pt idx="7">
                  <c:v>39.177999999999997</c:v>
                </c:pt>
                <c:pt idx="8">
                  <c:v>39.17</c:v>
                </c:pt>
                <c:pt idx="9">
                  <c:v>39.167999999999999</c:v>
                </c:pt>
                <c:pt idx="10">
                  <c:v>39.167999999999999</c:v>
                </c:pt>
                <c:pt idx="11">
                  <c:v>39.17</c:v>
                </c:pt>
                <c:pt idx="12">
                  <c:v>39.173999999999999</c:v>
                </c:pt>
                <c:pt idx="13">
                  <c:v>39.183999999999997</c:v>
                </c:pt>
                <c:pt idx="14">
                  <c:v>39.167000000000002</c:v>
                </c:pt>
                <c:pt idx="15">
                  <c:v>39.167000000000002</c:v>
                </c:pt>
                <c:pt idx="16">
                  <c:v>39.171999999999997</c:v>
                </c:pt>
                <c:pt idx="17">
                  <c:v>39.176000000000002</c:v>
                </c:pt>
                <c:pt idx="18">
                  <c:v>39.173999999999999</c:v>
                </c:pt>
                <c:pt idx="19">
                  <c:v>39.158999999999999</c:v>
                </c:pt>
                <c:pt idx="20">
                  <c:v>39.158999999999999</c:v>
                </c:pt>
                <c:pt idx="21">
                  <c:v>39.176000000000002</c:v>
                </c:pt>
                <c:pt idx="22">
                  <c:v>39.168999999999997</c:v>
                </c:pt>
                <c:pt idx="23">
                  <c:v>39.18</c:v>
                </c:pt>
                <c:pt idx="24">
                  <c:v>39.18</c:v>
                </c:pt>
                <c:pt idx="25">
                  <c:v>39.179000000000002</c:v>
                </c:pt>
                <c:pt idx="26">
                  <c:v>39.188000000000002</c:v>
                </c:pt>
                <c:pt idx="27">
                  <c:v>39.180999999999997</c:v>
                </c:pt>
                <c:pt idx="28">
                  <c:v>39.18</c:v>
                </c:pt>
                <c:pt idx="29">
                  <c:v>39.18</c:v>
                </c:pt>
                <c:pt idx="30">
                  <c:v>39.176000000000002</c:v>
                </c:pt>
                <c:pt idx="31">
                  <c:v>39.168999999999997</c:v>
                </c:pt>
                <c:pt idx="32">
                  <c:v>39.186</c:v>
                </c:pt>
                <c:pt idx="33">
                  <c:v>39.18</c:v>
                </c:pt>
                <c:pt idx="34">
                  <c:v>39.18</c:v>
                </c:pt>
                <c:pt idx="35">
                  <c:v>39.185000000000002</c:v>
                </c:pt>
                <c:pt idx="36">
                  <c:v>39.174999999999997</c:v>
                </c:pt>
                <c:pt idx="37">
                  <c:v>39.189</c:v>
                </c:pt>
                <c:pt idx="38">
                  <c:v>39.177999999999997</c:v>
                </c:pt>
                <c:pt idx="39">
                  <c:v>39.177999999999997</c:v>
                </c:pt>
                <c:pt idx="40">
                  <c:v>39.167000000000002</c:v>
                </c:pt>
                <c:pt idx="41">
                  <c:v>39.17</c:v>
                </c:pt>
                <c:pt idx="42">
                  <c:v>39.191000000000003</c:v>
                </c:pt>
                <c:pt idx="43">
                  <c:v>39.188000000000002</c:v>
                </c:pt>
                <c:pt idx="44">
                  <c:v>39.188000000000002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132B-6142-8795-8847211FB7FD}"/>
            </c:ext>
          </c:extLst>
        </c:ser>
        <c:ser>
          <c:idx val="1"/>
          <c:order val="1"/>
          <c:tx>
            <c:strRef>
              <c:f>'Part 1 Data'!$C$2</c:f>
              <c:strCache>
                <c:ptCount val="1"/>
                <c:pt idx="0">
                  <c:v>AI1 (°C)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'Part 1 Data'!$A$3:$A$47</c:f>
              <c:numCache>
                <c:formatCode>0.0</c:formatCode>
                <c:ptCount val="45"/>
                <c:pt idx="0">
                  <c:v>45544.749204861109</c:v>
                </c:pt>
                <c:pt idx="1">
                  <c:v>45544.749210648151</c:v>
                </c:pt>
                <c:pt idx="2">
                  <c:v>45544.749216435186</c:v>
                </c:pt>
                <c:pt idx="3">
                  <c:v>45544.749222222221</c:v>
                </c:pt>
                <c:pt idx="4">
                  <c:v>45544.749228009263</c:v>
                </c:pt>
                <c:pt idx="5">
                  <c:v>45544.749233796298</c:v>
                </c:pt>
                <c:pt idx="6">
                  <c:v>45544.749239583332</c:v>
                </c:pt>
                <c:pt idx="7">
                  <c:v>45544.749245370367</c:v>
                </c:pt>
                <c:pt idx="8">
                  <c:v>45544.749251157409</c:v>
                </c:pt>
                <c:pt idx="9">
                  <c:v>45544.749256944444</c:v>
                </c:pt>
                <c:pt idx="10">
                  <c:v>45544.749262731479</c:v>
                </c:pt>
                <c:pt idx="11">
                  <c:v>45544.749268518521</c:v>
                </c:pt>
                <c:pt idx="12">
                  <c:v>45544.749274305555</c:v>
                </c:pt>
                <c:pt idx="13">
                  <c:v>45544.74928009259</c:v>
                </c:pt>
                <c:pt idx="14">
                  <c:v>45544.749285879632</c:v>
                </c:pt>
                <c:pt idx="15">
                  <c:v>45544.749291666667</c:v>
                </c:pt>
                <c:pt idx="16">
                  <c:v>45544.749297453702</c:v>
                </c:pt>
                <c:pt idx="17">
                  <c:v>45544.749303240744</c:v>
                </c:pt>
                <c:pt idx="18">
                  <c:v>45544.749309027779</c:v>
                </c:pt>
                <c:pt idx="19">
                  <c:v>45544.749314814813</c:v>
                </c:pt>
                <c:pt idx="20">
                  <c:v>45544.749320601855</c:v>
                </c:pt>
                <c:pt idx="21">
                  <c:v>45544.74932638889</c:v>
                </c:pt>
                <c:pt idx="22">
                  <c:v>45544.749332175925</c:v>
                </c:pt>
                <c:pt idx="23">
                  <c:v>45544.74933796296</c:v>
                </c:pt>
                <c:pt idx="24">
                  <c:v>45544.749343750002</c:v>
                </c:pt>
                <c:pt idx="25">
                  <c:v>45544.749349537036</c:v>
                </c:pt>
                <c:pt idx="26">
                  <c:v>45544.749355324071</c:v>
                </c:pt>
                <c:pt idx="27">
                  <c:v>45544.749361111113</c:v>
                </c:pt>
                <c:pt idx="28">
                  <c:v>45544.749366898148</c:v>
                </c:pt>
                <c:pt idx="29">
                  <c:v>45544.749372685183</c:v>
                </c:pt>
                <c:pt idx="30">
                  <c:v>45544.749378472225</c:v>
                </c:pt>
                <c:pt idx="31">
                  <c:v>45544.749384259259</c:v>
                </c:pt>
                <c:pt idx="32">
                  <c:v>45544.749390046294</c:v>
                </c:pt>
                <c:pt idx="33">
                  <c:v>45544.749395833336</c:v>
                </c:pt>
                <c:pt idx="34">
                  <c:v>45544.749401620371</c:v>
                </c:pt>
                <c:pt idx="35">
                  <c:v>45544.749407407406</c:v>
                </c:pt>
                <c:pt idx="36">
                  <c:v>45544.749413194448</c:v>
                </c:pt>
                <c:pt idx="37">
                  <c:v>45544.749418981482</c:v>
                </c:pt>
                <c:pt idx="38">
                  <c:v>45544.749424768517</c:v>
                </c:pt>
                <c:pt idx="39">
                  <c:v>45544.749430555552</c:v>
                </c:pt>
                <c:pt idx="40">
                  <c:v>45544.749436342594</c:v>
                </c:pt>
                <c:pt idx="41">
                  <c:v>45544.749442129629</c:v>
                </c:pt>
                <c:pt idx="42">
                  <c:v>45544.749447916663</c:v>
                </c:pt>
                <c:pt idx="43">
                  <c:v>45544.749453703706</c:v>
                </c:pt>
                <c:pt idx="44">
                  <c:v>45544.74945949074</c:v>
                </c:pt>
              </c:numCache>
            </c:numRef>
          </c:cat>
          <c:val>
            <c:numRef>
              <c:f>'Part 1 Data'!$C$3:$C$47</c:f>
              <c:numCache>
                <c:formatCode>0.0</c:formatCode>
                <c:ptCount val="45"/>
                <c:pt idx="0">
                  <c:v>38.162999999999997</c:v>
                </c:pt>
                <c:pt idx="1">
                  <c:v>38.164999999999999</c:v>
                </c:pt>
                <c:pt idx="2">
                  <c:v>38.164999999999999</c:v>
                </c:pt>
                <c:pt idx="3">
                  <c:v>38.164999999999999</c:v>
                </c:pt>
                <c:pt idx="4">
                  <c:v>38.185000000000002</c:v>
                </c:pt>
                <c:pt idx="5">
                  <c:v>38.177</c:v>
                </c:pt>
                <c:pt idx="6">
                  <c:v>38.174999999999997</c:v>
                </c:pt>
                <c:pt idx="7">
                  <c:v>38.174999999999997</c:v>
                </c:pt>
                <c:pt idx="8">
                  <c:v>38.180999999999997</c:v>
                </c:pt>
                <c:pt idx="9">
                  <c:v>38.180999999999997</c:v>
                </c:pt>
                <c:pt idx="10">
                  <c:v>38.185000000000002</c:v>
                </c:pt>
                <c:pt idx="11">
                  <c:v>38.18</c:v>
                </c:pt>
                <c:pt idx="12">
                  <c:v>38.18</c:v>
                </c:pt>
                <c:pt idx="13">
                  <c:v>38.188000000000002</c:v>
                </c:pt>
                <c:pt idx="14">
                  <c:v>38.174999999999997</c:v>
                </c:pt>
                <c:pt idx="15">
                  <c:v>38.174999999999997</c:v>
                </c:pt>
                <c:pt idx="16">
                  <c:v>38.185000000000002</c:v>
                </c:pt>
                <c:pt idx="17">
                  <c:v>38.185000000000002</c:v>
                </c:pt>
                <c:pt idx="18">
                  <c:v>38.174999999999997</c:v>
                </c:pt>
                <c:pt idx="19">
                  <c:v>38.180999999999997</c:v>
                </c:pt>
                <c:pt idx="20">
                  <c:v>38.195999999999998</c:v>
                </c:pt>
                <c:pt idx="21">
                  <c:v>38.183999999999997</c:v>
                </c:pt>
                <c:pt idx="22">
                  <c:v>38.183999999999997</c:v>
                </c:pt>
                <c:pt idx="23">
                  <c:v>38.177999999999997</c:v>
                </c:pt>
                <c:pt idx="24">
                  <c:v>38.177</c:v>
                </c:pt>
                <c:pt idx="25">
                  <c:v>38.162999999999997</c:v>
                </c:pt>
                <c:pt idx="26">
                  <c:v>38.185000000000002</c:v>
                </c:pt>
                <c:pt idx="27">
                  <c:v>38.185000000000002</c:v>
                </c:pt>
                <c:pt idx="28">
                  <c:v>38.177999999999997</c:v>
                </c:pt>
                <c:pt idx="29">
                  <c:v>38.19</c:v>
                </c:pt>
                <c:pt idx="30">
                  <c:v>38.183</c:v>
                </c:pt>
                <c:pt idx="31">
                  <c:v>38.188000000000002</c:v>
                </c:pt>
                <c:pt idx="32">
                  <c:v>38.188000000000002</c:v>
                </c:pt>
                <c:pt idx="33">
                  <c:v>38.194000000000003</c:v>
                </c:pt>
                <c:pt idx="34">
                  <c:v>38.182000000000002</c:v>
                </c:pt>
                <c:pt idx="35">
                  <c:v>38.180999999999997</c:v>
                </c:pt>
                <c:pt idx="36">
                  <c:v>38.17</c:v>
                </c:pt>
                <c:pt idx="37">
                  <c:v>38.17</c:v>
                </c:pt>
                <c:pt idx="38">
                  <c:v>38.179000000000002</c:v>
                </c:pt>
                <c:pt idx="39">
                  <c:v>38.18</c:v>
                </c:pt>
                <c:pt idx="40">
                  <c:v>38.186999999999998</c:v>
                </c:pt>
                <c:pt idx="41">
                  <c:v>38.173000000000002</c:v>
                </c:pt>
                <c:pt idx="42">
                  <c:v>38.173000000000002</c:v>
                </c:pt>
                <c:pt idx="43">
                  <c:v>38.180999999999997</c:v>
                </c:pt>
                <c:pt idx="44">
                  <c:v>38.192999999999998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32B-6142-8795-8847211FB7FD}"/>
            </c:ext>
          </c:extLst>
        </c:ser>
        <c:ser>
          <c:idx val="2"/>
          <c:order val="2"/>
          <c:tx>
            <c:strRef>
              <c:f>'Part 1 Data'!$D$2</c:f>
              <c:strCache>
                <c:ptCount val="1"/>
                <c:pt idx="0">
                  <c:v>AI2 (°C)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'Part 1 Data'!$A$3:$A$47</c:f>
              <c:numCache>
                <c:formatCode>0.0</c:formatCode>
                <c:ptCount val="45"/>
                <c:pt idx="0">
                  <c:v>45544.749204861109</c:v>
                </c:pt>
                <c:pt idx="1">
                  <c:v>45544.749210648151</c:v>
                </c:pt>
                <c:pt idx="2">
                  <c:v>45544.749216435186</c:v>
                </c:pt>
                <c:pt idx="3">
                  <c:v>45544.749222222221</c:v>
                </c:pt>
                <c:pt idx="4">
                  <c:v>45544.749228009263</c:v>
                </c:pt>
                <c:pt idx="5">
                  <c:v>45544.749233796298</c:v>
                </c:pt>
                <c:pt idx="6">
                  <c:v>45544.749239583332</c:v>
                </c:pt>
                <c:pt idx="7">
                  <c:v>45544.749245370367</c:v>
                </c:pt>
                <c:pt idx="8">
                  <c:v>45544.749251157409</c:v>
                </c:pt>
                <c:pt idx="9">
                  <c:v>45544.749256944444</c:v>
                </c:pt>
                <c:pt idx="10">
                  <c:v>45544.749262731479</c:v>
                </c:pt>
                <c:pt idx="11">
                  <c:v>45544.749268518521</c:v>
                </c:pt>
                <c:pt idx="12">
                  <c:v>45544.749274305555</c:v>
                </c:pt>
                <c:pt idx="13">
                  <c:v>45544.74928009259</c:v>
                </c:pt>
                <c:pt idx="14">
                  <c:v>45544.749285879632</c:v>
                </c:pt>
                <c:pt idx="15">
                  <c:v>45544.749291666667</c:v>
                </c:pt>
                <c:pt idx="16">
                  <c:v>45544.749297453702</c:v>
                </c:pt>
                <c:pt idx="17">
                  <c:v>45544.749303240744</c:v>
                </c:pt>
                <c:pt idx="18">
                  <c:v>45544.749309027779</c:v>
                </c:pt>
                <c:pt idx="19">
                  <c:v>45544.749314814813</c:v>
                </c:pt>
                <c:pt idx="20">
                  <c:v>45544.749320601855</c:v>
                </c:pt>
                <c:pt idx="21">
                  <c:v>45544.74932638889</c:v>
                </c:pt>
                <c:pt idx="22">
                  <c:v>45544.749332175925</c:v>
                </c:pt>
                <c:pt idx="23">
                  <c:v>45544.74933796296</c:v>
                </c:pt>
                <c:pt idx="24">
                  <c:v>45544.749343750002</c:v>
                </c:pt>
                <c:pt idx="25">
                  <c:v>45544.749349537036</c:v>
                </c:pt>
                <c:pt idx="26">
                  <c:v>45544.749355324071</c:v>
                </c:pt>
                <c:pt idx="27">
                  <c:v>45544.749361111113</c:v>
                </c:pt>
                <c:pt idx="28">
                  <c:v>45544.749366898148</c:v>
                </c:pt>
                <c:pt idx="29">
                  <c:v>45544.749372685183</c:v>
                </c:pt>
                <c:pt idx="30">
                  <c:v>45544.749378472225</c:v>
                </c:pt>
                <c:pt idx="31">
                  <c:v>45544.749384259259</c:v>
                </c:pt>
                <c:pt idx="32">
                  <c:v>45544.749390046294</c:v>
                </c:pt>
                <c:pt idx="33">
                  <c:v>45544.749395833336</c:v>
                </c:pt>
                <c:pt idx="34">
                  <c:v>45544.749401620371</c:v>
                </c:pt>
                <c:pt idx="35">
                  <c:v>45544.749407407406</c:v>
                </c:pt>
                <c:pt idx="36">
                  <c:v>45544.749413194448</c:v>
                </c:pt>
                <c:pt idx="37">
                  <c:v>45544.749418981482</c:v>
                </c:pt>
                <c:pt idx="38">
                  <c:v>45544.749424768517</c:v>
                </c:pt>
                <c:pt idx="39">
                  <c:v>45544.749430555552</c:v>
                </c:pt>
                <c:pt idx="40">
                  <c:v>45544.749436342594</c:v>
                </c:pt>
                <c:pt idx="41">
                  <c:v>45544.749442129629</c:v>
                </c:pt>
                <c:pt idx="42">
                  <c:v>45544.749447916663</c:v>
                </c:pt>
                <c:pt idx="43">
                  <c:v>45544.749453703706</c:v>
                </c:pt>
                <c:pt idx="44">
                  <c:v>45544.74945949074</c:v>
                </c:pt>
              </c:numCache>
            </c:numRef>
          </c:cat>
          <c:val>
            <c:numRef>
              <c:f>'Part 1 Data'!$D$3:$D$47</c:f>
              <c:numCache>
                <c:formatCode>0.0</c:formatCode>
                <c:ptCount val="45"/>
                <c:pt idx="0">
                  <c:v>36.999000000000002</c:v>
                </c:pt>
                <c:pt idx="1">
                  <c:v>36.997999999999998</c:v>
                </c:pt>
                <c:pt idx="2">
                  <c:v>37.033999999999999</c:v>
                </c:pt>
                <c:pt idx="3">
                  <c:v>37.021000000000001</c:v>
                </c:pt>
                <c:pt idx="4">
                  <c:v>37.021000000000001</c:v>
                </c:pt>
                <c:pt idx="5">
                  <c:v>37.024000000000001</c:v>
                </c:pt>
                <c:pt idx="6">
                  <c:v>37.018000000000001</c:v>
                </c:pt>
                <c:pt idx="7">
                  <c:v>37.029000000000003</c:v>
                </c:pt>
                <c:pt idx="8">
                  <c:v>37.015000000000001</c:v>
                </c:pt>
                <c:pt idx="9">
                  <c:v>37.015000000000001</c:v>
                </c:pt>
                <c:pt idx="10">
                  <c:v>37.024999999999999</c:v>
                </c:pt>
                <c:pt idx="11">
                  <c:v>37.027999999999999</c:v>
                </c:pt>
                <c:pt idx="12">
                  <c:v>37.031999999999996</c:v>
                </c:pt>
                <c:pt idx="13">
                  <c:v>37.015000000000001</c:v>
                </c:pt>
                <c:pt idx="14">
                  <c:v>37.015000000000001</c:v>
                </c:pt>
                <c:pt idx="15">
                  <c:v>37.021000000000001</c:v>
                </c:pt>
                <c:pt idx="16">
                  <c:v>37.020000000000003</c:v>
                </c:pt>
                <c:pt idx="17">
                  <c:v>37.011000000000003</c:v>
                </c:pt>
                <c:pt idx="18">
                  <c:v>37.018000000000001</c:v>
                </c:pt>
                <c:pt idx="19">
                  <c:v>37.018000000000001</c:v>
                </c:pt>
                <c:pt idx="20">
                  <c:v>37.011000000000003</c:v>
                </c:pt>
                <c:pt idx="21">
                  <c:v>37.024999999999999</c:v>
                </c:pt>
                <c:pt idx="22">
                  <c:v>37.006</c:v>
                </c:pt>
                <c:pt idx="23">
                  <c:v>37.015999999999998</c:v>
                </c:pt>
                <c:pt idx="24">
                  <c:v>37.015999999999998</c:v>
                </c:pt>
                <c:pt idx="25">
                  <c:v>37.018000000000001</c:v>
                </c:pt>
                <c:pt idx="26">
                  <c:v>37.003</c:v>
                </c:pt>
                <c:pt idx="27">
                  <c:v>37.011000000000003</c:v>
                </c:pt>
                <c:pt idx="28">
                  <c:v>37.01</c:v>
                </c:pt>
                <c:pt idx="29">
                  <c:v>37.01</c:v>
                </c:pt>
                <c:pt idx="30">
                  <c:v>37.021000000000001</c:v>
                </c:pt>
                <c:pt idx="31">
                  <c:v>37.015000000000001</c:v>
                </c:pt>
                <c:pt idx="32">
                  <c:v>36.997999999999998</c:v>
                </c:pt>
                <c:pt idx="33">
                  <c:v>37.020000000000003</c:v>
                </c:pt>
                <c:pt idx="34">
                  <c:v>37.020000000000003</c:v>
                </c:pt>
                <c:pt idx="35">
                  <c:v>37.011000000000003</c:v>
                </c:pt>
                <c:pt idx="36">
                  <c:v>37.020000000000003</c:v>
                </c:pt>
                <c:pt idx="37">
                  <c:v>37.018000000000001</c:v>
                </c:pt>
                <c:pt idx="38">
                  <c:v>37.01</c:v>
                </c:pt>
                <c:pt idx="39">
                  <c:v>37.01</c:v>
                </c:pt>
                <c:pt idx="40">
                  <c:v>37.018000000000001</c:v>
                </c:pt>
                <c:pt idx="41">
                  <c:v>37.012999999999998</c:v>
                </c:pt>
                <c:pt idx="42">
                  <c:v>37.015000000000001</c:v>
                </c:pt>
                <c:pt idx="43">
                  <c:v>37.015000000000001</c:v>
                </c:pt>
                <c:pt idx="44">
                  <c:v>37.012999999999998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32B-6142-8795-8847211FB7FD}"/>
            </c:ext>
          </c:extLst>
        </c:ser>
        <c:ser>
          <c:idx val="3"/>
          <c:order val="3"/>
          <c:tx>
            <c:strRef>
              <c:f>'Part 1 Data'!$E$2</c:f>
              <c:strCache>
                <c:ptCount val="1"/>
                <c:pt idx="0">
                  <c:v>AI3 (°C)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'Part 1 Data'!$A$3:$A$47</c:f>
              <c:numCache>
                <c:formatCode>0.0</c:formatCode>
                <c:ptCount val="45"/>
                <c:pt idx="0">
                  <c:v>45544.749204861109</c:v>
                </c:pt>
                <c:pt idx="1">
                  <c:v>45544.749210648151</c:v>
                </c:pt>
                <c:pt idx="2">
                  <c:v>45544.749216435186</c:v>
                </c:pt>
                <c:pt idx="3">
                  <c:v>45544.749222222221</c:v>
                </c:pt>
                <c:pt idx="4">
                  <c:v>45544.749228009263</c:v>
                </c:pt>
                <c:pt idx="5">
                  <c:v>45544.749233796298</c:v>
                </c:pt>
                <c:pt idx="6">
                  <c:v>45544.749239583332</c:v>
                </c:pt>
                <c:pt idx="7">
                  <c:v>45544.749245370367</c:v>
                </c:pt>
                <c:pt idx="8">
                  <c:v>45544.749251157409</c:v>
                </c:pt>
                <c:pt idx="9">
                  <c:v>45544.749256944444</c:v>
                </c:pt>
                <c:pt idx="10">
                  <c:v>45544.749262731479</c:v>
                </c:pt>
                <c:pt idx="11">
                  <c:v>45544.749268518521</c:v>
                </c:pt>
                <c:pt idx="12">
                  <c:v>45544.749274305555</c:v>
                </c:pt>
                <c:pt idx="13">
                  <c:v>45544.74928009259</c:v>
                </c:pt>
                <c:pt idx="14">
                  <c:v>45544.749285879632</c:v>
                </c:pt>
                <c:pt idx="15">
                  <c:v>45544.749291666667</c:v>
                </c:pt>
                <c:pt idx="16">
                  <c:v>45544.749297453702</c:v>
                </c:pt>
                <c:pt idx="17">
                  <c:v>45544.749303240744</c:v>
                </c:pt>
                <c:pt idx="18">
                  <c:v>45544.749309027779</c:v>
                </c:pt>
                <c:pt idx="19">
                  <c:v>45544.749314814813</c:v>
                </c:pt>
                <c:pt idx="20">
                  <c:v>45544.749320601855</c:v>
                </c:pt>
                <c:pt idx="21">
                  <c:v>45544.74932638889</c:v>
                </c:pt>
                <c:pt idx="22">
                  <c:v>45544.749332175925</c:v>
                </c:pt>
                <c:pt idx="23">
                  <c:v>45544.74933796296</c:v>
                </c:pt>
                <c:pt idx="24">
                  <c:v>45544.749343750002</c:v>
                </c:pt>
                <c:pt idx="25">
                  <c:v>45544.749349537036</c:v>
                </c:pt>
                <c:pt idx="26">
                  <c:v>45544.749355324071</c:v>
                </c:pt>
                <c:pt idx="27">
                  <c:v>45544.749361111113</c:v>
                </c:pt>
                <c:pt idx="28">
                  <c:v>45544.749366898148</c:v>
                </c:pt>
                <c:pt idx="29">
                  <c:v>45544.749372685183</c:v>
                </c:pt>
                <c:pt idx="30">
                  <c:v>45544.749378472225</c:v>
                </c:pt>
                <c:pt idx="31">
                  <c:v>45544.749384259259</c:v>
                </c:pt>
                <c:pt idx="32">
                  <c:v>45544.749390046294</c:v>
                </c:pt>
                <c:pt idx="33">
                  <c:v>45544.749395833336</c:v>
                </c:pt>
                <c:pt idx="34">
                  <c:v>45544.749401620371</c:v>
                </c:pt>
                <c:pt idx="35">
                  <c:v>45544.749407407406</c:v>
                </c:pt>
                <c:pt idx="36">
                  <c:v>45544.749413194448</c:v>
                </c:pt>
                <c:pt idx="37">
                  <c:v>45544.749418981482</c:v>
                </c:pt>
                <c:pt idx="38">
                  <c:v>45544.749424768517</c:v>
                </c:pt>
                <c:pt idx="39">
                  <c:v>45544.749430555552</c:v>
                </c:pt>
                <c:pt idx="40">
                  <c:v>45544.749436342594</c:v>
                </c:pt>
                <c:pt idx="41">
                  <c:v>45544.749442129629</c:v>
                </c:pt>
                <c:pt idx="42">
                  <c:v>45544.749447916663</c:v>
                </c:pt>
                <c:pt idx="43">
                  <c:v>45544.749453703706</c:v>
                </c:pt>
                <c:pt idx="44">
                  <c:v>45544.74945949074</c:v>
                </c:pt>
              </c:numCache>
            </c:numRef>
          </c:cat>
          <c:val>
            <c:numRef>
              <c:f>'Part 1 Data'!$E$3:$E$47</c:f>
              <c:numCache>
                <c:formatCode>0.0</c:formatCode>
                <c:ptCount val="45"/>
                <c:pt idx="0">
                  <c:v>33.817</c:v>
                </c:pt>
                <c:pt idx="1">
                  <c:v>33.822000000000003</c:v>
                </c:pt>
                <c:pt idx="2">
                  <c:v>33.838000000000001</c:v>
                </c:pt>
                <c:pt idx="3">
                  <c:v>33.834000000000003</c:v>
                </c:pt>
                <c:pt idx="4">
                  <c:v>33.840000000000003</c:v>
                </c:pt>
                <c:pt idx="5">
                  <c:v>33.832999999999998</c:v>
                </c:pt>
                <c:pt idx="6">
                  <c:v>33.835000000000001</c:v>
                </c:pt>
                <c:pt idx="7">
                  <c:v>33.835000000000001</c:v>
                </c:pt>
                <c:pt idx="8">
                  <c:v>33.843000000000004</c:v>
                </c:pt>
                <c:pt idx="9">
                  <c:v>33.831000000000003</c:v>
                </c:pt>
                <c:pt idx="10">
                  <c:v>33.843000000000004</c:v>
                </c:pt>
                <c:pt idx="11">
                  <c:v>33.831000000000003</c:v>
                </c:pt>
                <c:pt idx="12">
                  <c:v>33.831000000000003</c:v>
                </c:pt>
                <c:pt idx="13">
                  <c:v>33.85</c:v>
                </c:pt>
                <c:pt idx="14">
                  <c:v>33.829000000000001</c:v>
                </c:pt>
                <c:pt idx="15">
                  <c:v>33.838000000000001</c:v>
                </c:pt>
                <c:pt idx="16">
                  <c:v>33.844000000000001</c:v>
                </c:pt>
                <c:pt idx="17">
                  <c:v>33.844000000000001</c:v>
                </c:pt>
                <c:pt idx="18">
                  <c:v>33.828000000000003</c:v>
                </c:pt>
                <c:pt idx="19">
                  <c:v>33.832999999999998</c:v>
                </c:pt>
                <c:pt idx="20">
                  <c:v>33.856999999999999</c:v>
                </c:pt>
                <c:pt idx="21">
                  <c:v>33.834000000000003</c:v>
                </c:pt>
                <c:pt idx="22">
                  <c:v>33.834000000000003</c:v>
                </c:pt>
                <c:pt idx="23">
                  <c:v>33.844000000000001</c:v>
                </c:pt>
                <c:pt idx="24">
                  <c:v>33.85</c:v>
                </c:pt>
                <c:pt idx="25">
                  <c:v>33.847999999999999</c:v>
                </c:pt>
                <c:pt idx="26">
                  <c:v>33.847999999999999</c:v>
                </c:pt>
                <c:pt idx="27">
                  <c:v>33.838000000000001</c:v>
                </c:pt>
                <c:pt idx="28">
                  <c:v>33.840000000000003</c:v>
                </c:pt>
                <c:pt idx="29">
                  <c:v>33.832999999999998</c:v>
                </c:pt>
                <c:pt idx="30">
                  <c:v>33.838999999999999</c:v>
                </c:pt>
                <c:pt idx="31">
                  <c:v>33.838999999999999</c:v>
                </c:pt>
                <c:pt idx="32">
                  <c:v>33.837000000000003</c:v>
                </c:pt>
                <c:pt idx="33">
                  <c:v>33.837000000000003</c:v>
                </c:pt>
                <c:pt idx="34">
                  <c:v>33.825000000000003</c:v>
                </c:pt>
                <c:pt idx="35">
                  <c:v>33.834000000000003</c:v>
                </c:pt>
                <c:pt idx="36">
                  <c:v>33.834000000000003</c:v>
                </c:pt>
                <c:pt idx="37">
                  <c:v>33.83</c:v>
                </c:pt>
                <c:pt idx="38">
                  <c:v>33.838000000000001</c:v>
                </c:pt>
                <c:pt idx="39">
                  <c:v>33.841999999999999</c:v>
                </c:pt>
                <c:pt idx="40">
                  <c:v>33.843000000000004</c:v>
                </c:pt>
                <c:pt idx="41">
                  <c:v>33.843000000000004</c:v>
                </c:pt>
                <c:pt idx="42">
                  <c:v>33.825000000000003</c:v>
                </c:pt>
                <c:pt idx="43">
                  <c:v>33.831000000000003</c:v>
                </c:pt>
                <c:pt idx="44">
                  <c:v>33.832999999999998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32B-6142-8795-8847211FB7FD}"/>
            </c:ext>
          </c:extLst>
        </c:ser>
        <c:ser>
          <c:idx val="4"/>
          <c:order val="4"/>
          <c:tx>
            <c:strRef>
              <c:f>'Part 1 Data'!$F$2</c:f>
              <c:strCache>
                <c:ptCount val="1"/>
                <c:pt idx="0">
                  <c:v>AI4 (°C)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'Part 1 Data'!$A$3:$A$47</c:f>
              <c:numCache>
                <c:formatCode>0.0</c:formatCode>
                <c:ptCount val="45"/>
                <c:pt idx="0">
                  <c:v>45544.749204861109</c:v>
                </c:pt>
                <c:pt idx="1">
                  <c:v>45544.749210648151</c:v>
                </c:pt>
                <c:pt idx="2">
                  <c:v>45544.749216435186</c:v>
                </c:pt>
                <c:pt idx="3">
                  <c:v>45544.749222222221</c:v>
                </c:pt>
                <c:pt idx="4">
                  <c:v>45544.749228009263</c:v>
                </c:pt>
                <c:pt idx="5">
                  <c:v>45544.749233796298</c:v>
                </c:pt>
                <c:pt idx="6">
                  <c:v>45544.749239583332</c:v>
                </c:pt>
                <c:pt idx="7">
                  <c:v>45544.749245370367</c:v>
                </c:pt>
                <c:pt idx="8">
                  <c:v>45544.749251157409</c:v>
                </c:pt>
                <c:pt idx="9">
                  <c:v>45544.749256944444</c:v>
                </c:pt>
                <c:pt idx="10">
                  <c:v>45544.749262731479</c:v>
                </c:pt>
                <c:pt idx="11">
                  <c:v>45544.749268518521</c:v>
                </c:pt>
                <c:pt idx="12">
                  <c:v>45544.749274305555</c:v>
                </c:pt>
                <c:pt idx="13">
                  <c:v>45544.74928009259</c:v>
                </c:pt>
                <c:pt idx="14">
                  <c:v>45544.749285879632</c:v>
                </c:pt>
                <c:pt idx="15">
                  <c:v>45544.749291666667</c:v>
                </c:pt>
                <c:pt idx="16">
                  <c:v>45544.749297453702</c:v>
                </c:pt>
                <c:pt idx="17">
                  <c:v>45544.749303240744</c:v>
                </c:pt>
                <c:pt idx="18">
                  <c:v>45544.749309027779</c:v>
                </c:pt>
                <c:pt idx="19">
                  <c:v>45544.749314814813</c:v>
                </c:pt>
                <c:pt idx="20">
                  <c:v>45544.749320601855</c:v>
                </c:pt>
                <c:pt idx="21">
                  <c:v>45544.74932638889</c:v>
                </c:pt>
                <c:pt idx="22">
                  <c:v>45544.749332175925</c:v>
                </c:pt>
                <c:pt idx="23">
                  <c:v>45544.74933796296</c:v>
                </c:pt>
                <c:pt idx="24">
                  <c:v>45544.749343750002</c:v>
                </c:pt>
                <c:pt idx="25">
                  <c:v>45544.749349537036</c:v>
                </c:pt>
                <c:pt idx="26">
                  <c:v>45544.749355324071</c:v>
                </c:pt>
                <c:pt idx="27">
                  <c:v>45544.749361111113</c:v>
                </c:pt>
                <c:pt idx="28">
                  <c:v>45544.749366898148</c:v>
                </c:pt>
                <c:pt idx="29">
                  <c:v>45544.749372685183</c:v>
                </c:pt>
                <c:pt idx="30">
                  <c:v>45544.749378472225</c:v>
                </c:pt>
                <c:pt idx="31">
                  <c:v>45544.749384259259</c:v>
                </c:pt>
                <c:pt idx="32">
                  <c:v>45544.749390046294</c:v>
                </c:pt>
                <c:pt idx="33">
                  <c:v>45544.749395833336</c:v>
                </c:pt>
                <c:pt idx="34">
                  <c:v>45544.749401620371</c:v>
                </c:pt>
                <c:pt idx="35">
                  <c:v>45544.749407407406</c:v>
                </c:pt>
                <c:pt idx="36">
                  <c:v>45544.749413194448</c:v>
                </c:pt>
                <c:pt idx="37">
                  <c:v>45544.749418981482</c:v>
                </c:pt>
                <c:pt idx="38">
                  <c:v>45544.749424768517</c:v>
                </c:pt>
                <c:pt idx="39">
                  <c:v>45544.749430555552</c:v>
                </c:pt>
                <c:pt idx="40">
                  <c:v>45544.749436342594</c:v>
                </c:pt>
                <c:pt idx="41">
                  <c:v>45544.749442129629</c:v>
                </c:pt>
                <c:pt idx="42">
                  <c:v>45544.749447916663</c:v>
                </c:pt>
                <c:pt idx="43">
                  <c:v>45544.749453703706</c:v>
                </c:pt>
                <c:pt idx="44">
                  <c:v>45544.74945949074</c:v>
                </c:pt>
              </c:numCache>
            </c:numRef>
          </c:cat>
          <c:val>
            <c:numRef>
              <c:f>'Part 1 Data'!$F$3:$F$47</c:f>
              <c:numCache>
                <c:formatCode>0.0</c:formatCode>
                <c:ptCount val="45"/>
                <c:pt idx="0">
                  <c:v>32.781999999999996</c:v>
                </c:pt>
                <c:pt idx="1">
                  <c:v>32.777000000000001</c:v>
                </c:pt>
                <c:pt idx="2">
                  <c:v>32.801000000000002</c:v>
                </c:pt>
                <c:pt idx="3">
                  <c:v>32.802999999999997</c:v>
                </c:pt>
                <c:pt idx="4">
                  <c:v>32.817999999999998</c:v>
                </c:pt>
                <c:pt idx="5">
                  <c:v>32.816000000000003</c:v>
                </c:pt>
                <c:pt idx="6">
                  <c:v>32.829000000000001</c:v>
                </c:pt>
                <c:pt idx="7">
                  <c:v>32.817</c:v>
                </c:pt>
                <c:pt idx="8">
                  <c:v>32.832000000000001</c:v>
                </c:pt>
                <c:pt idx="9">
                  <c:v>32.832000000000001</c:v>
                </c:pt>
                <c:pt idx="10">
                  <c:v>32.823</c:v>
                </c:pt>
                <c:pt idx="11">
                  <c:v>32.82</c:v>
                </c:pt>
                <c:pt idx="12">
                  <c:v>32.817999999999998</c:v>
                </c:pt>
                <c:pt idx="13">
                  <c:v>32.828000000000003</c:v>
                </c:pt>
                <c:pt idx="14">
                  <c:v>32.828000000000003</c:v>
                </c:pt>
                <c:pt idx="15">
                  <c:v>32.835000000000001</c:v>
                </c:pt>
                <c:pt idx="16">
                  <c:v>32.835999999999999</c:v>
                </c:pt>
                <c:pt idx="17">
                  <c:v>32.847000000000001</c:v>
                </c:pt>
                <c:pt idx="18">
                  <c:v>32.82</c:v>
                </c:pt>
                <c:pt idx="19">
                  <c:v>32.82</c:v>
                </c:pt>
                <c:pt idx="20">
                  <c:v>32.828000000000003</c:v>
                </c:pt>
                <c:pt idx="21">
                  <c:v>32.835000000000001</c:v>
                </c:pt>
                <c:pt idx="22">
                  <c:v>32.83</c:v>
                </c:pt>
                <c:pt idx="23">
                  <c:v>32.823</c:v>
                </c:pt>
                <c:pt idx="24">
                  <c:v>32.823</c:v>
                </c:pt>
                <c:pt idx="25">
                  <c:v>32.820999999999998</c:v>
                </c:pt>
                <c:pt idx="26">
                  <c:v>32.834000000000003</c:v>
                </c:pt>
                <c:pt idx="27">
                  <c:v>32.843000000000004</c:v>
                </c:pt>
                <c:pt idx="28">
                  <c:v>32.844000000000001</c:v>
                </c:pt>
                <c:pt idx="29">
                  <c:v>32.844000000000001</c:v>
                </c:pt>
                <c:pt idx="30">
                  <c:v>32.86</c:v>
                </c:pt>
                <c:pt idx="31">
                  <c:v>32.848999999999997</c:v>
                </c:pt>
                <c:pt idx="32">
                  <c:v>32.863999999999997</c:v>
                </c:pt>
                <c:pt idx="33">
                  <c:v>32.863999999999997</c:v>
                </c:pt>
                <c:pt idx="34">
                  <c:v>32.841999999999999</c:v>
                </c:pt>
                <c:pt idx="35">
                  <c:v>32.834000000000003</c:v>
                </c:pt>
                <c:pt idx="36">
                  <c:v>32.848999999999997</c:v>
                </c:pt>
                <c:pt idx="37">
                  <c:v>32.847999999999999</c:v>
                </c:pt>
                <c:pt idx="38">
                  <c:v>32.847999999999999</c:v>
                </c:pt>
                <c:pt idx="39">
                  <c:v>32.844999999999999</c:v>
                </c:pt>
                <c:pt idx="40">
                  <c:v>32.853999999999999</c:v>
                </c:pt>
                <c:pt idx="41">
                  <c:v>32.844999999999999</c:v>
                </c:pt>
                <c:pt idx="42">
                  <c:v>32.856000000000002</c:v>
                </c:pt>
                <c:pt idx="43">
                  <c:v>32.856000000000002</c:v>
                </c:pt>
                <c:pt idx="44">
                  <c:v>32.847000000000001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32B-6142-8795-8847211FB7FD}"/>
            </c:ext>
          </c:extLst>
        </c:ser>
        <c:ser>
          <c:idx val="5"/>
          <c:order val="5"/>
          <c:tx>
            <c:strRef>
              <c:f>'Part 1 Data'!$G$2</c:f>
              <c:strCache>
                <c:ptCount val="1"/>
                <c:pt idx="0">
                  <c:v>AI5 (°C)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'Part 1 Data'!$A$3:$A$47</c:f>
              <c:numCache>
                <c:formatCode>0.0</c:formatCode>
                <c:ptCount val="45"/>
                <c:pt idx="0">
                  <c:v>45544.749204861109</c:v>
                </c:pt>
                <c:pt idx="1">
                  <c:v>45544.749210648151</c:v>
                </c:pt>
                <c:pt idx="2">
                  <c:v>45544.749216435186</c:v>
                </c:pt>
                <c:pt idx="3">
                  <c:v>45544.749222222221</c:v>
                </c:pt>
                <c:pt idx="4">
                  <c:v>45544.749228009263</c:v>
                </c:pt>
                <c:pt idx="5">
                  <c:v>45544.749233796298</c:v>
                </c:pt>
                <c:pt idx="6">
                  <c:v>45544.749239583332</c:v>
                </c:pt>
                <c:pt idx="7">
                  <c:v>45544.749245370367</c:v>
                </c:pt>
                <c:pt idx="8">
                  <c:v>45544.749251157409</c:v>
                </c:pt>
                <c:pt idx="9">
                  <c:v>45544.749256944444</c:v>
                </c:pt>
                <c:pt idx="10">
                  <c:v>45544.749262731479</c:v>
                </c:pt>
                <c:pt idx="11">
                  <c:v>45544.749268518521</c:v>
                </c:pt>
                <c:pt idx="12">
                  <c:v>45544.749274305555</c:v>
                </c:pt>
                <c:pt idx="13">
                  <c:v>45544.74928009259</c:v>
                </c:pt>
                <c:pt idx="14">
                  <c:v>45544.749285879632</c:v>
                </c:pt>
                <c:pt idx="15">
                  <c:v>45544.749291666667</c:v>
                </c:pt>
                <c:pt idx="16">
                  <c:v>45544.749297453702</c:v>
                </c:pt>
                <c:pt idx="17">
                  <c:v>45544.749303240744</c:v>
                </c:pt>
                <c:pt idx="18">
                  <c:v>45544.749309027779</c:v>
                </c:pt>
                <c:pt idx="19">
                  <c:v>45544.749314814813</c:v>
                </c:pt>
                <c:pt idx="20">
                  <c:v>45544.749320601855</c:v>
                </c:pt>
                <c:pt idx="21">
                  <c:v>45544.74932638889</c:v>
                </c:pt>
                <c:pt idx="22">
                  <c:v>45544.749332175925</c:v>
                </c:pt>
                <c:pt idx="23">
                  <c:v>45544.74933796296</c:v>
                </c:pt>
                <c:pt idx="24">
                  <c:v>45544.749343750002</c:v>
                </c:pt>
                <c:pt idx="25">
                  <c:v>45544.749349537036</c:v>
                </c:pt>
                <c:pt idx="26">
                  <c:v>45544.749355324071</c:v>
                </c:pt>
                <c:pt idx="27">
                  <c:v>45544.749361111113</c:v>
                </c:pt>
                <c:pt idx="28">
                  <c:v>45544.749366898148</c:v>
                </c:pt>
                <c:pt idx="29">
                  <c:v>45544.749372685183</c:v>
                </c:pt>
                <c:pt idx="30">
                  <c:v>45544.749378472225</c:v>
                </c:pt>
                <c:pt idx="31">
                  <c:v>45544.749384259259</c:v>
                </c:pt>
                <c:pt idx="32">
                  <c:v>45544.749390046294</c:v>
                </c:pt>
                <c:pt idx="33">
                  <c:v>45544.749395833336</c:v>
                </c:pt>
                <c:pt idx="34">
                  <c:v>45544.749401620371</c:v>
                </c:pt>
                <c:pt idx="35">
                  <c:v>45544.749407407406</c:v>
                </c:pt>
                <c:pt idx="36">
                  <c:v>45544.749413194448</c:v>
                </c:pt>
                <c:pt idx="37">
                  <c:v>45544.749418981482</c:v>
                </c:pt>
                <c:pt idx="38">
                  <c:v>45544.749424768517</c:v>
                </c:pt>
                <c:pt idx="39">
                  <c:v>45544.749430555552</c:v>
                </c:pt>
                <c:pt idx="40">
                  <c:v>45544.749436342594</c:v>
                </c:pt>
                <c:pt idx="41">
                  <c:v>45544.749442129629</c:v>
                </c:pt>
                <c:pt idx="42">
                  <c:v>45544.749447916663</c:v>
                </c:pt>
                <c:pt idx="43">
                  <c:v>45544.749453703706</c:v>
                </c:pt>
                <c:pt idx="44">
                  <c:v>45544.74945949074</c:v>
                </c:pt>
              </c:numCache>
            </c:numRef>
          </c:cat>
          <c:val>
            <c:numRef>
              <c:f>'Part 1 Data'!$G$3:$G$47</c:f>
              <c:numCache>
                <c:formatCode>0.0</c:formatCode>
                <c:ptCount val="45"/>
                <c:pt idx="0">
                  <c:v>29.870999999999999</c:v>
                </c:pt>
                <c:pt idx="1">
                  <c:v>29.875</c:v>
                </c:pt>
                <c:pt idx="2">
                  <c:v>29.890999999999998</c:v>
                </c:pt>
                <c:pt idx="3">
                  <c:v>29.882999999999999</c:v>
                </c:pt>
                <c:pt idx="4">
                  <c:v>29.895</c:v>
                </c:pt>
                <c:pt idx="5">
                  <c:v>29.885999999999999</c:v>
                </c:pt>
                <c:pt idx="6">
                  <c:v>29.902999999999999</c:v>
                </c:pt>
                <c:pt idx="7">
                  <c:v>29.902999999999999</c:v>
                </c:pt>
                <c:pt idx="8">
                  <c:v>29.901</c:v>
                </c:pt>
                <c:pt idx="9">
                  <c:v>29.907</c:v>
                </c:pt>
                <c:pt idx="10">
                  <c:v>29.911000000000001</c:v>
                </c:pt>
                <c:pt idx="11">
                  <c:v>29.911000000000001</c:v>
                </c:pt>
                <c:pt idx="12">
                  <c:v>29.911000000000001</c:v>
                </c:pt>
                <c:pt idx="13">
                  <c:v>29.913</c:v>
                </c:pt>
                <c:pt idx="14">
                  <c:v>29.91</c:v>
                </c:pt>
                <c:pt idx="15">
                  <c:v>29.913</c:v>
                </c:pt>
                <c:pt idx="16">
                  <c:v>29.928999999999998</c:v>
                </c:pt>
                <c:pt idx="17">
                  <c:v>29.916</c:v>
                </c:pt>
                <c:pt idx="18">
                  <c:v>29.902000000000001</c:v>
                </c:pt>
                <c:pt idx="19">
                  <c:v>29.914999999999999</c:v>
                </c:pt>
                <c:pt idx="20">
                  <c:v>29.899000000000001</c:v>
                </c:pt>
                <c:pt idx="21">
                  <c:v>29.899000000000001</c:v>
                </c:pt>
                <c:pt idx="22">
                  <c:v>29.902000000000001</c:v>
                </c:pt>
                <c:pt idx="23">
                  <c:v>29.908999999999999</c:v>
                </c:pt>
                <c:pt idx="24">
                  <c:v>29.914999999999999</c:v>
                </c:pt>
                <c:pt idx="25">
                  <c:v>29.914999999999999</c:v>
                </c:pt>
                <c:pt idx="26">
                  <c:v>29.93</c:v>
                </c:pt>
                <c:pt idx="27">
                  <c:v>29.931999999999999</c:v>
                </c:pt>
                <c:pt idx="28">
                  <c:v>29.928999999999998</c:v>
                </c:pt>
                <c:pt idx="29">
                  <c:v>29.919</c:v>
                </c:pt>
                <c:pt idx="30">
                  <c:v>29.937999999999999</c:v>
                </c:pt>
                <c:pt idx="31">
                  <c:v>29.937999999999999</c:v>
                </c:pt>
                <c:pt idx="32">
                  <c:v>29.927</c:v>
                </c:pt>
                <c:pt idx="33">
                  <c:v>29.922000000000001</c:v>
                </c:pt>
                <c:pt idx="34">
                  <c:v>29.917999999999999</c:v>
                </c:pt>
                <c:pt idx="35">
                  <c:v>29.940999999999999</c:v>
                </c:pt>
                <c:pt idx="36">
                  <c:v>29.940999999999999</c:v>
                </c:pt>
                <c:pt idx="37">
                  <c:v>29.914999999999999</c:v>
                </c:pt>
                <c:pt idx="38">
                  <c:v>29.92</c:v>
                </c:pt>
                <c:pt idx="39">
                  <c:v>29.92</c:v>
                </c:pt>
                <c:pt idx="40">
                  <c:v>29.925999999999998</c:v>
                </c:pt>
                <c:pt idx="41">
                  <c:v>29.925999999999998</c:v>
                </c:pt>
                <c:pt idx="42">
                  <c:v>29.922000000000001</c:v>
                </c:pt>
                <c:pt idx="43">
                  <c:v>29.920999999999999</c:v>
                </c:pt>
                <c:pt idx="44">
                  <c:v>29.919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32B-6142-8795-8847211FB7FD}"/>
            </c:ext>
          </c:extLst>
        </c:ser>
        <c:ser>
          <c:idx val="6"/>
          <c:order val="6"/>
          <c:tx>
            <c:strRef>
              <c:f>'Part 1 Data'!$H$2</c:f>
              <c:strCache>
                <c:ptCount val="1"/>
                <c:pt idx="0">
                  <c:v>AI6 (°C)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'Part 1 Data'!$A$3:$A$47</c:f>
              <c:numCache>
                <c:formatCode>0.0</c:formatCode>
                <c:ptCount val="45"/>
                <c:pt idx="0">
                  <c:v>45544.749204861109</c:v>
                </c:pt>
                <c:pt idx="1">
                  <c:v>45544.749210648151</c:v>
                </c:pt>
                <c:pt idx="2">
                  <c:v>45544.749216435186</c:v>
                </c:pt>
                <c:pt idx="3">
                  <c:v>45544.749222222221</c:v>
                </c:pt>
                <c:pt idx="4">
                  <c:v>45544.749228009263</c:v>
                </c:pt>
                <c:pt idx="5">
                  <c:v>45544.749233796298</c:v>
                </c:pt>
                <c:pt idx="6">
                  <c:v>45544.749239583332</c:v>
                </c:pt>
                <c:pt idx="7">
                  <c:v>45544.749245370367</c:v>
                </c:pt>
                <c:pt idx="8">
                  <c:v>45544.749251157409</c:v>
                </c:pt>
                <c:pt idx="9">
                  <c:v>45544.749256944444</c:v>
                </c:pt>
                <c:pt idx="10">
                  <c:v>45544.749262731479</c:v>
                </c:pt>
                <c:pt idx="11">
                  <c:v>45544.749268518521</c:v>
                </c:pt>
                <c:pt idx="12">
                  <c:v>45544.749274305555</c:v>
                </c:pt>
                <c:pt idx="13">
                  <c:v>45544.74928009259</c:v>
                </c:pt>
                <c:pt idx="14">
                  <c:v>45544.749285879632</c:v>
                </c:pt>
                <c:pt idx="15">
                  <c:v>45544.749291666667</c:v>
                </c:pt>
                <c:pt idx="16">
                  <c:v>45544.749297453702</c:v>
                </c:pt>
                <c:pt idx="17">
                  <c:v>45544.749303240744</c:v>
                </c:pt>
                <c:pt idx="18">
                  <c:v>45544.749309027779</c:v>
                </c:pt>
                <c:pt idx="19">
                  <c:v>45544.749314814813</c:v>
                </c:pt>
                <c:pt idx="20">
                  <c:v>45544.749320601855</c:v>
                </c:pt>
                <c:pt idx="21">
                  <c:v>45544.74932638889</c:v>
                </c:pt>
                <c:pt idx="22">
                  <c:v>45544.749332175925</c:v>
                </c:pt>
                <c:pt idx="23">
                  <c:v>45544.74933796296</c:v>
                </c:pt>
                <c:pt idx="24">
                  <c:v>45544.749343750002</c:v>
                </c:pt>
                <c:pt idx="25">
                  <c:v>45544.749349537036</c:v>
                </c:pt>
                <c:pt idx="26">
                  <c:v>45544.749355324071</c:v>
                </c:pt>
                <c:pt idx="27">
                  <c:v>45544.749361111113</c:v>
                </c:pt>
                <c:pt idx="28">
                  <c:v>45544.749366898148</c:v>
                </c:pt>
                <c:pt idx="29">
                  <c:v>45544.749372685183</c:v>
                </c:pt>
                <c:pt idx="30">
                  <c:v>45544.749378472225</c:v>
                </c:pt>
                <c:pt idx="31">
                  <c:v>45544.749384259259</c:v>
                </c:pt>
                <c:pt idx="32">
                  <c:v>45544.749390046294</c:v>
                </c:pt>
                <c:pt idx="33">
                  <c:v>45544.749395833336</c:v>
                </c:pt>
                <c:pt idx="34">
                  <c:v>45544.749401620371</c:v>
                </c:pt>
                <c:pt idx="35">
                  <c:v>45544.749407407406</c:v>
                </c:pt>
                <c:pt idx="36">
                  <c:v>45544.749413194448</c:v>
                </c:pt>
                <c:pt idx="37">
                  <c:v>45544.749418981482</c:v>
                </c:pt>
                <c:pt idx="38">
                  <c:v>45544.749424768517</c:v>
                </c:pt>
                <c:pt idx="39">
                  <c:v>45544.749430555552</c:v>
                </c:pt>
                <c:pt idx="40">
                  <c:v>45544.749436342594</c:v>
                </c:pt>
                <c:pt idx="41">
                  <c:v>45544.749442129629</c:v>
                </c:pt>
                <c:pt idx="42">
                  <c:v>45544.749447916663</c:v>
                </c:pt>
                <c:pt idx="43">
                  <c:v>45544.749453703706</c:v>
                </c:pt>
                <c:pt idx="44">
                  <c:v>45544.74945949074</c:v>
                </c:pt>
              </c:numCache>
            </c:numRef>
          </c:cat>
          <c:val>
            <c:numRef>
              <c:f>'Part 1 Data'!$H$3:$H$47</c:f>
              <c:numCache>
                <c:formatCode>0.0</c:formatCode>
                <c:ptCount val="45"/>
                <c:pt idx="0">
                  <c:v>28.934000000000001</c:v>
                </c:pt>
                <c:pt idx="1">
                  <c:v>28.934000000000001</c:v>
                </c:pt>
                <c:pt idx="2">
                  <c:v>28.951000000000001</c:v>
                </c:pt>
                <c:pt idx="3">
                  <c:v>28.949000000000002</c:v>
                </c:pt>
                <c:pt idx="4">
                  <c:v>28.981000000000002</c:v>
                </c:pt>
                <c:pt idx="5">
                  <c:v>28.975999999999999</c:v>
                </c:pt>
                <c:pt idx="6">
                  <c:v>28.992000000000001</c:v>
                </c:pt>
                <c:pt idx="7">
                  <c:v>28.975000000000001</c:v>
                </c:pt>
                <c:pt idx="8">
                  <c:v>28.983000000000001</c:v>
                </c:pt>
                <c:pt idx="9">
                  <c:v>28.981999999999999</c:v>
                </c:pt>
                <c:pt idx="10">
                  <c:v>28.98</c:v>
                </c:pt>
                <c:pt idx="11">
                  <c:v>28.98</c:v>
                </c:pt>
                <c:pt idx="12">
                  <c:v>28.984999999999999</c:v>
                </c:pt>
                <c:pt idx="13">
                  <c:v>28.984999999999999</c:v>
                </c:pt>
                <c:pt idx="14">
                  <c:v>28.992000000000001</c:v>
                </c:pt>
                <c:pt idx="15">
                  <c:v>28.988</c:v>
                </c:pt>
                <c:pt idx="16">
                  <c:v>29.003</c:v>
                </c:pt>
                <c:pt idx="17">
                  <c:v>29.006</c:v>
                </c:pt>
                <c:pt idx="18">
                  <c:v>28.992000000000001</c:v>
                </c:pt>
                <c:pt idx="19">
                  <c:v>28.98</c:v>
                </c:pt>
                <c:pt idx="20">
                  <c:v>28.975000000000001</c:v>
                </c:pt>
                <c:pt idx="21">
                  <c:v>28.975000000000001</c:v>
                </c:pt>
                <c:pt idx="22">
                  <c:v>28.983000000000001</c:v>
                </c:pt>
                <c:pt idx="23">
                  <c:v>28.986000000000001</c:v>
                </c:pt>
                <c:pt idx="24">
                  <c:v>28.984999999999999</c:v>
                </c:pt>
                <c:pt idx="25">
                  <c:v>28.984999999999999</c:v>
                </c:pt>
                <c:pt idx="26">
                  <c:v>29</c:v>
                </c:pt>
                <c:pt idx="27">
                  <c:v>28.988</c:v>
                </c:pt>
                <c:pt idx="28">
                  <c:v>28.989000000000001</c:v>
                </c:pt>
                <c:pt idx="29">
                  <c:v>29.006</c:v>
                </c:pt>
                <c:pt idx="30">
                  <c:v>29.006</c:v>
                </c:pt>
                <c:pt idx="31">
                  <c:v>29</c:v>
                </c:pt>
                <c:pt idx="32">
                  <c:v>29.001999999999999</c:v>
                </c:pt>
                <c:pt idx="33">
                  <c:v>29.001000000000001</c:v>
                </c:pt>
                <c:pt idx="34">
                  <c:v>29.001999999999999</c:v>
                </c:pt>
                <c:pt idx="35">
                  <c:v>29.001999999999999</c:v>
                </c:pt>
                <c:pt idx="36">
                  <c:v>29.013000000000002</c:v>
                </c:pt>
                <c:pt idx="37">
                  <c:v>29.004000000000001</c:v>
                </c:pt>
                <c:pt idx="38">
                  <c:v>28.997</c:v>
                </c:pt>
                <c:pt idx="39">
                  <c:v>28.998000000000001</c:v>
                </c:pt>
                <c:pt idx="40">
                  <c:v>28.998000000000001</c:v>
                </c:pt>
                <c:pt idx="41">
                  <c:v>28.998999999999999</c:v>
                </c:pt>
                <c:pt idx="42">
                  <c:v>28.997</c:v>
                </c:pt>
                <c:pt idx="43">
                  <c:v>28.995999999999999</c:v>
                </c:pt>
                <c:pt idx="44">
                  <c:v>29.001000000000001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32B-6142-8795-8847211FB7FD}"/>
            </c:ext>
          </c:extLst>
        </c:ser>
        <c:ser>
          <c:idx val="7"/>
          <c:order val="7"/>
          <c:tx>
            <c:strRef>
              <c:f>'Part 1 Data'!$I$2</c:f>
              <c:strCache>
                <c:ptCount val="1"/>
                <c:pt idx="0">
                  <c:v>AI7 (°C)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'Part 1 Data'!$A$3:$A$47</c:f>
              <c:numCache>
                <c:formatCode>0.0</c:formatCode>
                <c:ptCount val="45"/>
                <c:pt idx="0">
                  <c:v>45544.749204861109</c:v>
                </c:pt>
                <c:pt idx="1">
                  <c:v>45544.749210648151</c:v>
                </c:pt>
                <c:pt idx="2">
                  <c:v>45544.749216435186</c:v>
                </c:pt>
                <c:pt idx="3">
                  <c:v>45544.749222222221</c:v>
                </c:pt>
                <c:pt idx="4">
                  <c:v>45544.749228009263</c:v>
                </c:pt>
                <c:pt idx="5">
                  <c:v>45544.749233796298</c:v>
                </c:pt>
                <c:pt idx="6">
                  <c:v>45544.749239583332</c:v>
                </c:pt>
                <c:pt idx="7">
                  <c:v>45544.749245370367</c:v>
                </c:pt>
                <c:pt idx="8">
                  <c:v>45544.749251157409</c:v>
                </c:pt>
                <c:pt idx="9">
                  <c:v>45544.749256944444</c:v>
                </c:pt>
                <c:pt idx="10">
                  <c:v>45544.749262731479</c:v>
                </c:pt>
                <c:pt idx="11">
                  <c:v>45544.749268518521</c:v>
                </c:pt>
                <c:pt idx="12">
                  <c:v>45544.749274305555</c:v>
                </c:pt>
                <c:pt idx="13">
                  <c:v>45544.74928009259</c:v>
                </c:pt>
                <c:pt idx="14">
                  <c:v>45544.749285879632</c:v>
                </c:pt>
                <c:pt idx="15">
                  <c:v>45544.749291666667</c:v>
                </c:pt>
                <c:pt idx="16">
                  <c:v>45544.749297453702</c:v>
                </c:pt>
                <c:pt idx="17">
                  <c:v>45544.749303240744</c:v>
                </c:pt>
                <c:pt idx="18">
                  <c:v>45544.749309027779</c:v>
                </c:pt>
                <c:pt idx="19">
                  <c:v>45544.749314814813</c:v>
                </c:pt>
                <c:pt idx="20">
                  <c:v>45544.749320601855</c:v>
                </c:pt>
                <c:pt idx="21">
                  <c:v>45544.74932638889</c:v>
                </c:pt>
                <c:pt idx="22">
                  <c:v>45544.749332175925</c:v>
                </c:pt>
                <c:pt idx="23">
                  <c:v>45544.74933796296</c:v>
                </c:pt>
                <c:pt idx="24">
                  <c:v>45544.749343750002</c:v>
                </c:pt>
                <c:pt idx="25">
                  <c:v>45544.749349537036</c:v>
                </c:pt>
                <c:pt idx="26">
                  <c:v>45544.749355324071</c:v>
                </c:pt>
                <c:pt idx="27">
                  <c:v>45544.749361111113</c:v>
                </c:pt>
                <c:pt idx="28">
                  <c:v>45544.749366898148</c:v>
                </c:pt>
                <c:pt idx="29">
                  <c:v>45544.749372685183</c:v>
                </c:pt>
                <c:pt idx="30">
                  <c:v>45544.749378472225</c:v>
                </c:pt>
                <c:pt idx="31">
                  <c:v>45544.749384259259</c:v>
                </c:pt>
                <c:pt idx="32">
                  <c:v>45544.749390046294</c:v>
                </c:pt>
                <c:pt idx="33">
                  <c:v>45544.749395833336</c:v>
                </c:pt>
                <c:pt idx="34">
                  <c:v>45544.749401620371</c:v>
                </c:pt>
                <c:pt idx="35">
                  <c:v>45544.749407407406</c:v>
                </c:pt>
                <c:pt idx="36">
                  <c:v>45544.749413194448</c:v>
                </c:pt>
                <c:pt idx="37">
                  <c:v>45544.749418981482</c:v>
                </c:pt>
                <c:pt idx="38">
                  <c:v>45544.749424768517</c:v>
                </c:pt>
                <c:pt idx="39">
                  <c:v>45544.749430555552</c:v>
                </c:pt>
                <c:pt idx="40">
                  <c:v>45544.749436342594</c:v>
                </c:pt>
                <c:pt idx="41">
                  <c:v>45544.749442129629</c:v>
                </c:pt>
                <c:pt idx="42">
                  <c:v>45544.749447916663</c:v>
                </c:pt>
                <c:pt idx="43">
                  <c:v>45544.749453703706</c:v>
                </c:pt>
                <c:pt idx="44">
                  <c:v>45544.74945949074</c:v>
                </c:pt>
              </c:numCache>
            </c:numRef>
          </c:cat>
          <c:val>
            <c:numRef>
              <c:f>'Part 1 Data'!$I$3:$I$47</c:f>
              <c:numCache>
                <c:formatCode>0.0</c:formatCode>
                <c:ptCount val="45"/>
                <c:pt idx="0">
                  <c:v>28.094999999999999</c:v>
                </c:pt>
                <c:pt idx="1">
                  <c:v>28.094000000000001</c:v>
                </c:pt>
                <c:pt idx="2">
                  <c:v>28.113</c:v>
                </c:pt>
                <c:pt idx="3">
                  <c:v>28.109000000000002</c:v>
                </c:pt>
                <c:pt idx="4">
                  <c:v>28.125</c:v>
                </c:pt>
                <c:pt idx="5">
                  <c:v>28.123000000000001</c:v>
                </c:pt>
                <c:pt idx="6">
                  <c:v>28.138999999999999</c:v>
                </c:pt>
                <c:pt idx="7">
                  <c:v>28.146000000000001</c:v>
                </c:pt>
                <c:pt idx="8">
                  <c:v>28.146000000000001</c:v>
                </c:pt>
                <c:pt idx="9">
                  <c:v>28.132000000000001</c:v>
                </c:pt>
                <c:pt idx="10">
                  <c:v>28.14</c:v>
                </c:pt>
                <c:pt idx="11">
                  <c:v>28.145</c:v>
                </c:pt>
                <c:pt idx="12">
                  <c:v>28.138999999999999</c:v>
                </c:pt>
                <c:pt idx="13">
                  <c:v>28.138999999999999</c:v>
                </c:pt>
                <c:pt idx="14">
                  <c:v>28.146999999999998</c:v>
                </c:pt>
                <c:pt idx="15">
                  <c:v>28.152000000000001</c:v>
                </c:pt>
                <c:pt idx="16">
                  <c:v>28.155000000000001</c:v>
                </c:pt>
                <c:pt idx="17">
                  <c:v>28.155000000000001</c:v>
                </c:pt>
                <c:pt idx="18">
                  <c:v>28.14</c:v>
                </c:pt>
                <c:pt idx="19">
                  <c:v>28.15</c:v>
                </c:pt>
                <c:pt idx="20">
                  <c:v>28.138000000000002</c:v>
                </c:pt>
                <c:pt idx="21">
                  <c:v>28.155000000000001</c:v>
                </c:pt>
                <c:pt idx="22">
                  <c:v>28.149000000000001</c:v>
                </c:pt>
                <c:pt idx="23">
                  <c:v>28.149000000000001</c:v>
                </c:pt>
                <c:pt idx="24">
                  <c:v>28.138000000000002</c:v>
                </c:pt>
                <c:pt idx="25">
                  <c:v>28.138000000000002</c:v>
                </c:pt>
                <c:pt idx="26">
                  <c:v>28.172999999999998</c:v>
                </c:pt>
                <c:pt idx="27">
                  <c:v>28.158999999999999</c:v>
                </c:pt>
                <c:pt idx="28">
                  <c:v>28.158999999999999</c:v>
                </c:pt>
                <c:pt idx="29">
                  <c:v>28.149000000000001</c:v>
                </c:pt>
                <c:pt idx="30">
                  <c:v>28.146999999999998</c:v>
                </c:pt>
                <c:pt idx="31">
                  <c:v>28.152000000000001</c:v>
                </c:pt>
                <c:pt idx="32">
                  <c:v>28.164000000000001</c:v>
                </c:pt>
                <c:pt idx="33">
                  <c:v>28.164000000000001</c:v>
                </c:pt>
                <c:pt idx="34">
                  <c:v>28.16</c:v>
                </c:pt>
                <c:pt idx="35">
                  <c:v>28.157</c:v>
                </c:pt>
                <c:pt idx="36">
                  <c:v>28.163</c:v>
                </c:pt>
                <c:pt idx="37">
                  <c:v>28.16</c:v>
                </c:pt>
                <c:pt idx="38">
                  <c:v>28.16</c:v>
                </c:pt>
                <c:pt idx="39">
                  <c:v>28.158000000000001</c:v>
                </c:pt>
                <c:pt idx="40">
                  <c:v>28.155000000000001</c:v>
                </c:pt>
                <c:pt idx="41">
                  <c:v>28.155999999999999</c:v>
                </c:pt>
                <c:pt idx="42">
                  <c:v>28.149000000000001</c:v>
                </c:pt>
                <c:pt idx="43">
                  <c:v>28.149000000000001</c:v>
                </c:pt>
                <c:pt idx="44">
                  <c:v>28.169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32B-6142-8795-8847211FB7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14653263"/>
        <c:axId val="714759663"/>
      </c:lineChart>
      <c:catAx>
        <c:axId val="714653263"/>
        <c:scaling>
          <c:orientation val="minMax"/>
        </c:scaling>
        <c:delete val="0"/>
        <c:axPos val="b"/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759663"/>
        <c:crosses val="autoZero"/>
        <c:auto val="1"/>
        <c:lblAlgn val="ctr"/>
        <c:lblOffset val="100"/>
        <c:noMultiLvlLbl val="0"/>
      </c:catAx>
      <c:valAx>
        <c:axId val="714759663"/>
        <c:scaling>
          <c:orientation val="minMax"/>
          <c:min val="2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46532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Temperature vs Distance (mm)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'Part 1 Data'!$B$53:$I$53</c:f>
              <c:numCache>
                <c:formatCode>0.0</c:formatCode>
                <c:ptCount val="8"/>
                <c:pt idx="0">
                  <c:v>39.17537777777779</c:v>
                </c:pt>
                <c:pt idx="1">
                  <c:v>38.179622222222228</c:v>
                </c:pt>
                <c:pt idx="2">
                  <c:v>37.015999999999998</c:v>
                </c:pt>
                <c:pt idx="3">
                  <c:v>33.83677777777779</c:v>
                </c:pt>
                <c:pt idx="4">
                  <c:v>32.832622222222227</c:v>
                </c:pt>
                <c:pt idx="5">
                  <c:v>29.913088888888893</c:v>
                </c:pt>
                <c:pt idx="6">
                  <c:v>28.987466666666666</c:v>
                </c:pt>
                <c:pt idx="7">
                  <c:v>28.145644444444443</c:v>
                </c:pt>
              </c:numCache>
            </c:numRef>
          </c:xVal>
          <c:yVal>
            <c:numRef>
              <c:f>'Part 1 Data'!$B$54:$I$54</c:f>
              <c:numCache>
                <c:formatCode>0.0</c:formatCode>
                <c:ptCount val="8"/>
                <c:pt idx="0">
                  <c:v>0</c:v>
                </c:pt>
                <c:pt idx="1">
                  <c:v>15</c:v>
                </c:pt>
                <c:pt idx="2">
                  <c:v>30</c:v>
                </c:pt>
                <c:pt idx="3">
                  <c:v>75</c:v>
                </c:pt>
                <c:pt idx="4">
                  <c:v>90</c:v>
                </c:pt>
                <c:pt idx="5">
                  <c:v>135</c:v>
                </c:pt>
                <c:pt idx="6">
                  <c:v>150</c:v>
                </c:pt>
                <c:pt idx="7">
                  <c:v>165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676-49ED-A2A0-01594A2133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72817432"/>
        <c:axId val="672818152"/>
      </c:scatterChart>
      <c:valAx>
        <c:axId val="672817432"/>
        <c:scaling>
          <c:orientation val="minMax"/>
          <c:min val="2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818152"/>
        <c:crosses val="autoZero"/>
        <c:crossBetween val="midCat"/>
      </c:valAx>
      <c:valAx>
        <c:axId val="672818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28174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Forced vs. Free Convection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'Part 3 Data'!$B$2</c:f>
              <c:strCache>
                <c:ptCount val="1"/>
                <c:pt idx="0">
                  <c:v>Forced Convection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'Part 3 Data'!$A$3:$A$2881</c:f>
              <c:numCache>
                <c:formatCode>0.0</c:formatCode>
                <c:ptCount val="2879"/>
                <c:pt idx="0">
                  <c:v>0</c:v>
                </c:pt>
                <c:pt idx="1">
                  <c:v>0.56399999999999995</c:v>
                </c:pt>
                <c:pt idx="2">
                  <c:v>1.1279999999999999</c:v>
                </c:pt>
                <c:pt idx="3">
                  <c:v>1.6919999999999999</c:v>
                </c:pt>
                <c:pt idx="4">
                  <c:v>2.2559999999999998</c:v>
                </c:pt>
                <c:pt idx="5">
                  <c:v>2.82</c:v>
                </c:pt>
                <c:pt idx="6">
                  <c:v>3.3839999999999999</c:v>
                </c:pt>
                <c:pt idx="7">
                  <c:v>3.948</c:v>
                </c:pt>
                <c:pt idx="8">
                  <c:v>4.5119999999999996</c:v>
                </c:pt>
                <c:pt idx="9">
                  <c:v>5.0759999999999996</c:v>
                </c:pt>
                <c:pt idx="10">
                  <c:v>5.64</c:v>
                </c:pt>
                <c:pt idx="11">
                  <c:v>6.2039999999999997</c:v>
                </c:pt>
                <c:pt idx="12">
                  <c:v>6.7679999999999998</c:v>
                </c:pt>
                <c:pt idx="13">
                  <c:v>7.3319999999999999</c:v>
                </c:pt>
                <c:pt idx="14">
                  <c:v>7.8959999999999999</c:v>
                </c:pt>
                <c:pt idx="15">
                  <c:v>8.4600000000000009</c:v>
                </c:pt>
                <c:pt idx="16">
                  <c:v>9.0239999999999991</c:v>
                </c:pt>
                <c:pt idx="17">
                  <c:v>9.5879999999999992</c:v>
                </c:pt>
                <c:pt idx="18">
                  <c:v>10.151999999999999</c:v>
                </c:pt>
                <c:pt idx="19">
                  <c:v>10.715999999999999</c:v>
                </c:pt>
                <c:pt idx="20">
                  <c:v>11.28</c:v>
                </c:pt>
                <c:pt idx="21">
                  <c:v>11.843999999999999</c:v>
                </c:pt>
                <c:pt idx="22">
                  <c:v>12.407999999999999</c:v>
                </c:pt>
                <c:pt idx="23">
                  <c:v>12.972</c:v>
                </c:pt>
                <c:pt idx="24">
                  <c:v>13.536</c:v>
                </c:pt>
                <c:pt idx="25">
                  <c:v>14.1</c:v>
                </c:pt>
                <c:pt idx="26">
                  <c:v>14.664</c:v>
                </c:pt>
                <c:pt idx="27">
                  <c:v>15.228</c:v>
                </c:pt>
                <c:pt idx="28">
                  <c:v>15.792</c:v>
                </c:pt>
                <c:pt idx="29">
                  <c:v>16.356000000000002</c:v>
                </c:pt>
                <c:pt idx="30">
                  <c:v>16.920000000000002</c:v>
                </c:pt>
                <c:pt idx="31">
                  <c:v>17.484000000000002</c:v>
                </c:pt>
                <c:pt idx="32">
                  <c:v>18.047999999999998</c:v>
                </c:pt>
                <c:pt idx="33">
                  <c:v>18.611999999999998</c:v>
                </c:pt>
                <c:pt idx="34">
                  <c:v>19.175999999999998</c:v>
                </c:pt>
                <c:pt idx="35">
                  <c:v>19.739999999999998</c:v>
                </c:pt>
                <c:pt idx="36">
                  <c:v>20.303999999999998</c:v>
                </c:pt>
                <c:pt idx="37">
                  <c:v>20.867999999999999</c:v>
                </c:pt>
                <c:pt idx="38">
                  <c:v>21.431999999999999</c:v>
                </c:pt>
                <c:pt idx="39">
                  <c:v>21.995999999999999</c:v>
                </c:pt>
                <c:pt idx="40">
                  <c:v>22.56</c:v>
                </c:pt>
                <c:pt idx="41">
                  <c:v>23.123999999999999</c:v>
                </c:pt>
                <c:pt idx="42">
                  <c:v>23.687999999999999</c:v>
                </c:pt>
                <c:pt idx="43">
                  <c:v>24.251999999999999</c:v>
                </c:pt>
                <c:pt idx="44">
                  <c:v>24.815999999999999</c:v>
                </c:pt>
                <c:pt idx="45">
                  <c:v>25.38</c:v>
                </c:pt>
                <c:pt idx="46">
                  <c:v>25.943999999999999</c:v>
                </c:pt>
                <c:pt idx="47">
                  <c:v>26.507999999999999</c:v>
                </c:pt>
                <c:pt idx="48">
                  <c:v>27.071999999999999</c:v>
                </c:pt>
                <c:pt idx="49">
                  <c:v>27.635999999999999</c:v>
                </c:pt>
                <c:pt idx="50">
                  <c:v>28.2</c:v>
                </c:pt>
                <c:pt idx="51">
                  <c:v>28.763999999999999</c:v>
                </c:pt>
                <c:pt idx="52">
                  <c:v>29.327999999999999</c:v>
                </c:pt>
                <c:pt idx="53">
                  <c:v>29.891999999999999</c:v>
                </c:pt>
                <c:pt idx="54">
                  <c:v>30.456</c:v>
                </c:pt>
                <c:pt idx="55">
                  <c:v>31.02</c:v>
                </c:pt>
                <c:pt idx="56">
                  <c:v>31.584</c:v>
                </c:pt>
                <c:pt idx="57">
                  <c:v>32.148000000000003</c:v>
                </c:pt>
                <c:pt idx="58">
                  <c:v>32.712000000000003</c:v>
                </c:pt>
                <c:pt idx="59">
                  <c:v>33.276000000000003</c:v>
                </c:pt>
                <c:pt idx="60">
                  <c:v>33.840000000000003</c:v>
                </c:pt>
                <c:pt idx="61">
                  <c:v>34.404000000000003</c:v>
                </c:pt>
                <c:pt idx="62">
                  <c:v>34.968000000000004</c:v>
                </c:pt>
                <c:pt idx="63">
                  <c:v>35.531999999999996</c:v>
                </c:pt>
                <c:pt idx="64">
                  <c:v>36.095999999999997</c:v>
                </c:pt>
                <c:pt idx="65">
                  <c:v>36.659999999999997</c:v>
                </c:pt>
                <c:pt idx="66">
                  <c:v>37.223999999999997</c:v>
                </c:pt>
                <c:pt idx="67">
                  <c:v>37.787999999999997</c:v>
                </c:pt>
                <c:pt idx="68">
                  <c:v>38.351999999999997</c:v>
                </c:pt>
                <c:pt idx="69">
                  <c:v>38.915999999999997</c:v>
                </c:pt>
                <c:pt idx="70">
                  <c:v>39.479999999999997</c:v>
                </c:pt>
                <c:pt idx="71">
                  <c:v>40.043999999999997</c:v>
                </c:pt>
                <c:pt idx="72">
                  <c:v>40.607999999999997</c:v>
                </c:pt>
                <c:pt idx="73">
                  <c:v>41.171999999999997</c:v>
                </c:pt>
                <c:pt idx="74">
                  <c:v>41.735999999999997</c:v>
                </c:pt>
                <c:pt idx="75">
                  <c:v>42.3</c:v>
                </c:pt>
                <c:pt idx="76">
                  <c:v>42.863999999999997</c:v>
                </c:pt>
                <c:pt idx="77">
                  <c:v>43.427999999999997</c:v>
                </c:pt>
                <c:pt idx="78">
                  <c:v>43.991999999999997</c:v>
                </c:pt>
                <c:pt idx="79">
                  <c:v>44.555999999999997</c:v>
                </c:pt>
                <c:pt idx="80">
                  <c:v>45.12</c:v>
                </c:pt>
                <c:pt idx="81">
                  <c:v>45.683999999999997</c:v>
                </c:pt>
                <c:pt idx="82">
                  <c:v>46.247999999999998</c:v>
                </c:pt>
                <c:pt idx="83">
                  <c:v>46.811999999999998</c:v>
                </c:pt>
                <c:pt idx="84">
                  <c:v>47.375999999999998</c:v>
                </c:pt>
                <c:pt idx="85">
                  <c:v>47.94</c:v>
                </c:pt>
                <c:pt idx="86">
                  <c:v>48.503999999999998</c:v>
                </c:pt>
                <c:pt idx="87">
                  <c:v>49.067999999999998</c:v>
                </c:pt>
                <c:pt idx="88">
                  <c:v>49.631999999999998</c:v>
                </c:pt>
                <c:pt idx="89">
                  <c:v>50.195999999999998</c:v>
                </c:pt>
                <c:pt idx="90">
                  <c:v>50.76</c:v>
                </c:pt>
                <c:pt idx="91">
                  <c:v>51.323999999999998</c:v>
                </c:pt>
                <c:pt idx="92">
                  <c:v>51.887999999999998</c:v>
                </c:pt>
                <c:pt idx="93">
                  <c:v>52.451999999999998</c:v>
                </c:pt>
                <c:pt idx="94">
                  <c:v>53.015999999999998</c:v>
                </c:pt>
                <c:pt idx="95">
                  <c:v>53.58</c:v>
                </c:pt>
                <c:pt idx="96">
                  <c:v>54.143999999999998</c:v>
                </c:pt>
                <c:pt idx="97">
                  <c:v>54.707999999999998</c:v>
                </c:pt>
                <c:pt idx="98">
                  <c:v>55.271999999999998</c:v>
                </c:pt>
                <c:pt idx="99">
                  <c:v>55.835999999999999</c:v>
                </c:pt>
                <c:pt idx="100">
                  <c:v>56.4</c:v>
                </c:pt>
                <c:pt idx="101">
                  <c:v>56.963999999999999</c:v>
                </c:pt>
                <c:pt idx="102">
                  <c:v>57.527999999999999</c:v>
                </c:pt>
                <c:pt idx="103">
                  <c:v>58.091999999999999</c:v>
                </c:pt>
                <c:pt idx="104">
                  <c:v>58.655999999999999</c:v>
                </c:pt>
                <c:pt idx="105">
                  <c:v>59.22</c:v>
                </c:pt>
                <c:pt idx="106">
                  <c:v>59.783999999999999</c:v>
                </c:pt>
                <c:pt idx="107">
                  <c:v>60.347999999999999</c:v>
                </c:pt>
                <c:pt idx="108">
                  <c:v>60.911999999999999</c:v>
                </c:pt>
                <c:pt idx="109">
                  <c:v>61.475999999999999</c:v>
                </c:pt>
                <c:pt idx="110">
                  <c:v>62.04</c:v>
                </c:pt>
                <c:pt idx="111">
                  <c:v>62.603999999999999</c:v>
                </c:pt>
                <c:pt idx="112">
                  <c:v>63.167999999999999</c:v>
                </c:pt>
                <c:pt idx="113">
                  <c:v>63.731999999999999</c:v>
                </c:pt>
                <c:pt idx="114">
                  <c:v>64.296000000000006</c:v>
                </c:pt>
                <c:pt idx="115">
                  <c:v>64.86</c:v>
                </c:pt>
                <c:pt idx="116">
                  <c:v>65.424000000000007</c:v>
                </c:pt>
                <c:pt idx="117">
                  <c:v>65.988</c:v>
                </c:pt>
                <c:pt idx="118">
                  <c:v>66.552000000000007</c:v>
                </c:pt>
                <c:pt idx="119">
                  <c:v>67.116</c:v>
                </c:pt>
                <c:pt idx="120">
                  <c:v>67.680000000000007</c:v>
                </c:pt>
                <c:pt idx="121">
                  <c:v>68.244</c:v>
                </c:pt>
                <c:pt idx="122">
                  <c:v>68.808000000000007</c:v>
                </c:pt>
                <c:pt idx="123">
                  <c:v>69.372</c:v>
                </c:pt>
                <c:pt idx="124">
                  <c:v>69.936000000000007</c:v>
                </c:pt>
                <c:pt idx="125">
                  <c:v>70.5</c:v>
                </c:pt>
                <c:pt idx="126">
                  <c:v>71.063999999999993</c:v>
                </c:pt>
                <c:pt idx="127">
                  <c:v>71.628</c:v>
                </c:pt>
                <c:pt idx="128">
                  <c:v>72.191999999999993</c:v>
                </c:pt>
                <c:pt idx="129">
                  <c:v>72.756</c:v>
                </c:pt>
                <c:pt idx="130">
                  <c:v>73.319999999999993</c:v>
                </c:pt>
                <c:pt idx="131">
                  <c:v>73.884</c:v>
                </c:pt>
                <c:pt idx="132">
                  <c:v>74.447999999999993</c:v>
                </c:pt>
                <c:pt idx="133">
                  <c:v>75.012</c:v>
                </c:pt>
                <c:pt idx="134">
                  <c:v>75.575999999999993</c:v>
                </c:pt>
                <c:pt idx="135">
                  <c:v>76.14</c:v>
                </c:pt>
                <c:pt idx="136">
                  <c:v>76.703999999999994</c:v>
                </c:pt>
                <c:pt idx="137">
                  <c:v>77.268000000000001</c:v>
                </c:pt>
                <c:pt idx="138">
                  <c:v>77.831999999999994</c:v>
                </c:pt>
                <c:pt idx="139">
                  <c:v>78.396000000000001</c:v>
                </c:pt>
                <c:pt idx="140">
                  <c:v>78.959999999999994</c:v>
                </c:pt>
                <c:pt idx="141">
                  <c:v>79.524000000000001</c:v>
                </c:pt>
                <c:pt idx="142">
                  <c:v>80.087999999999994</c:v>
                </c:pt>
                <c:pt idx="143">
                  <c:v>80.652000000000001</c:v>
                </c:pt>
                <c:pt idx="144">
                  <c:v>81.215999999999994</c:v>
                </c:pt>
                <c:pt idx="145">
                  <c:v>81.78</c:v>
                </c:pt>
                <c:pt idx="146">
                  <c:v>82.343999999999994</c:v>
                </c:pt>
                <c:pt idx="147">
                  <c:v>82.908000000000001</c:v>
                </c:pt>
                <c:pt idx="148">
                  <c:v>83.471999999999994</c:v>
                </c:pt>
                <c:pt idx="149">
                  <c:v>84.036000000000001</c:v>
                </c:pt>
                <c:pt idx="150">
                  <c:v>84.6</c:v>
                </c:pt>
                <c:pt idx="151">
                  <c:v>85.164000000000001</c:v>
                </c:pt>
                <c:pt idx="152">
                  <c:v>85.727999999999994</c:v>
                </c:pt>
                <c:pt idx="153">
                  <c:v>86.292000000000002</c:v>
                </c:pt>
                <c:pt idx="154">
                  <c:v>86.855999999999995</c:v>
                </c:pt>
                <c:pt idx="155">
                  <c:v>87.42</c:v>
                </c:pt>
                <c:pt idx="156">
                  <c:v>87.983999999999995</c:v>
                </c:pt>
                <c:pt idx="157">
                  <c:v>88.548000000000002</c:v>
                </c:pt>
                <c:pt idx="158">
                  <c:v>89.111999999999995</c:v>
                </c:pt>
                <c:pt idx="159">
                  <c:v>89.676000000000002</c:v>
                </c:pt>
                <c:pt idx="160">
                  <c:v>90.24</c:v>
                </c:pt>
                <c:pt idx="161">
                  <c:v>90.804000000000002</c:v>
                </c:pt>
                <c:pt idx="162">
                  <c:v>91.367999999999995</c:v>
                </c:pt>
                <c:pt idx="163">
                  <c:v>91.932000000000002</c:v>
                </c:pt>
                <c:pt idx="164">
                  <c:v>92.495999999999995</c:v>
                </c:pt>
                <c:pt idx="165">
                  <c:v>93.06</c:v>
                </c:pt>
                <c:pt idx="166">
                  <c:v>93.623999999999995</c:v>
                </c:pt>
                <c:pt idx="167">
                  <c:v>94.188000000000002</c:v>
                </c:pt>
                <c:pt idx="168">
                  <c:v>94.751999999999995</c:v>
                </c:pt>
                <c:pt idx="169">
                  <c:v>95.316000000000003</c:v>
                </c:pt>
                <c:pt idx="170">
                  <c:v>95.88</c:v>
                </c:pt>
                <c:pt idx="171">
                  <c:v>96.444000000000003</c:v>
                </c:pt>
                <c:pt idx="172">
                  <c:v>97.007999999999996</c:v>
                </c:pt>
                <c:pt idx="173">
                  <c:v>97.572000000000003</c:v>
                </c:pt>
                <c:pt idx="174">
                  <c:v>98.135999999999996</c:v>
                </c:pt>
                <c:pt idx="175">
                  <c:v>98.7</c:v>
                </c:pt>
                <c:pt idx="176">
                  <c:v>99.263999999999996</c:v>
                </c:pt>
                <c:pt idx="177">
                  <c:v>99.828000000000003</c:v>
                </c:pt>
                <c:pt idx="178">
                  <c:v>100.392</c:v>
                </c:pt>
                <c:pt idx="179">
                  <c:v>100.956</c:v>
                </c:pt>
                <c:pt idx="180">
                  <c:v>101.52</c:v>
                </c:pt>
                <c:pt idx="181">
                  <c:v>102.084</c:v>
                </c:pt>
                <c:pt idx="182">
                  <c:v>102.648</c:v>
                </c:pt>
                <c:pt idx="183">
                  <c:v>103.212</c:v>
                </c:pt>
                <c:pt idx="184">
                  <c:v>103.776</c:v>
                </c:pt>
                <c:pt idx="185">
                  <c:v>104.34</c:v>
                </c:pt>
                <c:pt idx="186">
                  <c:v>104.904</c:v>
                </c:pt>
                <c:pt idx="187">
                  <c:v>105.468</c:v>
                </c:pt>
                <c:pt idx="188">
                  <c:v>106.032</c:v>
                </c:pt>
                <c:pt idx="189">
                  <c:v>106.596</c:v>
                </c:pt>
                <c:pt idx="190">
                  <c:v>107.16</c:v>
                </c:pt>
                <c:pt idx="191">
                  <c:v>107.724</c:v>
                </c:pt>
                <c:pt idx="192">
                  <c:v>108.288</c:v>
                </c:pt>
                <c:pt idx="193">
                  <c:v>108.852</c:v>
                </c:pt>
                <c:pt idx="194">
                  <c:v>109.416</c:v>
                </c:pt>
                <c:pt idx="195">
                  <c:v>109.98</c:v>
                </c:pt>
                <c:pt idx="196">
                  <c:v>110.544</c:v>
                </c:pt>
                <c:pt idx="197">
                  <c:v>111.108</c:v>
                </c:pt>
                <c:pt idx="198">
                  <c:v>111.672</c:v>
                </c:pt>
                <c:pt idx="199">
                  <c:v>112.236</c:v>
                </c:pt>
                <c:pt idx="200">
                  <c:v>112.8</c:v>
                </c:pt>
                <c:pt idx="201">
                  <c:v>113.364</c:v>
                </c:pt>
                <c:pt idx="202">
                  <c:v>113.928</c:v>
                </c:pt>
                <c:pt idx="203">
                  <c:v>114.492</c:v>
                </c:pt>
                <c:pt idx="204">
                  <c:v>115.056</c:v>
                </c:pt>
                <c:pt idx="205">
                  <c:v>115.62</c:v>
                </c:pt>
                <c:pt idx="206">
                  <c:v>116.184</c:v>
                </c:pt>
                <c:pt idx="207">
                  <c:v>116.748</c:v>
                </c:pt>
                <c:pt idx="208">
                  <c:v>117.312</c:v>
                </c:pt>
                <c:pt idx="209">
                  <c:v>117.876</c:v>
                </c:pt>
                <c:pt idx="210">
                  <c:v>118.44</c:v>
                </c:pt>
                <c:pt idx="211">
                  <c:v>119.004</c:v>
                </c:pt>
                <c:pt idx="212">
                  <c:v>119.568</c:v>
                </c:pt>
                <c:pt idx="213">
                  <c:v>120.13200000000001</c:v>
                </c:pt>
                <c:pt idx="214">
                  <c:v>120.696</c:v>
                </c:pt>
                <c:pt idx="215">
                  <c:v>121.26</c:v>
                </c:pt>
                <c:pt idx="216">
                  <c:v>121.824</c:v>
                </c:pt>
                <c:pt idx="217">
                  <c:v>122.38800000000001</c:v>
                </c:pt>
                <c:pt idx="218">
                  <c:v>122.952</c:v>
                </c:pt>
                <c:pt idx="219">
                  <c:v>123.51600000000001</c:v>
                </c:pt>
                <c:pt idx="220">
                  <c:v>124.08</c:v>
                </c:pt>
                <c:pt idx="221">
                  <c:v>124.64400000000001</c:v>
                </c:pt>
                <c:pt idx="222">
                  <c:v>125.208</c:v>
                </c:pt>
                <c:pt idx="223">
                  <c:v>125.77200000000001</c:v>
                </c:pt>
                <c:pt idx="224">
                  <c:v>126.336</c:v>
                </c:pt>
                <c:pt idx="225">
                  <c:v>126.9</c:v>
                </c:pt>
                <c:pt idx="226">
                  <c:v>127.464</c:v>
                </c:pt>
                <c:pt idx="227">
                  <c:v>128.02799999999999</c:v>
                </c:pt>
                <c:pt idx="228">
                  <c:v>128.59200000000001</c:v>
                </c:pt>
                <c:pt idx="229">
                  <c:v>129.15600000000001</c:v>
                </c:pt>
                <c:pt idx="230">
                  <c:v>129.72</c:v>
                </c:pt>
                <c:pt idx="231">
                  <c:v>130.28399999999999</c:v>
                </c:pt>
                <c:pt idx="232">
                  <c:v>130.84800000000001</c:v>
                </c:pt>
                <c:pt idx="233">
                  <c:v>131.41200000000001</c:v>
                </c:pt>
                <c:pt idx="234">
                  <c:v>131.976</c:v>
                </c:pt>
                <c:pt idx="235">
                  <c:v>132.54</c:v>
                </c:pt>
                <c:pt idx="236">
                  <c:v>133.10400000000001</c:v>
                </c:pt>
                <c:pt idx="237">
                  <c:v>133.66800000000001</c:v>
                </c:pt>
                <c:pt idx="238">
                  <c:v>134.232</c:v>
                </c:pt>
                <c:pt idx="239">
                  <c:v>134.79599999999999</c:v>
                </c:pt>
                <c:pt idx="240">
                  <c:v>135.36000000000001</c:v>
                </c:pt>
                <c:pt idx="241">
                  <c:v>135.92400000000001</c:v>
                </c:pt>
                <c:pt idx="242">
                  <c:v>136.488</c:v>
                </c:pt>
                <c:pt idx="243">
                  <c:v>137.05199999999999</c:v>
                </c:pt>
                <c:pt idx="244">
                  <c:v>137.61600000000001</c:v>
                </c:pt>
                <c:pt idx="245">
                  <c:v>138.18</c:v>
                </c:pt>
                <c:pt idx="246">
                  <c:v>138.744</c:v>
                </c:pt>
                <c:pt idx="247">
                  <c:v>139.30799999999999</c:v>
                </c:pt>
                <c:pt idx="248">
                  <c:v>139.87200000000001</c:v>
                </c:pt>
                <c:pt idx="249">
                  <c:v>140.43600000000001</c:v>
                </c:pt>
                <c:pt idx="250">
                  <c:v>141</c:v>
                </c:pt>
                <c:pt idx="251">
                  <c:v>141.56399999999999</c:v>
                </c:pt>
                <c:pt idx="252">
                  <c:v>142.12799999999999</c:v>
                </c:pt>
                <c:pt idx="253">
                  <c:v>142.69200000000001</c:v>
                </c:pt>
                <c:pt idx="254">
                  <c:v>143.256</c:v>
                </c:pt>
                <c:pt idx="255">
                  <c:v>143.82</c:v>
                </c:pt>
                <c:pt idx="256">
                  <c:v>144.38399999999999</c:v>
                </c:pt>
                <c:pt idx="257">
                  <c:v>144.94800000000001</c:v>
                </c:pt>
                <c:pt idx="258">
                  <c:v>145.512</c:v>
                </c:pt>
                <c:pt idx="259">
                  <c:v>146.07599999999999</c:v>
                </c:pt>
                <c:pt idx="260">
                  <c:v>146.63999999999999</c:v>
                </c:pt>
                <c:pt idx="261">
                  <c:v>147.20400000000001</c:v>
                </c:pt>
                <c:pt idx="262">
                  <c:v>147.768</c:v>
                </c:pt>
                <c:pt idx="263">
                  <c:v>148.33199999999999</c:v>
                </c:pt>
                <c:pt idx="264">
                  <c:v>148.89599999999999</c:v>
                </c:pt>
                <c:pt idx="265">
                  <c:v>149.46</c:v>
                </c:pt>
                <c:pt idx="266">
                  <c:v>150.024</c:v>
                </c:pt>
                <c:pt idx="267">
                  <c:v>150.58799999999999</c:v>
                </c:pt>
                <c:pt idx="268">
                  <c:v>151.15199999999999</c:v>
                </c:pt>
                <c:pt idx="269">
                  <c:v>151.71600000000001</c:v>
                </c:pt>
                <c:pt idx="270">
                  <c:v>152.28</c:v>
                </c:pt>
                <c:pt idx="271">
                  <c:v>152.84399999999999</c:v>
                </c:pt>
                <c:pt idx="272">
                  <c:v>153.40799999999999</c:v>
                </c:pt>
                <c:pt idx="273">
                  <c:v>153.97200000000001</c:v>
                </c:pt>
                <c:pt idx="274">
                  <c:v>154.536</c:v>
                </c:pt>
                <c:pt idx="275">
                  <c:v>155.1</c:v>
                </c:pt>
                <c:pt idx="276">
                  <c:v>155.66399999999999</c:v>
                </c:pt>
                <c:pt idx="277">
                  <c:v>156.22800000000001</c:v>
                </c:pt>
                <c:pt idx="278">
                  <c:v>156.792</c:v>
                </c:pt>
                <c:pt idx="279">
                  <c:v>157.35599999999999</c:v>
                </c:pt>
                <c:pt idx="280">
                  <c:v>157.91999999999999</c:v>
                </c:pt>
                <c:pt idx="281">
                  <c:v>158.48400000000001</c:v>
                </c:pt>
                <c:pt idx="282">
                  <c:v>159.048</c:v>
                </c:pt>
                <c:pt idx="283">
                  <c:v>159.61199999999999</c:v>
                </c:pt>
                <c:pt idx="284">
                  <c:v>160.17599999999999</c:v>
                </c:pt>
                <c:pt idx="285">
                  <c:v>160.74</c:v>
                </c:pt>
                <c:pt idx="286">
                  <c:v>161.304</c:v>
                </c:pt>
                <c:pt idx="287">
                  <c:v>161.86799999999999</c:v>
                </c:pt>
                <c:pt idx="288">
                  <c:v>162.43199999999999</c:v>
                </c:pt>
                <c:pt idx="289">
                  <c:v>162.99600000000001</c:v>
                </c:pt>
                <c:pt idx="290">
                  <c:v>163.56</c:v>
                </c:pt>
                <c:pt idx="291">
                  <c:v>164.124</c:v>
                </c:pt>
                <c:pt idx="292">
                  <c:v>164.68799999999999</c:v>
                </c:pt>
                <c:pt idx="293">
                  <c:v>165.25200000000001</c:v>
                </c:pt>
                <c:pt idx="294">
                  <c:v>165.816</c:v>
                </c:pt>
                <c:pt idx="295">
                  <c:v>166.38</c:v>
                </c:pt>
                <c:pt idx="296">
                  <c:v>166.94399999999999</c:v>
                </c:pt>
                <c:pt idx="297">
                  <c:v>167.50800000000001</c:v>
                </c:pt>
                <c:pt idx="298">
                  <c:v>168.072</c:v>
                </c:pt>
                <c:pt idx="299">
                  <c:v>168.636</c:v>
                </c:pt>
                <c:pt idx="300">
                  <c:v>169.2</c:v>
                </c:pt>
                <c:pt idx="301">
                  <c:v>169.76400000000001</c:v>
                </c:pt>
                <c:pt idx="302">
                  <c:v>170.328</c:v>
                </c:pt>
                <c:pt idx="303">
                  <c:v>170.892</c:v>
                </c:pt>
                <c:pt idx="304">
                  <c:v>171.45599999999999</c:v>
                </c:pt>
                <c:pt idx="305">
                  <c:v>172.02</c:v>
                </c:pt>
                <c:pt idx="306">
                  <c:v>172.584</c:v>
                </c:pt>
                <c:pt idx="307">
                  <c:v>173.148</c:v>
                </c:pt>
                <c:pt idx="308">
                  <c:v>173.71199999999999</c:v>
                </c:pt>
                <c:pt idx="309">
                  <c:v>174.27600000000001</c:v>
                </c:pt>
                <c:pt idx="310">
                  <c:v>174.84</c:v>
                </c:pt>
                <c:pt idx="311">
                  <c:v>175.404</c:v>
                </c:pt>
                <c:pt idx="312">
                  <c:v>175.96799999999999</c:v>
                </c:pt>
                <c:pt idx="313">
                  <c:v>176.53200000000001</c:v>
                </c:pt>
                <c:pt idx="314">
                  <c:v>177.096</c:v>
                </c:pt>
                <c:pt idx="315">
                  <c:v>177.66</c:v>
                </c:pt>
                <c:pt idx="316">
                  <c:v>178.22399999999999</c:v>
                </c:pt>
                <c:pt idx="317">
                  <c:v>178.78800000000001</c:v>
                </c:pt>
                <c:pt idx="318">
                  <c:v>179.352</c:v>
                </c:pt>
                <c:pt idx="319">
                  <c:v>179.916</c:v>
                </c:pt>
                <c:pt idx="320">
                  <c:v>180.48</c:v>
                </c:pt>
                <c:pt idx="321">
                  <c:v>181.04400000000001</c:v>
                </c:pt>
                <c:pt idx="322">
                  <c:v>181.608</c:v>
                </c:pt>
                <c:pt idx="323">
                  <c:v>182.172</c:v>
                </c:pt>
                <c:pt idx="324">
                  <c:v>182.73599999999999</c:v>
                </c:pt>
                <c:pt idx="325">
                  <c:v>183.3</c:v>
                </c:pt>
                <c:pt idx="326">
                  <c:v>183.864</c:v>
                </c:pt>
                <c:pt idx="327">
                  <c:v>184.428</c:v>
                </c:pt>
                <c:pt idx="328">
                  <c:v>184.99199999999999</c:v>
                </c:pt>
                <c:pt idx="329">
                  <c:v>185.55600000000001</c:v>
                </c:pt>
                <c:pt idx="330">
                  <c:v>186.12</c:v>
                </c:pt>
                <c:pt idx="331">
                  <c:v>186.684</c:v>
                </c:pt>
                <c:pt idx="332">
                  <c:v>187.24799999999999</c:v>
                </c:pt>
                <c:pt idx="333">
                  <c:v>187.81200000000001</c:v>
                </c:pt>
                <c:pt idx="334">
                  <c:v>188.376</c:v>
                </c:pt>
                <c:pt idx="335">
                  <c:v>188.94</c:v>
                </c:pt>
                <c:pt idx="336">
                  <c:v>189.50399999999999</c:v>
                </c:pt>
                <c:pt idx="337">
                  <c:v>190.06800000000001</c:v>
                </c:pt>
                <c:pt idx="338">
                  <c:v>190.63200000000001</c:v>
                </c:pt>
                <c:pt idx="339">
                  <c:v>191.196</c:v>
                </c:pt>
                <c:pt idx="340">
                  <c:v>191.76</c:v>
                </c:pt>
                <c:pt idx="341">
                  <c:v>192.32400000000001</c:v>
                </c:pt>
                <c:pt idx="342">
                  <c:v>192.88800000000001</c:v>
                </c:pt>
                <c:pt idx="343">
                  <c:v>193.452</c:v>
                </c:pt>
                <c:pt idx="344">
                  <c:v>194.01599999999999</c:v>
                </c:pt>
                <c:pt idx="345">
                  <c:v>194.58</c:v>
                </c:pt>
                <c:pt idx="346">
                  <c:v>195.14400000000001</c:v>
                </c:pt>
                <c:pt idx="347">
                  <c:v>195.708</c:v>
                </c:pt>
                <c:pt idx="348">
                  <c:v>196.27199999999999</c:v>
                </c:pt>
                <c:pt idx="349">
                  <c:v>196.83600000000001</c:v>
                </c:pt>
                <c:pt idx="350">
                  <c:v>197.4</c:v>
                </c:pt>
                <c:pt idx="351">
                  <c:v>197.964</c:v>
                </c:pt>
                <c:pt idx="352">
                  <c:v>198.52799999999999</c:v>
                </c:pt>
                <c:pt idx="353">
                  <c:v>199.09200000000001</c:v>
                </c:pt>
                <c:pt idx="354">
                  <c:v>199.65600000000001</c:v>
                </c:pt>
                <c:pt idx="355">
                  <c:v>200.22</c:v>
                </c:pt>
                <c:pt idx="356">
                  <c:v>200.78399999999999</c:v>
                </c:pt>
                <c:pt idx="357">
                  <c:v>201.34800000000001</c:v>
                </c:pt>
                <c:pt idx="358">
                  <c:v>201.91200000000001</c:v>
                </c:pt>
                <c:pt idx="359">
                  <c:v>202.476</c:v>
                </c:pt>
                <c:pt idx="360">
                  <c:v>203.04</c:v>
                </c:pt>
                <c:pt idx="361">
                  <c:v>203.60400000000001</c:v>
                </c:pt>
                <c:pt idx="362">
                  <c:v>204.16800000000001</c:v>
                </c:pt>
                <c:pt idx="363">
                  <c:v>204.732</c:v>
                </c:pt>
                <c:pt idx="364">
                  <c:v>205.29599999999999</c:v>
                </c:pt>
                <c:pt idx="365">
                  <c:v>205.86</c:v>
                </c:pt>
                <c:pt idx="366">
                  <c:v>206.42400000000001</c:v>
                </c:pt>
                <c:pt idx="367">
                  <c:v>206.988</c:v>
                </c:pt>
                <c:pt idx="368">
                  <c:v>207.55199999999999</c:v>
                </c:pt>
                <c:pt idx="369">
                  <c:v>208.11600000000001</c:v>
                </c:pt>
                <c:pt idx="370">
                  <c:v>208.68</c:v>
                </c:pt>
                <c:pt idx="371">
                  <c:v>209.244</c:v>
                </c:pt>
                <c:pt idx="372">
                  <c:v>209.80799999999999</c:v>
                </c:pt>
                <c:pt idx="373">
                  <c:v>210.37200000000001</c:v>
                </c:pt>
                <c:pt idx="374">
                  <c:v>210.93600000000001</c:v>
                </c:pt>
                <c:pt idx="375">
                  <c:v>211.5</c:v>
                </c:pt>
                <c:pt idx="376">
                  <c:v>212.06399999999999</c:v>
                </c:pt>
                <c:pt idx="377">
                  <c:v>212.62799999999999</c:v>
                </c:pt>
                <c:pt idx="378">
                  <c:v>213.19200000000001</c:v>
                </c:pt>
                <c:pt idx="379">
                  <c:v>213.756</c:v>
                </c:pt>
                <c:pt idx="380">
                  <c:v>214.32</c:v>
                </c:pt>
                <c:pt idx="381">
                  <c:v>214.88399999999999</c:v>
                </c:pt>
                <c:pt idx="382">
                  <c:v>215.44800000000001</c:v>
                </c:pt>
                <c:pt idx="383">
                  <c:v>216.012</c:v>
                </c:pt>
                <c:pt idx="384">
                  <c:v>216.57599999999999</c:v>
                </c:pt>
                <c:pt idx="385">
                  <c:v>217.14</c:v>
                </c:pt>
                <c:pt idx="386">
                  <c:v>217.70400000000001</c:v>
                </c:pt>
                <c:pt idx="387">
                  <c:v>218.268</c:v>
                </c:pt>
                <c:pt idx="388">
                  <c:v>218.83199999999999</c:v>
                </c:pt>
                <c:pt idx="389">
                  <c:v>219.39599999999999</c:v>
                </c:pt>
                <c:pt idx="390">
                  <c:v>219.96</c:v>
                </c:pt>
                <c:pt idx="391">
                  <c:v>220.524</c:v>
                </c:pt>
                <c:pt idx="392">
                  <c:v>221.08799999999999</c:v>
                </c:pt>
                <c:pt idx="393">
                  <c:v>221.65199999999999</c:v>
                </c:pt>
                <c:pt idx="394">
                  <c:v>222.21600000000001</c:v>
                </c:pt>
                <c:pt idx="395">
                  <c:v>222.78</c:v>
                </c:pt>
                <c:pt idx="396">
                  <c:v>223.34399999999999</c:v>
                </c:pt>
                <c:pt idx="397">
                  <c:v>223.90799999999999</c:v>
                </c:pt>
                <c:pt idx="398">
                  <c:v>224.47200000000001</c:v>
                </c:pt>
                <c:pt idx="399">
                  <c:v>225.036</c:v>
                </c:pt>
                <c:pt idx="400">
                  <c:v>225.6</c:v>
                </c:pt>
                <c:pt idx="401">
                  <c:v>226.16399999999999</c:v>
                </c:pt>
                <c:pt idx="402">
                  <c:v>226.72800000000001</c:v>
                </c:pt>
                <c:pt idx="403">
                  <c:v>227.292</c:v>
                </c:pt>
                <c:pt idx="404">
                  <c:v>227.85599999999999</c:v>
                </c:pt>
                <c:pt idx="405">
                  <c:v>228.42</c:v>
                </c:pt>
                <c:pt idx="406">
                  <c:v>228.98400000000001</c:v>
                </c:pt>
                <c:pt idx="407">
                  <c:v>229.548</c:v>
                </c:pt>
                <c:pt idx="408">
                  <c:v>230.11199999999999</c:v>
                </c:pt>
                <c:pt idx="409">
                  <c:v>230.67599999999999</c:v>
                </c:pt>
                <c:pt idx="410">
                  <c:v>231.24</c:v>
                </c:pt>
                <c:pt idx="411">
                  <c:v>231.804</c:v>
                </c:pt>
                <c:pt idx="412">
                  <c:v>232.36799999999999</c:v>
                </c:pt>
                <c:pt idx="413">
                  <c:v>232.93199999999999</c:v>
                </c:pt>
                <c:pt idx="414">
                  <c:v>233.49600000000001</c:v>
                </c:pt>
                <c:pt idx="415">
                  <c:v>234.06</c:v>
                </c:pt>
                <c:pt idx="416">
                  <c:v>234.624</c:v>
                </c:pt>
                <c:pt idx="417">
                  <c:v>235.18799999999999</c:v>
                </c:pt>
                <c:pt idx="418">
                  <c:v>235.75200000000001</c:v>
                </c:pt>
                <c:pt idx="419">
                  <c:v>236.316</c:v>
                </c:pt>
                <c:pt idx="420">
                  <c:v>236.88</c:v>
                </c:pt>
                <c:pt idx="421">
                  <c:v>237.44399999999999</c:v>
                </c:pt>
                <c:pt idx="422">
                  <c:v>238.00800000000001</c:v>
                </c:pt>
                <c:pt idx="423">
                  <c:v>238.572</c:v>
                </c:pt>
                <c:pt idx="424">
                  <c:v>239.136</c:v>
                </c:pt>
                <c:pt idx="425">
                  <c:v>239.7</c:v>
                </c:pt>
                <c:pt idx="426">
                  <c:v>240.26400000000001</c:v>
                </c:pt>
                <c:pt idx="427">
                  <c:v>240.828</c:v>
                </c:pt>
                <c:pt idx="428">
                  <c:v>241.392</c:v>
                </c:pt>
                <c:pt idx="429">
                  <c:v>241.95599999999999</c:v>
                </c:pt>
                <c:pt idx="430">
                  <c:v>242.52</c:v>
                </c:pt>
                <c:pt idx="431">
                  <c:v>243.084</c:v>
                </c:pt>
                <c:pt idx="432">
                  <c:v>243.648</c:v>
                </c:pt>
                <c:pt idx="433">
                  <c:v>244.21199999999999</c:v>
                </c:pt>
                <c:pt idx="434">
                  <c:v>244.77600000000001</c:v>
                </c:pt>
                <c:pt idx="435">
                  <c:v>245.34</c:v>
                </c:pt>
                <c:pt idx="436">
                  <c:v>245.904</c:v>
                </c:pt>
                <c:pt idx="437">
                  <c:v>246.46799999999999</c:v>
                </c:pt>
                <c:pt idx="438">
                  <c:v>247.03200000000001</c:v>
                </c:pt>
                <c:pt idx="439">
                  <c:v>247.596</c:v>
                </c:pt>
                <c:pt idx="440">
                  <c:v>248.16</c:v>
                </c:pt>
                <c:pt idx="441">
                  <c:v>248.72399999999999</c:v>
                </c:pt>
                <c:pt idx="442">
                  <c:v>249.28800000000001</c:v>
                </c:pt>
                <c:pt idx="443">
                  <c:v>249.852</c:v>
                </c:pt>
                <c:pt idx="444">
                  <c:v>250.416</c:v>
                </c:pt>
                <c:pt idx="445">
                  <c:v>250.98</c:v>
                </c:pt>
                <c:pt idx="446">
                  <c:v>251.54400000000001</c:v>
                </c:pt>
                <c:pt idx="447">
                  <c:v>252.108</c:v>
                </c:pt>
                <c:pt idx="448">
                  <c:v>252.672</c:v>
                </c:pt>
                <c:pt idx="449">
                  <c:v>253.23599999999999</c:v>
                </c:pt>
                <c:pt idx="450">
                  <c:v>253.8</c:v>
                </c:pt>
                <c:pt idx="451">
                  <c:v>254.364</c:v>
                </c:pt>
                <c:pt idx="452">
                  <c:v>254.928</c:v>
                </c:pt>
                <c:pt idx="453">
                  <c:v>255.49199999999999</c:v>
                </c:pt>
                <c:pt idx="454">
                  <c:v>256.05599999999998</c:v>
                </c:pt>
                <c:pt idx="455">
                  <c:v>256.62</c:v>
                </c:pt>
                <c:pt idx="456">
                  <c:v>257.18400000000003</c:v>
                </c:pt>
                <c:pt idx="457">
                  <c:v>257.74799999999999</c:v>
                </c:pt>
                <c:pt idx="458">
                  <c:v>258.31200000000001</c:v>
                </c:pt>
                <c:pt idx="459">
                  <c:v>258.87599999999998</c:v>
                </c:pt>
                <c:pt idx="460">
                  <c:v>259.44</c:v>
                </c:pt>
                <c:pt idx="461">
                  <c:v>260.00400000000002</c:v>
                </c:pt>
                <c:pt idx="462">
                  <c:v>260.56799999999998</c:v>
                </c:pt>
                <c:pt idx="463">
                  <c:v>261.13200000000001</c:v>
                </c:pt>
                <c:pt idx="464">
                  <c:v>261.69600000000003</c:v>
                </c:pt>
                <c:pt idx="465">
                  <c:v>262.26</c:v>
                </c:pt>
                <c:pt idx="466">
                  <c:v>262.82400000000001</c:v>
                </c:pt>
                <c:pt idx="467">
                  <c:v>263.38799999999998</c:v>
                </c:pt>
                <c:pt idx="468">
                  <c:v>263.952</c:v>
                </c:pt>
                <c:pt idx="469">
                  <c:v>264.51600000000002</c:v>
                </c:pt>
                <c:pt idx="470">
                  <c:v>265.08</c:v>
                </c:pt>
                <c:pt idx="471">
                  <c:v>265.64400000000001</c:v>
                </c:pt>
                <c:pt idx="472">
                  <c:v>266.20800000000003</c:v>
                </c:pt>
                <c:pt idx="473">
                  <c:v>266.77199999999999</c:v>
                </c:pt>
                <c:pt idx="474">
                  <c:v>267.33600000000001</c:v>
                </c:pt>
                <c:pt idx="475">
                  <c:v>267.89999999999998</c:v>
                </c:pt>
                <c:pt idx="476">
                  <c:v>268.464</c:v>
                </c:pt>
                <c:pt idx="477">
                  <c:v>269.02800000000002</c:v>
                </c:pt>
                <c:pt idx="478">
                  <c:v>269.59199999999998</c:v>
                </c:pt>
                <c:pt idx="479">
                  <c:v>270.15600000000001</c:v>
                </c:pt>
                <c:pt idx="480">
                  <c:v>270.72000000000003</c:v>
                </c:pt>
                <c:pt idx="481">
                  <c:v>271.28399999999999</c:v>
                </c:pt>
                <c:pt idx="482">
                  <c:v>271.84800000000001</c:v>
                </c:pt>
                <c:pt idx="483">
                  <c:v>272.41199999999998</c:v>
                </c:pt>
                <c:pt idx="484">
                  <c:v>272.976</c:v>
                </c:pt>
                <c:pt idx="485">
                  <c:v>273.54000000000002</c:v>
                </c:pt>
                <c:pt idx="486">
                  <c:v>274.10399999999998</c:v>
                </c:pt>
                <c:pt idx="487">
                  <c:v>274.66800000000001</c:v>
                </c:pt>
                <c:pt idx="488">
                  <c:v>275.23200000000003</c:v>
                </c:pt>
                <c:pt idx="489">
                  <c:v>275.79599999999999</c:v>
                </c:pt>
                <c:pt idx="490">
                  <c:v>276.36</c:v>
                </c:pt>
                <c:pt idx="491">
                  <c:v>276.92399999999998</c:v>
                </c:pt>
                <c:pt idx="492">
                  <c:v>277.488</c:v>
                </c:pt>
                <c:pt idx="493">
                  <c:v>278.05200000000002</c:v>
                </c:pt>
                <c:pt idx="494">
                  <c:v>278.61599999999999</c:v>
                </c:pt>
                <c:pt idx="495">
                  <c:v>279.18</c:v>
                </c:pt>
                <c:pt idx="496">
                  <c:v>279.74400000000003</c:v>
                </c:pt>
                <c:pt idx="497">
                  <c:v>280.30799999999999</c:v>
                </c:pt>
                <c:pt idx="498">
                  <c:v>280.87200000000001</c:v>
                </c:pt>
                <c:pt idx="499">
                  <c:v>281.43599999999998</c:v>
                </c:pt>
                <c:pt idx="500">
                  <c:v>282</c:v>
                </c:pt>
                <c:pt idx="501">
                  <c:v>282.56400000000002</c:v>
                </c:pt>
                <c:pt idx="502">
                  <c:v>283.12799999999999</c:v>
                </c:pt>
                <c:pt idx="503">
                  <c:v>283.69200000000001</c:v>
                </c:pt>
                <c:pt idx="504">
                  <c:v>284.25599999999997</c:v>
                </c:pt>
                <c:pt idx="505">
                  <c:v>284.82</c:v>
                </c:pt>
                <c:pt idx="506">
                  <c:v>285.38400000000001</c:v>
                </c:pt>
                <c:pt idx="507">
                  <c:v>285.94799999999998</c:v>
                </c:pt>
                <c:pt idx="508">
                  <c:v>286.512</c:v>
                </c:pt>
                <c:pt idx="509">
                  <c:v>287.07600000000002</c:v>
                </c:pt>
                <c:pt idx="510">
                  <c:v>287.64</c:v>
                </c:pt>
                <c:pt idx="511">
                  <c:v>288.20400000000001</c:v>
                </c:pt>
                <c:pt idx="512">
                  <c:v>288.76799999999997</c:v>
                </c:pt>
                <c:pt idx="513">
                  <c:v>289.33199999999999</c:v>
                </c:pt>
                <c:pt idx="514">
                  <c:v>289.89600000000002</c:v>
                </c:pt>
                <c:pt idx="515">
                  <c:v>290.45999999999998</c:v>
                </c:pt>
                <c:pt idx="516">
                  <c:v>291.024</c:v>
                </c:pt>
                <c:pt idx="517">
                  <c:v>291.58800000000002</c:v>
                </c:pt>
                <c:pt idx="518">
                  <c:v>292.15199999999999</c:v>
                </c:pt>
                <c:pt idx="519">
                  <c:v>292.71600000000001</c:v>
                </c:pt>
                <c:pt idx="520">
                  <c:v>293.27999999999997</c:v>
                </c:pt>
                <c:pt idx="521">
                  <c:v>293.84399999999999</c:v>
                </c:pt>
                <c:pt idx="522">
                  <c:v>294.40800000000002</c:v>
                </c:pt>
                <c:pt idx="523">
                  <c:v>294.97199999999998</c:v>
                </c:pt>
                <c:pt idx="524">
                  <c:v>295.536</c:v>
                </c:pt>
                <c:pt idx="525">
                  <c:v>296.10000000000002</c:v>
                </c:pt>
                <c:pt idx="526">
                  <c:v>296.66399999999999</c:v>
                </c:pt>
                <c:pt idx="527">
                  <c:v>297.22800000000001</c:v>
                </c:pt>
                <c:pt idx="528">
                  <c:v>297.79199999999997</c:v>
                </c:pt>
                <c:pt idx="529">
                  <c:v>298.35599999999999</c:v>
                </c:pt>
                <c:pt idx="530">
                  <c:v>298.92</c:v>
                </c:pt>
                <c:pt idx="531">
                  <c:v>299.48399999999998</c:v>
                </c:pt>
                <c:pt idx="532">
                  <c:v>300.048</c:v>
                </c:pt>
                <c:pt idx="533">
                  <c:v>300.61200000000002</c:v>
                </c:pt>
                <c:pt idx="534">
                  <c:v>301.17599999999999</c:v>
                </c:pt>
                <c:pt idx="535">
                  <c:v>301.74</c:v>
                </c:pt>
                <c:pt idx="536">
                  <c:v>302.30399999999997</c:v>
                </c:pt>
                <c:pt idx="537">
                  <c:v>302.86799999999999</c:v>
                </c:pt>
                <c:pt idx="538">
                  <c:v>303.43200000000002</c:v>
                </c:pt>
                <c:pt idx="539">
                  <c:v>303.99599999999998</c:v>
                </c:pt>
                <c:pt idx="540">
                  <c:v>304.56</c:v>
                </c:pt>
                <c:pt idx="541">
                  <c:v>305.12400000000002</c:v>
                </c:pt>
                <c:pt idx="542">
                  <c:v>305.68799999999999</c:v>
                </c:pt>
                <c:pt idx="543">
                  <c:v>306.25200000000001</c:v>
                </c:pt>
                <c:pt idx="544">
                  <c:v>306.81599999999997</c:v>
                </c:pt>
                <c:pt idx="545">
                  <c:v>307.38</c:v>
                </c:pt>
                <c:pt idx="546">
                  <c:v>307.94400000000002</c:v>
                </c:pt>
                <c:pt idx="547">
                  <c:v>308.50799999999998</c:v>
                </c:pt>
                <c:pt idx="548">
                  <c:v>309.072</c:v>
                </c:pt>
                <c:pt idx="549">
                  <c:v>309.63600000000002</c:v>
                </c:pt>
                <c:pt idx="550">
                  <c:v>310.2</c:v>
                </c:pt>
                <c:pt idx="551">
                  <c:v>310.76400000000001</c:v>
                </c:pt>
                <c:pt idx="552">
                  <c:v>311.32799999999997</c:v>
                </c:pt>
                <c:pt idx="553">
                  <c:v>311.892</c:v>
                </c:pt>
                <c:pt idx="554">
                  <c:v>312.45600000000002</c:v>
                </c:pt>
                <c:pt idx="555">
                  <c:v>313.02</c:v>
                </c:pt>
                <c:pt idx="556">
                  <c:v>313.584</c:v>
                </c:pt>
                <c:pt idx="557">
                  <c:v>314.14800000000002</c:v>
                </c:pt>
                <c:pt idx="558">
                  <c:v>314.71199999999999</c:v>
                </c:pt>
                <c:pt idx="559">
                  <c:v>315.27600000000001</c:v>
                </c:pt>
                <c:pt idx="560">
                  <c:v>315.83999999999997</c:v>
                </c:pt>
                <c:pt idx="561">
                  <c:v>316.404</c:v>
                </c:pt>
                <c:pt idx="562">
                  <c:v>316.96800000000002</c:v>
                </c:pt>
                <c:pt idx="563">
                  <c:v>317.53199999999998</c:v>
                </c:pt>
                <c:pt idx="564">
                  <c:v>318.096</c:v>
                </c:pt>
                <c:pt idx="565">
                  <c:v>318.66000000000003</c:v>
                </c:pt>
                <c:pt idx="566">
                  <c:v>319.22399999999999</c:v>
                </c:pt>
                <c:pt idx="567">
                  <c:v>319.78800000000001</c:v>
                </c:pt>
                <c:pt idx="568">
                  <c:v>320.35199999999998</c:v>
                </c:pt>
                <c:pt idx="569">
                  <c:v>320.916</c:v>
                </c:pt>
                <c:pt idx="570">
                  <c:v>321.48</c:v>
                </c:pt>
                <c:pt idx="571">
                  <c:v>322.04399999999998</c:v>
                </c:pt>
                <c:pt idx="572">
                  <c:v>322.608</c:v>
                </c:pt>
                <c:pt idx="573">
                  <c:v>323.17200000000003</c:v>
                </c:pt>
                <c:pt idx="574">
                  <c:v>323.73599999999999</c:v>
                </c:pt>
                <c:pt idx="575">
                  <c:v>324.3</c:v>
                </c:pt>
                <c:pt idx="576">
                  <c:v>324.86399999999998</c:v>
                </c:pt>
                <c:pt idx="577">
                  <c:v>325.428</c:v>
                </c:pt>
                <c:pt idx="578">
                  <c:v>325.99200000000002</c:v>
                </c:pt>
                <c:pt idx="579">
                  <c:v>326.55599999999998</c:v>
                </c:pt>
                <c:pt idx="580">
                  <c:v>327.12</c:v>
                </c:pt>
                <c:pt idx="581">
                  <c:v>327.68400000000003</c:v>
                </c:pt>
                <c:pt idx="582">
                  <c:v>328.24799999999999</c:v>
                </c:pt>
                <c:pt idx="583">
                  <c:v>328.81200000000001</c:v>
                </c:pt>
                <c:pt idx="584">
                  <c:v>329.37599999999998</c:v>
                </c:pt>
                <c:pt idx="585">
                  <c:v>329.94</c:v>
                </c:pt>
                <c:pt idx="586">
                  <c:v>330.50400000000002</c:v>
                </c:pt>
                <c:pt idx="587">
                  <c:v>331.06799999999998</c:v>
                </c:pt>
                <c:pt idx="588">
                  <c:v>331.63200000000001</c:v>
                </c:pt>
                <c:pt idx="589">
                  <c:v>332.19600000000003</c:v>
                </c:pt>
                <c:pt idx="590">
                  <c:v>332.76</c:v>
                </c:pt>
                <c:pt idx="591">
                  <c:v>333.32400000000001</c:v>
                </c:pt>
                <c:pt idx="592">
                  <c:v>333.88799999999998</c:v>
                </c:pt>
                <c:pt idx="593">
                  <c:v>334.452</c:v>
                </c:pt>
                <c:pt idx="594">
                  <c:v>335.01600000000002</c:v>
                </c:pt>
                <c:pt idx="595">
                  <c:v>335.58</c:v>
                </c:pt>
                <c:pt idx="596">
                  <c:v>336.14400000000001</c:v>
                </c:pt>
                <c:pt idx="597">
                  <c:v>336.70800000000003</c:v>
                </c:pt>
                <c:pt idx="598">
                  <c:v>337.27199999999999</c:v>
                </c:pt>
                <c:pt idx="599">
                  <c:v>337.83600000000001</c:v>
                </c:pt>
                <c:pt idx="600">
                  <c:v>338.4</c:v>
                </c:pt>
                <c:pt idx="601">
                  <c:v>338.964</c:v>
                </c:pt>
                <c:pt idx="602">
                  <c:v>339.52800000000002</c:v>
                </c:pt>
                <c:pt idx="603">
                  <c:v>340.09199999999998</c:v>
                </c:pt>
                <c:pt idx="604">
                  <c:v>340.65600000000001</c:v>
                </c:pt>
                <c:pt idx="605">
                  <c:v>341.22</c:v>
                </c:pt>
                <c:pt idx="606">
                  <c:v>341.78399999999999</c:v>
                </c:pt>
                <c:pt idx="607">
                  <c:v>342.34800000000001</c:v>
                </c:pt>
                <c:pt idx="608">
                  <c:v>342.91199999999998</c:v>
                </c:pt>
                <c:pt idx="609">
                  <c:v>343.476</c:v>
                </c:pt>
                <c:pt idx="610">
                  <c:v>344.04</c:v>
                </c:pt>
                <c:pt idx="611">
                  <c:v>344.60399999999998</c:v>
                </c:pt>
                <c:pt idx="612">
                  <c:v>345.16800000000001</c:v>
                </c:pt>
                <c:pt idx="613">
                  <c:v>345.73200000000003</c:v>
                </c:pt>
                <c:pt idx="614">
                  <c:v>346.29599999999999</c:v>
                </c:pt>
                <c:pt idx="615">
                  <c:v>346.86</c:v>
                </c:pt>
                <c:pt idx="616">
                  <c:v>347.42399999999998</c:v>
                </c:pt>
                <c:pt idx="617">
                  <c:v>347.988</c:v>
                </c:pt>
                <c:pt idx="618">
                  <c:v>348.55200000000002</c:v>
                </c:pt>
                <c:pt idx="619">
                  <c:v>349.11599999999999</c:v>
                </c:pt>
                <c:pt idx="620">
                  <c:v>349.68</c:v>
                </c:pt>
                <c:pt idx="621">
                  <c:v>350.24400000000003</c:v>
                </c:pt>
                <c:pt idx="622">
                  <c:v>350.80799999999999</c:v>
                </c:pt>
                <c:pt idx="623">
                  <c:v>351.37200000000001</c:v>
                </c:pt>
                <c:pt idx="624">
                  <c:v>351.93599999999998</c:v>
                </c:pt>
                <c:pt idx="625">
                  <c:v>352.5</c:v>
                </c:pt>
                <c:pt idx="626">
                  <c:v>353.06400000000002</c:v>
                </c:pt>
                <c:pt idx="627">
                  <c:v>353.62799999999999</c:v>
                </c:pt>
                <c:pt idx="628">
                  <c:v>354.19200000000001</c:v>
                </c:pt>
                <c:pt idx="629">
                  <c:v>354.75599999999997</c:v>
                </c:pt>
                <c:pt idx="630">
                  <c:v>355.32</c:v>
                </c:pt>
                <c:pt idx="631">
                  <c:v>355.88400000000001</c:v>
                </c:pt>
                <c:pt idx="632">
                  <c:v>356.44799999999998</c:v>
                </c:pt>
                <c:pt idx="633">
                  <c:v>357.012</c:v>
                </c:pt>
                <c:pt idx="634">
                  <c:v>357.57600000000002</c:v>
                </c:pt>
                <c:pt idx="635">
                  <c:v>358.14</c:v>
                </c:pt>
                <c:pt idx="636">
                  <c:v>358.70400000000001</c:v>
                </c:pt>
                <c:pt idx="637">
                  <c:v>359.26799999999997</c:v>
                </c:pt>
                <c:pt idx="638">
                  <c:v>359.83199999999999</c:v>
                </c:pt>
                <c:pt idx="639">
                  <c:v>360.39600000000002</c:v>
                </c:pt>
                <c:pt idx="640">
                  <c:v>360.96</c:v>
                </c:pt>
                <c:pt idx="641">
                  <c:v>361.524</c:v>
                </c:pt>
                <c:pt idx="642">
                  <c:v>362.08800000000002</c:v>
                </c:pt>
                <c:pt idx="643">
                  <c:v>362.65199999999999</c:v>
                </c:pt>
                <c:pt idx="644">
                  <c:v>363.21600000000001</c:v>
                </c:pt>
                <c:pt idx="645">
                  <c:v>363.78</c:v>
                </c:pt>
                <c:pt idx="646">
                  <c:v>364.34399999999999</c:v>
                </c:pt>
                <c:pt idx="647">
                  <c:v>364.90800000000002</c:v>
                </c:pt>
                <c:pt idx="648">
                  <c:v>365.47199999999998</c:v>
                </c:pt>
                <c:pt idx="649">
                  <c:v>366.036</c:v>
                </c:pt>
                <c:pt idx="650">
                  <c:v>366.6</c:v>
                </c:pt>
                <c:pt idx="651">
                  <c:v>367.16399999999999</c:v>
                </c:pt>
                <c:pt idx="652">
                  <c:v>367.72800000000001</c:v>
                </c:pt>
                <c:pt idx="653">
                  <c:v>368.29199999999997</c:v>
                </c:pt>
                <c:pt idx="654">
                  <c:v>368.85599999999999</c:v>
                </c:pt>
                <c:pt idx="655">
                  <c:v>369.42</c:v>
                </c:pt>
                <c:pt idx="656">
                  <c:v>369.98399999999998</c:v>
                </c:pt>
                <c:pt idx="657">
                  <c:v>370.548</c:v>
                </c:pt>
                <c:pt idx="658">
                  <c:v>371.11200000000002</c:v>
                </c:pt>
                <c:pt idx="659">
                  <c:v>371.67599999999999</c:v>
                </c:pt>
                <c:pt idx="660">
                  <c:v>372.24</c:v>
                </c:pt>
                <c:pt idx="661">
                  <c:v>372.80399999999997</c:v>
                </c:pt>
                <c:pt idx="662">
                  <c:v>373.36799999999999</c:v>
                </c:pt>
                <c:pt idx="663">
                  <c:v>373.93200000000002</c:v>
                </c:pt>
                <c:pt idx="664">
                  <c:v>374.49599999999998</c:v>
                </c:pt>
                <c:pt idx="665">
                  <c:v>375.06</c:v>
                </c:pt>
                <c:pt idx="666">
                  <c:v>375.62400000000002</c:v>
                </c:pt>
                <c:pt idx="667">
                  <c:v>376.18799999999999</c:v>
                </c:pt>
                <c:pt idx="668">
                  <c:v>376.75200000000001</c:v>
                </c:pt>
                <c:pt idx="669">
                  <c:v>377.31599999999997</c:v>
                </c:pt>
                <c:pt idx="670">
                  <c:v>377.88</c:v>
                </c:pt>
                <c:pt idx="671">
                  <c:v>378.44400000000002</c:v>
                </c:pt>
                <c:pt idx="672">
                  <c:v>379.00799999999998</c:v>
                </c:pt>
                <c:pt idx="673">
                  <c:v>379.572</c:v>
                </c:pt>
                <c:pt idx="674">
                  <c:v>380.13600000000002</c:v>
                </c:pt>
                <c:pt idx="675">
                  <c:v>380.7</c:v>
                </c:pt>
                <c:pt idx="676">
                  <c:v>381.26400000000001</c:v>
                </c:pt>
                <c:pt idx="677">
                  <c:v>381.82799999999997</c:v>
                </c:pt>
                <c:pt idx="678">
                  <c:v>382.392</c:v>
                </c:pt>
                <c:pt idx="679">
                  <c:v>382.95600000000002</c:v>
                </c:pt>
                <c:pt idx="680">
                  <c:v>383.52</c:v>
                </c:pt>
                <c:pt idx="681">
                  <c:v>384.084</c:v>
                </c:pt>
                <c:pt idx="682">
                  <c:v>384.64800000000002</c:v>
                </c:pt>
                <c:pt idx="683">
                  <c:v>385.21199999999999</c:v>
                </c:pt>
                <c:pt idx="684">
                  <c:v>385.77600000000001</c:v>
                </c:pt>
                <c:pt idx="685">
                  <c:v>386.34</c:v>
                </c:pt>
                <c:pt idx="686">
                  <c:v>386.904</c:v>
                </c:pt>
                <c:pt idx="687">
                  <c:v>387.46800000000002</c:v>
                </c:pt>
                <c:pt idx="688">
                  <c:v>388.03199999999998</c:v>
                </c:pt>
                <c:pt idx="689">
                  <c:v>388.596</c:v>
                </c:pt>
                <c:pt idx="690">
                  <c:v>389.16</c:v>
                </c:pt>
                <c:pt idx="691">
                  <c:v>389.72399999999999</c:v>
                </c:pt>
                <c:pt idx="692">
                  <c:v>390.28800000000001</c:v>
                </c:pt>
                <c:pt idx="693">
                  <c:v>390.85199999999998</c:v>
                </c:pt>
                <c:pt idx="694">
                  <c:v>391.416</c:v>
                </c:pt>
                <c:pt idx="695">
                  <c:v>391.98</c:v>
                </c:pt>
                <c:pt idx="696">
                  <c:v>392.54399999999998</c:v>
                </c:pt>
                <c:pt idx="697">
                  <c:v>393.108</c:v>
                </c:pt>
                <c:pt idx="698">
                  <c:v>393.67200000000003</c:v>
                </c:pt>
                <c:pt idx="699">
                  <c:v>394.23599999999999</c:v>
                </c:pt>
                <c:pt idx="700">
                  <c:v>394.8</c:v>
                </c:pt>
                <c:pt idx="701">
                  <c:v>395.36399999999998</c:v>
                </c:pt>
                <c:pt idx="702">
                  <c:v>395.928</c:v>
                </c:pt>
                <c:pt idx="703">
                  <c:v>396.49200000000002</c:v>
                </c:pt>
                <c:pt idx="704">
                  <c:v>397.05599999999998</c:v>
                </c:pt>
                <c:pt idx="705">
                  <c:v>397.62</c:v>
                </c:pt>
                <c:pt idx="706">
                  <c:v>398.18400000000003</c:v>
                </c:pt>
                <c:pt idx="707">
                  <c:v>398.74799999999999</c:v>
                </c:pt>
                <c:pt idx="708">
                  <c:v>399.31200000000001</c:v>
                </c:pt>
                <c:pt idx="709">
                  <c:v>399.87599999999998</c:v>
                </c:pt>
                <c:pt idx="710">
                  <c:v>400.44</c:v>
                </c:pt>
                <c:pt idx="711">
                  <c:v>401.00400000000002</c:v>
                </c:pt>
                <c:pt idx="712">
                  <c:v>401.56799999999998</c:v>
                </c:pt>
                <c:pt idx="713">
                  <c:v>402.13200000000001</c:v>
                </c:pt>
                <c:pt idx="714">
                  <c:v>402.69600000000003</c:v>
                </c:pt>
                <c:pt idx="715">
                  <c:v>403.26</c:v>
                </c:pt>
                <c:pt idx="716">
                  <c:v>403.82400000000001</c:v>
                </c:pt>
                <c:pt idx="717">
                  <c:v>404.38799999999998</c:v>
                </c:pt>
                <c:pt idx="718">
                  <c:v>404.952</c:v>
                </c:pt>
                <c:pt idx="719">
                  <c:v>405.51600000000002</c:v>
                </c:pt>
                <c:pt idx="720">
                  <c:v>406.08</c:v>
                </c:pt>
                <c:pt idx="721">
                  <c:v>406.64400000000001</c:v>
                </c:pt>
                <c:pt idx="722">
                  <c:v>407.20800000000003</c:v>
                </c:pt>
                <c:pt idx="723">
                  <c:v>407.77199999999999</c:v>
                </c:pt>
                <c:pt idx="724">
                  <c:v>408.33600000000001</c:v>
                </c:pt>
                <c:pt idx="725">
                  <c:v>408.9</c:v>
                </c:pt>
                <c:pt idx="726">
                  <c:v>409.464</c:v>
                </c:pt>
                <c:pt idx="727">
                  <c:v>410.02800000000002</c:v>
                </c:pt>
                <c:pt idx="728">
                  <c:v>410.59199999999998</c:v>
                </c:pt>
                <c:pt idx="729">
                  <c:v>411.15600000000001</c:v>
                </c:pt>
                <c:pt idx="730">
                  <c:v>411.72</c:v>
                </c:pt>
                <c:pt idx="731">
                  <c:v>412.28399999999999</c:v>
                </c:pt>
                <c:pt idx="732">
                  <c:v>412.84800000000001</c:v>
                </c:pt>
                <c:pt idx="733">
                  <c:v>413.41199999999998</c:v>
                </c:pt>
                <c:pt idx="734">
                  <c:v>413.976</c:v>
                </c:pt>
                <c:pt idx="735">
                  <c:v>414.54</c:v>
                </c:pt>
                <c:pt idx="736">
                  <c:v>415.10399999999998</c:v>
                </c:pt>
                <c:pt idx="737">
                  <c:v>415.66800000000001</c:v>
                </c:pt>
                <c:pt idx="738">
                  <c:v>416.23200000000003</c:v>
                </c:pt>
                <c:pt idx="739">
                  <c:v>416.79599999999999</c:v>
                </c:pt>
                <c:pt idx="740">
                  <c:v>417.36</c:v>
                </c:pt>
                <c:pt idx="741">
                  <c:v>417.92399999999998</c:v>
                </c:pt>
                <c:pt idx="742">
                  <c:v>418.488</c:v>
                </c:pt>
                <c:pt idx="743">
                  <c:v>419.05200000000002</c:v>
                </c:pt>
                <c:pt idx="744">
                  <c:v>419.61599999999999</c:v>
                </c:pt>
                <c:pt idx="745">
                  <c:v>420.18</c:v>
                </c:pt>
                <c:pt idx="746">
                  <c:v>420.74400000000003</c:v>
                </c:pt>
                <c:pt idx="747">
                  <c:v>421.30799999999999</c:v>
                </c:pt>
                <c:pt idx="748">
                  <c:v>421.87200000000001</c:v>
                </c:pt>
                <c:pt idx="749">
                  <c:v>422.43599999999998</c:v>
                </c:pt>
                <c:pt idx="750">
                  <c:v>423</c:v>
                </c:pt>
                <c:pt idx="751">
                  <c:v>423.56400000000002</c:v>
                </c:pt>
                <c:pt idx="752">
                  <c:v>424.12799999999999</c:v>
                </c:pt>
                <c:pt idx="753">
                  <c:v>424.69200000000001</c:v>
                </c:pt>
                <c:pt idx="754">
                  <c:v>425.25599999999997</c:v>
                </c:pt>
                <c:pt idx="755">
                  <c:v>425.82</c:v>
                </c:pt>
                <c:pt idx="756">
                  <c:v>426.38400000000001</c:v>
                </c:pt>
                <c:pt idx="757">
                  <c:v>426.94799999999998</c:v>
                </c:pt>
                <c:pt idx="758">
                  <c:v>427.512</c:v>
                </c:pt>
                <c:pt idx="759">
                  <c:v>428.07600000000002</c:v>
                </c:pt>
                <c:pt idx="760">
                  <c:v>428.64</c:v>
                </c:pt>
                <c:pt idx="761">
                  <c:v>429.20400000000001</c:v>
                </c:pt>
                <c:pt idx="762">
                  <c:v>429.76799999999997</c:v>
                </c:pt>
                <c:pt idx="763">
                  <c:v>430.33199999999999</c:v>
                </c:pt>
                <c:pt idx="764">
                  <c:v>430.89600000000002</c:v>
                </c:pt>
                <c:pt idx="765">
                  <c:v>431.46</c:v>
                </c:pt>
                <c:pt idx="766">
                  <c:v>432.024</c:v>
                </c:pt>
                <c:pt idx="767">
                  <c:v>432.58800000000002</c:v>
                </c:pt>
                <c:pt idx="768">
                  <c:v>433.15199999999999</c:v>
                </c:pt>
                <c:pt idx="769">
                  <c:v>433.71600000000001</c:v>
                </c:pt>
                <c:pt idx="770">
                  <c:v>434.28</c:v>
                </c:pt>
                <c:pt idx="771">
                  <c:v>434.84399999999999</c:v>
                </c:pt>
                <c:pt idx="772">
                  <c:v>435.40800000000002</c:v>
                </c:pt>
                <c:pt idx="773">
                  <c:v>435.97199999999998</c:v>
                </c:pt>
                <c:pt idx="774">
                  <c:v>436.536</c:v>
                </c:pt>
                <c:pt idx="775">
                  <c:v>437.1</c:v>
                </c:pt>
                <c:pt idx="776">
                  <c:v>437.66399999999999</c:v>
                </c:pt>
                <c:pt idx="777">
                  <c:v>438.22800000000001</c:v>
                </c:pt>
                <c:pt idx="778">
                  <c:v>438.79199999999997</c:v>
                </c:pt>
                <c:pt idx="779">
                  <c:v>439.35599999999999</c:v>
                </c:pt>
                <c:pt idx="780">
                  <c:v>439.92</c:v>
                </c:pt>
                <c:pt idx="781">
                  <c:v>440.48399999999998</c:v>
                </c:pt>
                <c:pt idx="782">
                  <c:v>441.048</c:v>
                </c:pt>
                <c:pt idx="783">
                  <c:v>441.61200000000002</c:v>
                </c:pt>
                <c:pt idx="784">
                  <c:v>442.17599999999999</c:v>
                </c:pt>
                <c:pt idx="785">
                  <c:v>442.74</c:v>
                </c:pt>
                <c:pt idx="786">
                  <c:v>443.30399999999997</c:v>
                </c:pt>
                <c:pt idx="787">
                  <c:v>443.86799999999999</c:v>
                </c:pt>
                <c:pt idx="788">
                  <c:v>444.43200000000002</c:v>
                </c:pt>
                <c:pt idx="789">
                  <c:v>444.99599999999998</c:v>
                </c:pt>
                <c:pt idx="790">
                  <c:v>445.56</c:v>
                </c:pt>
                <c:pt idx="791">
                  <c:v>446.12400000000002</c:v>
                </c:pt>
                <c:pt idx="792">
                  <c:v>446.68799999999999</c:v>
                </c:pt>
                <c:pt idx="793">
                  <c:v>447.25200000000001</c:v>
                </c:pt>
                <c:pt idx="794">
                  <c:v>447.81599999999997</c:v>
                </c:pt>
                <c:pt idx="795">
                  <c:v>448.38</c:v>
                </c:pt>
                <c:pt idx="796">
                  <c:v>448.94400000000002</c:v>
                </c:pt>
                <c:pt idx="797">
                  <c:v>449.50799999999998</c:v>
                </c:pt>
                <c:pt idx="798">
                  <c:v>450.072</c:v>
                </c:pt>
                <c:pt idx="799">
                  <c:v>450.63600000000002</c:v>
                </c:pt>
                <c:pt idx="800">
                  <c:v>451.2</c:v>
                </c:pt>
                <c:pt idx="801">
                  <c:v>451.76400000000001</c:v>
                </c:pt>
                <c:pt idx="802">
                  <c:v>452.32799999999997</c:v>
                </c:pt>
                <c:pt idx="803">
                  <c:v>452.892</c:v>
                </c:pt>
                <c:pt idx="804">
                  <c:v>453.45600000000002</c:v>
                </c:pt>
                <c:pt idx="805">
                  <c:v>454.02</c:v>
                </c:pt>
                <c:pt idx="806">
                  <c:v>454.584</c:v>
                </c:pt>
                <c:pt idx="807">
                  <c:v>455.14800000000002</c:v>
                </c:pt>
                <c:pt idx="808">
                  <c:v>455.71199999999999</c:v>
                </c:pt>
                <c:pt idx="809">
                  <c:v>456.27600000000001</c:v>
                </c:pt>
                <c:pt idx="810">
                  <c:v>456.84</c:v>
                </c:pt>
                <c:pt idx="811">
                  <c:v>457.404</c:v>
                </c:pt>
                <c:pt idx="812">
                  <c:v>457.96800000000002</c:v>
                </c:pt>
                <c:pt idx="813">
                  <c:v>458.53199999999998</c:v>
                </c:pt>
                <c:pt idx="814">
                  <c:v>459.096</c:v>
                </c:pt>
                <c:pt idx="815">
                  <c:v>459.66</c:v>
                </c:pt>
                <c:pt idx="816">
                  <c:v>460.22399999999999</c:v>
                </c:pt>
                <c:pt idx="817">
                  <c:v>460.78800000000001</c:v>
                </c:pt>
                <c:pt idx="818">
                  <c:v>461.35199999999998</c:v>
                </c:pt>
                <c:pt idx="819">
                  <c:v>461.916</c:v>
                </c:pt>
                <c:pt idx="820">
                  <c:v>462.48</c:v>
                </c:pt>
                <c:pt idx="821">
                  <c:v>463.04399999999998</c:v>
                </c:pt>
                <c:pt idx="822">
                  <c:v>463.608</c:v>
                </c:pt>
                <c:pt idx="823">
                  <c:v>464.17200000000003</c:v>
                </c:pt>
                <c:pt idx="824">
                  <c:v>464.73599999999999</c:v>
                </c:pt>
                <c:pt idx="825">
                  <c:v>465.3</c:v>
                </c:pt>
                <c:pt idx="826">
                  <c:v>465.86399999999998</c:v>
                </c:pt>
                <c:pt idx="827">
                  <c:v>466.428</c:v>
                </c:pt>
                <c:pt idx="828">
                  <c:v>466.99200000000002</c:v>
                </c:pt>
                <c:pt idx="829">
                  <c:v>467.55599999999998</c:v>
                </c:pt>
                <c:pt idx="830">
                  <c:v>468.12</c:v>
                </c:pt>
                <c:pt idx="831">
                  <c:v>468.68400000000003</c:v>
                </c:pt>
                <c:pt idx="832">
                  <c:v>469.24799999999999</c:v>
                </c:pt>
                <c:pt idx="833">
                  <c:v>469.81200000000001</c:v>
                </c:pt>
                <c:pt idx="834">
                  <c:v>470.37599999999998</c:v>
                </c:pt>
                <c:pt idx="835">
                  <c:v>470.94</c:v>
                </c:pt>
                <c:pt idx="836">
                  <c:v>471.50400000000002</c:v>
                </c:pt>
                <c:pt idx="837">
                  <c:v>472.06799999999998</c:v>
                </c:pt>
                <c:pt idx="838">
                  <c:v>472.63200000000001</c:v>
                </c:pt>
                <c:pt idx="839">
                  <c:v>473.19600000000003</c:v>
                </c:pt>
                <c:pt idx="840">
                  <c:v>473.76</c:v>
                </c:pt>
                <c:pt idx="841">
                  <c:v>474.32400000000001</c:v>
                </c:pt>
                <c:pt idx="842">
                  <c:v>474.88799999999998</c:v>
                </c:pt>
                <c:pt idx="843">
                  <c:v>475.452</c:v>
                </c:pt>
                <c:pt idx="844">
                  <c:v>476.01600000000002</c:v>
                </c:pt>
                <c:pt idx="845">
                  <c:v>476.58</c:v>
                </c:pt>
                <c:pt idx="846">
                  <c:v>477.14400000000001</c:v>
                </c:pt>
                <c:pt idx="847">
                  <c:v>477.70800000000003</c:v>
                </c:pt>
                <c:pt idx="848">
                  <c:v>478.27199999999999</c:v>
                </c:pt>
                <c:pt idx="849">
                  <c:v>478.83600000000001</c:v>
                </c:pt>
                <c:pt idx="850">
                  <c:v>479.4</c:v>
                </c:pt>
                <c:pt idx="851">
                  <c:v>479.964</c:v>
                </c:pt>
                <c:pt idx="852">
                  <c:v>480.52800000000002</c:v>
                </c:pt>
                <c:pt idx="853">
                  <c:v>481.09199999999998</c:v>
                </c:pt>
                <c:pt idx="854">
                  <c:v>481.65600000000001</c:v>
                </c:pt>
                <c:pt idx="855">
                  <c:v>482.22</c:v>
                </c:pt>
                <c:pt idx="856">
                  <c:v>482.78399999999999</c:v>
                </c:pt>
                <c:pt idx="857">
                  <c:v>483.34800000000001</c:v>
                </c:pt>
                <c:pt idx="858">
                  <c:v>483.91199999999998</c:v>
                </c:pt>
                <c:pt idx="859">
                  <c:v>484.476</c:v>
                </c:pt>
                <c:pt idx="860">
                  <c:v>485.04</c:v>
                </c:pt>
                <c:pt idx="861">
                  <c:v>485.60399999999998</c:v>
                </c:pt>
                <c:pt idx="862">
                  <c:v>486.16800000000001</c:v>
                </c:pt>
                <c:pt idx="863">
                  <c:v>486.73200000000003</c:v>
                </c:pt>
                <c:pt idx="864">
                  <c:v>487.29599999999999</c:v>
                </c:pt>
                <c:pt idx="865">
                  <c:v>487.86</c:v>
                </c:pt>
                <c:pt idx="866">
                  <c:v>488.42399999999998</c:v>
                </c:pt>
                <c:pt idx="867">
                  <c:v>488.988</c:v>
                </c:pt>
                <c:pt idx="868">
                  <c:v>489.55200000000002</c:v>
                </c:pt>
                <c:pt idx="869">
                  <c:v>490.11599999999999</c:v>
                </c:pt>
                <c:pt idx="870">
                  <c:v>490.68</c:v>
                </c:pt>
                <c:pt idx="871">
                  <c:v>491.24400000000003</c:v>
                </c:pt>
                <c:pt idx="872">
                  <c:v>491.80799999999999</c:v>
                </c:pt>
                <c:pt idx="873">
                  <c:v>492.37200000000001</c:v>
                </c:pt>
                <c:pt idx="874">
                  <c:v>492.93599999999998</c:v>
                </c:pt>
                <c:pt idx="875">
                  <c:v>493.5</c:v>
                </c:pt>
                <c:pt idx="876">
                  <c:v>494.06400000000002</c:v>
                </c:pt>
                <c:pt idx="877">
                  <c:v>494.62799999999999</c:v>
                </c:pt>
                <c:pt idx="878">
                  <c:v>495.19200000000001</c:v>
                </c:pt>
                <c:pt idx="879">
                  <c:v>495.75599999999997</c:v>
                </c:pt>
                <c:pt idx="880">
                  <c:v>496.32</c:v>
                </c:pt>
                <c:pt idx="881">
                  <c:v>496.88400000000001</c:v>
                </c:pt>
                <c:pt idx="882">
                  <c:v>497.44799999999998</c:v>
                </c:pt>
                <c:pt idx="883">
                  <c:v>498.012</c:v>
                </c:pt>
                <c:pt idx="884">
                  <c:v>498.57600000000002</c:v>
                </c:pt>
                <c:pt idx="885">
                  <c:v>499.14</c:v>
                </c:pt>
                <c:pt idx="886">
                  <c:v>499.70400000000001</c:v>
                </c:pt>
                <c:pt idx="887">
                  <c:v>500.26799999999997</c:v>
                </c:pt>
                <c:pt idx="888">
                  <c:v>500.83199999999999</c:v>
                </c:pt>
                <c:pt idx="889">
                  <c:v>501.39600000000002</c:v>
                </c:pt>
                <c:pt idx="890">
                  <c:v>501.96</c:v>
                </c:pt>
                <c:pt idx="891">
                  <c:v>502.524</c:v>
                </c:pt>
                <c:pt idx="892">
                  <c:v>503.08800000000002</c:v>
                </c:pt>
                <c:pt idx="893">
                  <c:v>503.65199999999999</c:v>
                </c:pt>
                <c:pt idx="894">
                  <c:v>504.21600000000001</c:v>
                </c:pt>
                <c:pt idx="895">
                  <c:v>504.78</c:v>
                </c:pt>
                <c:pt idx="896">
                  <c:v>505.34399999999999</c:v>
                </c:pt>
                <c:pt idx="897">
                  <c:v>505.90800000000002</c:v>
                </c:pt>
                <c:pt idx="898">
                  <c:v>506.47199999999998</c:v>
                </c:pt>
                <c:pt idx="899">
                  <c:v>507.036</c:v>
                </c:pt>
                <c:pt idx="900">
                  <c:v>507.6</c:v>
                </c:pt>
                <c:pt idx="901">
                  <c:v>508.16399999999999</c:v>
                </c:pt>
                <c:pt idx="902">
                  <c:v>508.72800000000001</c:v>
                </c:pt>
                <c:pt idx="903">
                  <c:v>509.29199999999997</c:v>
                </c:pt>
                <c:pt idx="904">
                  <c:v>509.85599999999999</c:v>
                </c:pt>
                <c:pt idx="905">
                  <c:v>510.42</c:v>
                </c:pt>
                <c:pt idx="906">
                  <c:v>510.98399999999998</c:v>
                </c:pt>
                <c:pt idx="907">
                  <c:v>511.548</c:v>
                </c:pt>
                <c:pt idx="908">
                  <c:v>512.11199999999997</c:v>
                </c:pt>
                <c:pt idx="909">
                  <c:v>512.67600000000004</c:v>
                </c:pt>
                <c:pt idx="910">
                  <c:v>513.24</c:v>
                </c:pt>
                <c:pt idx="911">
                  <c:v>513.80399999999997</c:v>
                </c:pt>
                <c:pt idx="912">
                  <c:v>514.36800000000005</c:v>
                </c:pt>
                <c:pt idx="913">
                  <c:v>514.93200000000002</c:v>
                </c:pt>
                <c:pt idx="914">
                  <c:v>515.49599999999998</c:v>
                </c:pt>
                <c:pt idx="915">
                  <c:v>516.05999999999995</c:v>
                </c:pt>
                <c:pt idx="916">
                  <c:v>516.62400000000002</c:v>
                </c:pt>
                <c:pt idx="917">
                  <c:v>517.18799999999999</c:v>
                </c:pt>
                <c:pt idx="918">
                  <c:v>517.75199999999995</c:v>
                </c:pt>
                <c:pt idx="919">
                  <c:v>518.31600000000003</c:v>
                </c:pt>
                <c:pt idx="920">
                  <c:v>518.88</c:v>
                </c:pt>
                <c:pt idx="921">
                  <c:v>519.44399999999996</c:v>
                </c:pt>
                <c:pt idx="922">
                  <c:v>520.00800000000004</c:v>
                </c:pt>
                <c:pt idx="923">
                  <c:v>520.572</c:v>
                </c:pt>
                <c:pt idx="924">
                  <c:v>521.13599999999997</c:v>
                </c:pt>
                <c:pt idx="925">
                  <c:v>521.70000000000005</c:v>
                </c:pt>
                <c:pt idx="926">
                  <c:v>522.26400000000001</c:v>
                </c:pt>
                <c:pt idx="927">
                  <c:v>522.82799999999997</c:v>
                </c:pt>
                <c:pt idx="928">
                  <c:v>523.39200000000005</c:v>
                </c:pt>
                <c:pt idx="929">
                  <c:v>523.95600000000002</c:v>
                </c:pt>
                <c:pt idx="930">
                  <c:v>524.52</c:v>
                </c:pt>
                <c:pt idx="931">
                  <c:v>525.08399999999995</c:v>
                </c:pt>
                <c:pt idx="932">
                  <c:v>525.64800000000002</c:v>
                </c:pt>
                <c:pt idx="933">
                  <c:v>526.21199999999999</c:v>
                </c:pt>
                <c:pt idx="934">
                  <c:v>526.77599999999995</c:v>
                </c:pt>
                <c:pt idx="935">
                  <c:v>527.34</c:v>
                </c:pt>
                <c:pt idx="936">
                  <c:v>527.904</c:v>
                </c:pt>
                <c:pt idx="937">
                  <c:v>528.46799999999996</c:v>
                </c:pt>
                <c:pt idx="938">
                  <c:v>529.03200000000004</c:v>
                </c:pt>
                <c:pt idx="939">
                  <c:v>529.596</c:v>
                </c:pt>
                <c:pt idx="940">
                  <c:v>530.16</c:v>
                </c:pt>
                <c:pt idx="941">
                  <c:v>530.72400000000005</c:v>
                </c:pt>
                <c:pt idx="942">
                  <c:v>531.28800000000001</c:v>
                </c:pt>
                <c:pt idx="943">
                  <c:v>531.85199999999998</c:v>
                </c:pt>
                <c:pt idx="944">
                  <c:v>532.41600000000005</c:v>
                </c:pt>
                <c:pt idx="945">
                  <c:v>532.98</c:v>
                </c:pt>
                <c:pt idx="946">
                  <c:v>533.54399999999998</c:v>
                </c:pt>
                <c:pt idx="947">
                  <c:v>534.10799999999995</c:v>
                </c:pt>
              </c:numCache>
            </c:numRef>
          </c:cat>
          <c:val>
            <c:numRef>
              <c:f>'Part 3 Data'!$B$3:$B$950</c:f>
              <c:numCache>
                <c:formatCode>0.00</c:formatCode>
                <c:ptCount val="948"/>
                <c:pt idx="0">
                  <c:v>77.095185999999998</c:v>
                </c:pt>
                <c:pt idx="1">
                  <c:v>76.886312000000004</c:v>
                </c:pt>
                <c:pt idx="2">
                  <c:v>76.702811999999994</c:v>
                </c:pt>
                <c:pt idx="3">
                  <c:v>76.513313999999994</c:v>
                </c:pt>
                <c:pt idx="4">
                  <c:v>76.349199999999996</c:v>
                </c:pt>
                <c:pt idx="5">
                  <c:v>76.166602999999995</c:v>
                </c:pt>
                <c:pt idx="6">
                  <c:v>76.013127999999995</c:v>
                </c:pt>
                <c:pt idx="7">
                  <c:v>75.856031999999999</c:v>
                </c:pt>
                <c:pt idx="8">
                  <c:v>75.697130999999999</c:v>
                </c:pt>
                <c:pt idx="9">
                  <c:v>75.549723</c:v>
                </c:pt>
                <c:pt idx="10">
                  <c:v>75.408688999999995</c:v>
                </c:pt>
                <c:pt idx="11">
                  <c:v>75.270975000000007</c:v>
                </c:pt>
                <c:pt idx="12">
                  <c:v>75.129918000000004</c:v>
                </c:pt>
                <c:pt idx="13">
                  <c:v>74.995110999999994</c:v>
                </c:pt>
                <c:pt idx="14">
                  <c:v>74.848477000000003</c:v>
                </c:pt>
                <c:pt idx="15">
                  <c:v>74.707233000000002</c:v>
                </c:pt>
                <c:pt idx="16">
                  <c:v>74.568505000000002</c:v>
                </c:pt>
                <c:pt idx="17">
                  <c:v>74.430447000000001</c:v>
                </c:pt>
                <c:pt idx="18">
                  <c:v>74.308212999999995</c:v>
                </c:pt>
                <c:pt idx="19">
                  <c:v>74.196805999999995</c:v>
                </c:pt>
                <c:pt idx="20">
                  <c:v>74.077207999999999</c:v>
                </c:pt>
                <c:pt idx="21">
                  <c:v>73.966064000000003</c:v>
                </c:pt>
                <c:pt idx="22">
                  <c:v>73.856579999999994</c:v>
                </c:pt>
                <c:pt idx="23">
                  <c:v>73.735695000000007</c:v>
                </c:pt>
                <c:pt idx="24">
                  <c:v>73.629254000000003</c:v>
                </c:pt>
                <c:pt idx="25">
                  <c:v>73.530741000000006</c:v>
                </c:pt>
                <c:pt idx="26">
                  <c:v>73.409958000000003</c:v>
                </c:pt>
                <c:pt idx="27">
                  <c:v>73.305873000000005</c:v>
                </c:pt>
                <c:pt idx="28">
                  <c:v>73.192858000000001</c:v>
                </c:pt>
                <c:pt idx="29">
                  <c:v>73.092095999999998</c:v>
                </c:pt>
                <c:pt idx="30">
                  <c:v>72.980609999999999</c:v>
                </c:pt>
                <c:pt idx="31">
                  <c:v>72.86788</c:v>
                </c:pt>
                <c:pt idx="32">
                  <c:v>72.755392000000001</c:v>
                </c:pt>
                <c:pt idx="33">
                  <c:v>72.650711000000001</c:v>
                </c:pt>
                <c:pt idx="34">
                  <c:v>72.534745999999998</c:v>
                </c:pt>
                <c:pt idx="35">
                  <c:v>72.431567000000001</c:v>
                </c:pt>
                <c:pt idx="36">
                  <c:v>72.314475000000002</c:v>
                </c:pt>
                <c:pt idx="37">
                  <c:v>72.215733999999998</c:v>
                </c:pt>
                <c:pt idx="38">
                  <c:v>72.109628000000001</c:v>
                </c:pt>
                <c:pt idx="39">
                  <c:v>71.993904999999998</c:v>
                </c:pt>
                <c:pt idx="40">
                  <c:v>71.884975999999995</c:v>
                </c:pt>
                <c:pt idx="41">
                  <c:v>71.783023</c:v>
                </c:pt>
                <c:pt idx="42">
                  <c:v>71.688703000000004</c:v>
                </c:pt>
                <c:pt idx="43">
                  <c:v>71.585471999999996</c:v>
                </c:pt>
                <c:pt idx="44">
                  <c:v>71.476669999999999</c:v>
                </c:pt>
                <c:pt idx="45">
                  <c:v>71.381775000000005</c:v>
                </c:pt>
                <c:pt idx="46">
                  <c:v>71.272681000000006</c:v>
                </c:pt>
                <c:pt idx="47">
                  <c:v>71.173599999999993</c:v>
                </c:pt>
                <c:pt idx="48">
                  <c:v>71.070491000000004</c:v>
                </c:pt>
                <c:pt idx="49">
                  <c:v>70.970966000000004</c:v>
                </c:pt>
                <c:pt idx="50">
                  <c:v>70.872298999999998</c:v>
                </c:pt>
                <c:pt idx="51">
                  <c:v>70.762614999999997</c:v>
                </c:pt>
                <c:pt idx="52">
                  <c:v>70.658088000000006</c:v>
                </c:pt>
                <c:pt idx="53">
                  <c:v>70.552135000000007</c:v>
                </c:pt>
                <c:pt idx="54">
                  <c:v>70.451618999999994</c:v>
                </c:pt>
                <c:pt idx="55">
                  <c:v>70.366566000000006</c:v>
                </c:pt>
                <c:pt idx="56">
                  <c:v>70.256696000000005</c:v>
                </c:pt>
                <c:pt idx="57">
                  <c:v>70.155604999999994</c:v>
                </c:pt>
                <c:pt idx="58">
                  <c:v>70.051721999999998</c:v>
                </c:pt>
                <c:pt idx="59">
                  <c:v>69.954392999999996</c:v>
                </c:pt>
                <c:pt idx="60">
                  <c:v>69.856626000000006</c:v>
                </c:pt>
                <c:pt idx="61">
                  <c:v>69.750218000000004</c:v>
                </c:pt>
                <c:pt idx="62">
                  <c:v>69.641295999999997</c:v>
                </c:pt>
                <c:pt idx="63">
                  <c:v>69.542522000000005</c:v>
                </c:pt>
                <c:pt idx="64">
                  <c:v>69.441665999999998</c:v>
                </c:pt>
                <c:pt idx="65">
                  <c:v>69.332598000000004</c:v>
                </c:pt>
                <c:pt idx="66">
                  <c:v>69.227548999999996</c:v>
                </c:pt>
                <c:pt idx="67">
                  <c:v>69.122214999999997</c:v>
                </c:pt>
                <c:pt idx="68">
                  <c:v>69.011301000000003</c:v>
                </c:pt>
                <c:pt idx="69">
                  <c:v>68.906232000000003</c:v>
                </c:pt>
                <c:pt idx="70">
                  <c:v>68.794466999999997</c:v>
                </c:pt>
                <c:pt idx="71">
                  <c:v>68.694121999999993</c:v>
                </c:pt>
                <c:pt idx="72">
                  <c:v>68.593214000000003</c:v>
                </c:pt>
                <c:pt idx="73">
                  <c:v>68.480869999999996</c:v>
                </c:pt>
                <c:pt idx="74">
                  <c:v>68.381621999999993</c:v>
                </c:pt>
                <c:pt idx="75">
                  <c:v>68.274281999999999</c:v>
                </c:pt>
                <c:pt idx="76">
                  <c:v>68.169443999999999</c:v>
                </c:pt>
                <c:pt idx="77">
                  <c:v>68.063484000000003</c:v>
                </c:pt>
                <c:pt idx="78">
                  <c:v>67.950546000000003</c:v>
                </c:pt>
                <c:pt idx="79">
                  <c:v>67.845282999999995</c:v>
                </c:pt>
                <c:pt idx="80">
                  <c:v>67.741380000000007</c:v>
                </c:pt>
                <c:pt idx="81">
                  <c:v>67.635113000000004</c:v>
                </c:pt>
                <c:pt idx="82">
                  <c:v>67.527445</c:v>
                </c:pt>
                <c:pt idx="83">
                  <c:v>67.422000999999995</c:v>
                </c:pt>
                <c:pt idx="84">
                  <c:v>67.322130000000001</c:v>
                </c:pt>
                <c:pt idx="85">
                  <c:v>67.211093000000005</c:v>
                </c:pt>
                <c:pt idx="86">
                  <c:v>67.109256000000002</c:v>
                </c:pt>
                <c:pt idx="87">
                  <c:v>66.998204000000001</c:v>
                </c:pt>
                <c:pt idx="88">
                  <c:v>66.892725999999996</c:v>
                </c:pt>
                <c:pt idx="89">
                  <c:v>66.791984999999997</c:v>
                </c:pt>
                <c:pt idx="90">
                  <c:v>66.691517000000005</c:v>
                </c:pt>
                <c:pt idx="91">
                  <c:v>66.597615000000005</c:v>
                </c:pt>
                <c:pt idx="92">
                  <c:v>66.490281999999993</c:v>
                </c:pt>
                <c:pt idx="93">
                  <c:v>66.387282999999996</c:v>
                </c:pt>
                <c:pt idx="94">
                  <c:v>66.296154999999999</c:v>
                </c:pt>
                <c:pt idx="95">
                  <c:v>66.186847999999998</c:v>
                </c:pt>
                <c:pt idx="96">
                  <c:v>66.085783000000006</c:v>
                </c:pt>
                <c:pt idx="97">
                  <c:v>65.991972000000004</c:v>
                </c:pt>
                <c:pt idx="98">
                  <c:v>65.897037999999995</c:v>
                </c:pt>
                <c:pt idx="99">
                  <c:v>65.799863999999999</c:v>
                </c:pt>
                <c:pt idx="100">
                  <c:v>65.704081000000002</c:v>
                </c:pt>
                <c:pt idx="101">
                  <c:v>65.607887000000005</c:v>
                </c:pt>
                <c:pt idx="102">
                  <c:v>65.515289999999993</c:v>
                </c:pt>
                <c:pt idx="103">
                  <c:v>65.417535000000001</c:v>
                </c:pt>
                <c:pt idx="104">
                  <c:v>65.323963000000006</c:v>
                </c:pt>
                <c:pt idx="105">
                  <c:v>65.223681999999997</c:v>
                </c:pt>
                <c:pt idx="106">
                  <c:v>65.134010000000004</c:v>
                </c:pt>
                <c:pt idx="107">
                  <c:v>65.047127000000003</c:v>
                </c:pt>
                <c:pt idx="108">
                  <c:v>64.952415999999999</c:v>
                </c:pt>
                <c:pt idx="109">
                  <c:v>64.860493000000005</c:v>
                </c:pt>
                <c:pt idx="110">
                  <c:v>64.774991999999997</c:v>
                </c:pt>
                <c:pt idx="111">
                  <c:v>64.667410000000004</c:v>
                </c:pt>
                <c:pt idx="112">
                  <c:v>64.581339999999997</c:v>
                </c:pt>
                <c:pt idx="113">
                  <c:v>64.495543999999995</c:v>
                </c:pt>
                <c:pt idx="114">
                  <c:v>64.398996999999994</c:v>
                </c:pt>
                <c:pt idx="115">
                  <c:v>64.301299</c:v>
                </c:pt>
                <c:pt idx="116">
                  <c:v>64.202909000000005</c:v>
                </c:pt>
                <c:pt idx="117">
                  <c:v>64.116533000000004</c:v>
                </c:pt>
                <c:pt idx="118">
                  <c:v>64.008906999999994</c:v>
                </c:pt>
                <c:pt idx="119">
                  <c:v>63.915531000000001</c:v>
                </c:pt>
                <c:pt idx="120">
                  <c:v>63.812364000000002</c:v>
                </c:pt>
                <c:pt idx="121">
                  <c:v>63.723044999999999</c:v>
                </c:pt>
                <c:pt idx="122">
                  <c:v>63.626981999999998</c:v>
                </c:pt>
                <c:pt idx="123">
                  <c:v>63.527710999999996</c:v>
                </c:pt>
                <c:pt idx="124">
                  <c:v>63.434866</c:v>
                </c:pt>
                <c:pt idx="125">
                  <c:v>63.344811999999997</c:v>
                </c:pt>
                <c:pt idx="126">
                  <c:v>63.262025000000001</c:v>
                </c:pt>
                <c:pt idx="127">
                  <c:v>63.177835000000002</c:v>
                </c:pt>
                <c:pt idx="128">
                  <c:v>63.092241999999999</c:v>
                </c:pt>
                <c:pt idx="129">
                  <c:v>63.006644999999999</c:v>
                </c:pt>
                <c:pt idx="130">
                  <c:v>62.922161000000003</c:v>
                </c:pt>
                <c:pt idx="131">
                  <c:v>62.841030000000003</c:v>
                </c:pt>
                <c:pt idx="132">
                  <c:v>62.753459999999997</c:v>
                </c:pt>
                <c:pt idx="133">
                  <c:v>62.673160000000003</c:v>
                </c:pt>
                <c:pt idx="134">
                  <c:v>62.584181000000001</c:v>
                </c:pt>
                <c:pt idx="135">
                  <c:v>62.501913000000002</c:v>
                </c:pt>
                <c:pt idx="136">
                  <c:v>62.411245999999998</c:v>
                </c:pt>
                <c:pt idx="137">
                  <c:v>62.316935000000001</c:v>
                </c:pt>
                <c:pt idx="138">
                  <c:v>62.236331999999997</c:v>
                </c:pt>
                <c:pt idx="139">
                  <c:v>62.138651000000003</c:v>
                </c:pt>
                <c:pt idx="140">
                  <c:v>62.046843000000003</c:v>
                </c:pt>
                <c:pt idx="141">
                  <c:v>61.957267999999999</c:v>
                </c:pt>
                <c:pt idx="142">
                  <c:v>61.864049000000001</c:v>
                </c:pt>
                <c:pt idx="143">
                  <c:v>61.780343000000002</c:v>
                </c:pt>
                <c:pt idx="144">
                  <c:v>61.684593</c:v>
                </c:pt>
                <c:pt idx="145">
                  <c:v>61.612636999999999</c:v>
                </c:pt>
                <c:pt idx="146">
                  <c:v>61.516317000000001</c:v>
                </c:pt>
                <c:pt idx="147">
                  <c:v>61.432312000000003</c:v>
                </c:pt>
                <c:pt idx="148">
                  <c:v>61.343541000000002</c:v>
                </c:pt>
                <c:pt idx="149">
                  <c:v>61.261487000000002</c:v>
                </c:pt>
                <c:pt idx="150">
                  <c:v>61.160102999999999</c:v>
                </c:pt>
                <c:pt idx="151">
                  <c:v>61.074398000000002</c:v>
                </c:pt>
                <c:pt idx="152">
                  <c:v>60.990774999999999</c:v>
                </c:pt>
                <c:pt idx="153">
                  <c:v>60.898211000000003</c:v>
                </c:pt>
                <c:pt idx="154">
                  <c:v>60.815013</c:v>
                </c:pt>
                <c:pt idx="155">
                  <c:v>60.728447000000003</c:v>
                </c:pt>
                <c:pt idx="156">
                  <c:v>60.637394999999998</c:v>
                </c:pt>
                <c:pt idx="157">
                  <c:v>60.552500999999999</c:v>
                </c:pt>
                <c:pt idx="158">
                  <c:v>60.469563000000001</c:v>
                </c:pt>
                <c:pt idx="159">
                  <c:v>60.38494</c:v>
                </c:pt>
                <c:pt idx="160">
                  <c:v>60.295828</c:v>
                </c:pt>
                <c:pt idx="161">
                  <c:v>60.210915</c:v>
                </c:pt>
                <c:pt idx="162">
                  <c:v>60.123474999999999</c:v>
                </c:pt>
                <c:pt idx="163">
                  <c:v>60.03631</c:v>
                </c:pt>
                <c:pt idx="164">
                  <c:v>59.947178000000001</c:v>
                </c:pt>
                <c:pt idx="165">
                  <c:v>59.860689000000001</c:v>
                </c:pt>
                <c:pt idx="166">
                  <c:v>59.773508999999997</c:v>
                </c:pt>
                <c:pt idx="167">
                  <c:v>59.689000999999998</c:v>
                </c:pt>
                <c:pt idx="168">
                  <c:v>59.590442000000003</c:v>
                </c:pt>
                <c:pt idx="169">
                  <c:v>59.514054999999999</c:v>
                </c:pt>
                <c:pt idx="170">
                  <c:v>59.426574000000002</c:v>
                </c:pt>
                <c:pt idx="171">
                  <c:v>59.340770999999997</c:v>
                </c:pt>
                <c:pt idx="172">
                  <c:v>59.265464000000001</c:v>
                </c:pt>
                <c:pt idx="173">
                  <c:v>59.172234000000003</c:v>
                </c:pt>
                <c:pt idx="174">
                  <c:v>59.089908000000001</c:v>
                </c:pt>
                <c:pt idx="175">
                  <c:v>58.996667000000002</c:v>
                </c:pt>
                <c:pt idx="176">
                  <c:v>58.922058</c:v>
                </c:pt>
                <c:pt idx="177">
                  <c:v>58.831457999999998</c:v>
                </c:pt>
                <c:pt idx="178">
                  <c:v>58.748426000000002</c:v>
                </c:pt>
                <c:pt idx="179">
                  <c:v>58.664828</c:v>
                </c:pt>
                <c:pt idx="180">
                  <c:v>58.577578000000003</c:v>
                </c:pt>
                <c:pt idx="181">
                  <c:v>58.486955999999999</c:v>
                </c:pt>
                <c:pt idx="182">
                  <c:v>58.416251000000003</c:v>
                </c:pt>
                <c:pt idx="183">
                  <c:v>58.323374000000001</c:v>
                </c:pt>
                <c:pt idx="184">
                  <c:v>58.237788000000002</c:v>
                </c:pt>
                <c:pt idx="185">
                  <c:v>58.14911</c:v>
                </c:pt>
                <c:pt idx="186">
                  <c:v>58.068846999999998</c:v>
                </c:pt>
                <c:pt idx="187">
                  <c:v>57.981281000000003</c:v>
                </c:pt>
                <c:pt idx="188">
                  <c:v>57.897641</c:v>
                </c:pt>
                <c:pt idx="189">
                  <c:v>57.815679000000003</c:v>
                </c:pt>
                <c:pt idx="190">
                  <c:v>57.728099</c:v>
                </c:pt>
                <c:pt idx="191">
                  <c:v>57.6509</c:v>
                </c:pt>
                <c:pt idx="192">
                  <c:v>57.570048</c:v>
                </c:pt>
                <c:pt idx="193">
                  <c:v>57.498610999999997</c:v>
                </c:pt>
                <c:pt idx="194">
                  <c:v>57.409607999999999</c:v>
                </c:pt>
                <c:pt idx="195">
                  <c:v>57.326341999999997</c:v>
                </c:pt>
                <c:pt idx="196">
                  <c:v>57.248154</c:v>
                </c:pt>
                <c:pt idx="197">
                  <c:v>57.169246000000001</c:v>
                </c:pt>
                <c:pt idx="198">
                  <c:v>57.096792000000001</c:v>
                </c:pt>
                <c:pt idx="199">
                  <c:v>57.018563999999998</c:v>
                </c:pt>
                <c:pt idx="200">
                  <c:v>56.931652</c:v>
                </c:pt>
                <c:pt idx="201">
                  <c:v>56.853569999999998</c:v>
                </c:pt>
                <c:pt idx="202">
                  <c:v>56.783909999999999</c:v>
                </c:pt>
                <c:pt idx="203">
                  <c:v>56.704134000000003</c:v>
                </c:pt>
                <c:pt idx="204">
                  <c:v>56.628566999999997</c:v>
                </c:pt>
                <c:pt idx="205">
                  <c:v>56.547097000000001</c:v>
                </c:pt>
                <c:pt idx="206">
                  <c:v>56.476298999999997</c:v>
                </c:pt>
                <c:pt idx="207">
                  <c:v>56.398907999999999</c:v>
                </c:pt>
                <c:pt idx="208">
                  <c:v>56.321640000000002</c:v>
                </c:pt>
                <c:pt idx="209">
                  <c:v>56.233690000000003</c:v>
                </c:pt>
                <c:pt idx="210">
                  <c:v>56.165123999999999</c:v>
                </c:pt>
                <c:pt idx="211">
                  <c:v>56.098241999999999</c:v>
                </c:pt>
                <c:pt idx="212">
                  <c:v>56.017740000000003</c:v>
                </c:pt>
                <c:pt idx="213">
                  <c:v>55.940170999999999</c:v>
                </c:pt>
                <c:pt idx="214">
                  <c:v>55.860911000000002</c:v>
                </c:pt>
                <c:pt idx="215">
                  <c:v>55.794983999999999</c:v>
                </c:pt>
                <c:pt idx="216">
                  <c:v>55.707718999999997</c:v>
                </c:pt>
                <c:pt idx="217">
                  <c:v>55.625354000000002</c:v>
                </c:pt>
                <c:pt idx="218">
                  <c:v>55.552824000000001</c:v>
                </c:pt>
                <c:pt idx="219">
                  <c:v>55.480727000000002</c:v>
                </c:pt>
                <c:pt idx="220">
                  <c:v>55.410158000000003</c:v>
                </c:pt>
                <c:pt idx="221">
                  <c:v>55.328620000000001</c:v>
                </c:pt>
                <c:pt idx="222">
                  <c:v>55.263105000000003</c:v>
                </c:pt>
                <c:pt idx="223">
                  <c:v>55.175933999999998</c:v>
                </c:pt>
                <c:pt idx="224">
                  <c:v>55.111818</c:v>
                </c:pt>
                <c:pt idx="225">
                  <c:v>55.045731000000004</c:v>
                </c:pt>
                <c:pt idx="226">
                  <c:v>54.968110000000003</c:v>
                </c:pt>
                <c:pt idx="227">
                  <c:v>54.903703</c:v>
                </c:pt>
                <c:pt idx="228">
                  <c:v>54.825231000000002</c:v>
                </c:pt>
                <c:pt idx="229">
                  <c:v>54.768005000000002</c:v>
                </c:pt>
                <c:pt idx="230">
                  <c:v>54.701183999999998</c:v>
                </c:pt>
                <c:pt idx="231">
                  <c:v>54.634515999999998</c:v>
                </c:pt>
                <c:pt idx="232">
                  <c:v>54.572781999999997</c:v>
                </c:pt>
                <c:pt idx="233">
                  <c:v>54.512985</c:v>
                </c:pt>
                <c:pt idx="234">
                  <c:v>54.445900000000002</c:v>
                </c:pt>
                <c:pt idx="235">
                  <c:v>54.381751999999999</c:v>
                </c:pt>
                <c:pt idx="236">
                  <c:v>54.315631000000003</c:v>
                </c:pt>
                <c:pt idx="237">
                  <c:v>54.242190999999998</c:v>
                </c:pt>
                <c:pt idx="238">
                  <c:v>54.170436000000002</c:v>
                </c:pt>
                <c:pt idx="239">
                  <c:v>54.100929000000001</c:v>
                </c:pt>
                <c:pt idx="240">
                  <c:v>54.040705000000003</c:v>
                </c:pt>
                <c:pt idx="241">
                  <c:v>53.962902999999997</c:v>
                </c:pt>
                <c:pt idx="242">
                  <c:v>53.892541999999999</c:v>
                </c:pt>
                <c:pt idx="243">
                  <c:v>53.825273000000003</c:v>
                </c:pt>
                <c:pt idx="244">
                  <c:v>53.745052000000001</c:v>
                </c:pt>
                <c:pt idx="245">
                  <c:v>53.676087000000003</c:v>
                </c:pt>
                <c:pt idx="246">
                  <c:v>53.600518000000001</c:v>
                </c:pt>
                <c:pt idx="247">
                  <c:v>53.529575000000001</c:v>
                </c:pt>
                <c:pt idx="248">
                  <c:v>53.462007</c:v>
                </c:pt>
                <c:pt idx="249">
                  <c:v>53.399222999999999</c:v>
                </c:pt>
                <c:pt idx="250">
                  <c:v>53.325454000000001</c:v>
                </c:pt>
                <c:pt idx="251">
                  <c:v>53.261538000000002</c:v>
                </c:pt>
                <c:pt idx="252">
                  <c:v>53.182974999999999</c:v>
                </c:pt>
                <c:pt idx="253">
                  <c:v>53.123713000000002</c:v>
                </c:pt>
                <c:pt idx="254">
                  <c:v>53.06035</c:v>
                </c:pt>
                <c:pt idx="255">
                  <c:v>52.976424999999999</c:v>
                </c:pt>
                <c:pt idx="256">
                  <c:v>52.913618999999997</c:v>
                </c:pt>
                <c:pt idx="257">
                  <c:v>52.841797999999997</c:v>
                </c:pt>
                <c:pt idx="258">
                  <c:v>52.776732000000003</c:v>
                </c:pt>
                <c:pt idx="259">
                  <c:v>52.709003000000003</c:v>
                </c:pt>
                <c:pt idx="260">
                  <c:v>52.637734000000002</c:v>
                </c:pt>
                <c:pt idx="261">
                  <c:v>52.571249999999999</c:v>
                </c:pt>
                <c:pt idx="262">
                  <c:v>52.490958999999997</c:v>
                </c:pt>
                <c:pt idx="263">
                  <c:v>52.428006000000003</c:v>
                </c:pt>
                <c:pt idx="264">
                  <c:v>52.358539999999998</c:v>
                </c:pt>
                <c:pt idx="265">
                  <c:v>52.275573999999999</c:v>
                </c:pt>
                <c:pt idx="266">
                  <c:v>52.212173999999997</c:v>
                </c:pt>
                <c:pt idx="267">
                  <c:v>52.144261</c:v>
                </c:pt>
                <c:pt idx="268">
                  <c:v>52.076909999999998</c:v>
                </c:pt>
                <c:pt idx="269">
                  <c:v>52.010837000000002</c:v>
                </c:pt>
                <c:pt idx="270">
                  <c:v>51.937278999999997</c:v>
                </c:pt>
                <c:pt idx="271">
                  <c:v>51.875554000000001</c:v>
                </c:pt>
                <c:pt idx="272">
                  <c:v>51.803116000000003</c:v>
                </c:pt>
                <c:pt idx="273">
                  <c:v>51.732365000000001</c:v>
                </c:pt>
                <c:pt idx="274">
                  <c:v>51.671194999999997</c:v>
                </c:pt>
                <c:pt idx="275">
                  <c:v>51.601002000000001</c:v>
                </c:pt>
                <c:pt idx="276">
                  <c:v>51.541235999999998</c:v>
                </c:pt>
                <c:pt idx="277">
                  <c:v>51.476266000000003</c:v>
                </c:pt>
                <c:pt idx="278">
                  <c:v>51.410856000000003</c:v>
                </c:pt>
                <c:pt idx="279">
                  <c:v>51.354621000000002</c:v>
                </c:pt>
                <c:pt idx="280">
                  <c:v>51.284820000000003</c:v>
                </c:pt>
                <c:pt idx="281">
                  <c:v>51.217300999999999</c:v>
                </c:pt>
                <c:pt idx="282">
                  <c:v>51.153697000000001</c:v>
                </c:pt>
                <c:pt idx="283">
                  <c:v>51.093066</c:v>
                </c:pt>
                <c:pt idx="284">
                  <c:v>51.028357</c:v>
                </c:pt>
                <c:pt idx="285">
                  <c:v>50.954621000000003</c:v>
                </c:pt>
                <c:pt idx="286">
                  <c:v>50.895955999999998</c:v>
                </c:pt>
                <c:pt idx="287">
                  <c:v>50.826695999999998</c:v>
                </c:pt>
                <c:pt idx="288">
                  <c:v>50.769872999999997</c:v>
                </c:pt>
                <c:pt idx="289">
                  <c:v>50.703865999999998</c:v>
                </c:pt>
                <c:pt idx="290">
                  <c:v>50.642651000000001</c:v>
                </c:pt>
                <c:pt idx="291">
                  <c:v>50.581560000000003</c:v>
                </c:pt>
                <c:pt idx="292">
                  <c:v>50.519367000000003</c:v>
                </c:pt>
                <c:pt idx="293">
                  <c:v>50.444884000000002</c:v>
                </c:pt>
                <c:pt idx="294">
                  <c:v>50.393814999999996</c:v>
                </c:pt>
                <c:pt idx="295">
                  <c:v>50.331049999999998</c:v>
                </c:pt>
                <c:pt idx="296">
                  <c:v>50.265148000000003</c:v>
                </c:pt>
                <c:pt idx="297">
                  <c:v>50.210842</c:v>
                </c:pt>
                <c:pt idx="298">
                  <c:v>50.144807999999998</c:v>
                </c:pt>
                <c:pt idx="299">
                  <c:v>50.091752999999997</c:v>
                </c:pt>
                <c:pt idx="300">
                  <c:v>50.021197999999998</c:v>
                </c:pt>
                <c:pt idx="301">
                  <c:v>49.959105999999998</c:v>
                </c:pt>
                <c:pt idx="302">
                  <c:v>49.898705999999997</c:v>
                </c:pt>
                <c:pt idx="303">
                  <c:v>49.834789000000001</c:v>
                </c:pt>
                <c:pt idx="304">
                  <c:v>49.770994999999999</c:v>
                </c:pt>
                <c:pt idx="305">
                  <c:v>49.718207999999997</c:v>
                </c:pt>
                <c:pt idx="306">
                  <c:v>49.654409000000001</c:v>
                </c:pt>
                <c:pt idx="307">
                  <c:v>49.608548999999996</c:v>
                </c:pt>
                <c:pt idx="308">
                  <c:v>49.553497</c:v>
                </c:pt>
                <c:pt idx="309">
                  <c:v>49.498004999999999</c:v>
                </c:pt>
                <c:pt idx="310">
                  <c:v>49.444516</c:v>
                </c:pt>
                <c:pt idx="311">
                  <c:v>49.386634000000001</c:v>
                </c:pt>
                <c:pt idx="312">
                  <c:v>49.327902999999999</c:v>
                </c:pt>
                <c:pt idx="313">
                  <c:v>49.275381000000003</c:v>
                </c:pt>
                <c:pt idx="314">
                  <c:v>49.206352000000003</c:v>
                </c:pt>
                <c:pt idx="315">
                  <c:v>49.147331000000001</c:v>
                </c:pt>
                <c:pt idx="316">
                  <c:v>49.086328999999999</c:v>
                </c:pt>
                <c:pt idx="317">
                  <c:v>49.018546999999998</c:v>
                </c:pt>
                <c:pt idx="318">
                  <c:v>48.962059000000004</c:v>
                </c:pt>
                <c:pt idx="319">
                  <c:v>48.905569</c:v>
                </c:pt>
                <c:pt idx="320">
                  <c:v>48.853313999999997</c:v>
                </c:pt>
                <c:pt idx="321">
                  <c:v>48.796819999999997</c:v>
                </c:pt>
                <c:pt idx="322">
                  <c:v>48.743713</c:v>
                </c:pt>
                <c:pt idx="323">
                  <c:v>48.680872000000001</c:v>
                </c:pt>
                <c:pt idx="324">
                  <c:v>48.641604000000001</c:v>
                </c:pt>
                <c:pt idx="325">
                  <c:v>48.580863000000001</c:v>
                </c:pt>
                <c:pt idx="326">
                  <c:v>48.528030000000001</c:v>
                </c:pt>
                <c:pt idx="327">
                  <c:v>48.461067999999997</c:v>
                </c:pt>
                <c:pt idx="328">
                  <c:v>48.403709999999997</c:v>
                </c:pt>
                <c:pt idx="329">
                  <c:v>48.355955999999999</c:v>
                </c:pt>
                <c:pt idx="330">
                  <c:v>48.297620000000002</c:v>
                </c:pt>
                <c:pt idx="331">
                  <c:v>48.235011</c:v>
                </c:pt>
                <c:pt idx="332">
                  <c:v>48.175539000000001</c:v>
                </c:pt>
                <c:pt idx="333">
                  <c:v>48.124668999999997</c:v>
                </c:pt>
                <c:pt idx="334">
                  <c:v>48.068427</c:v>
                </c:pt>
                <c:pt idx="335">
                  <c:v>48.016421999999999</c:v>
                </c:pt>
                <c:pt idx="336">
                  <c:v>47.962719999999997</c:v>
                </c:pt>
                <c:pt idx="337">
                  <c:v>47.912972000000003</c:v>
                </c:pt>
                <c:pt idx="338">
                  <c:v>47.856596000000003</c:v>
                </c:pt>
                <c:pt idx="339">
                  <c:v>47.813628999999999</c:v>
                </c:pt>
                <c:pt idx="340">
                  <c:v>47.750024000000003</c:v>
                </c:pt>
                <c:pt idx="341">
                  <c:v>47.709440999999998</c:v>
                </c:pt>
                <c:pt idx="342">
                  <c:v>47.659967000000002</c:v>
                </c:pt>
                <c:pt idx="343">
                  <c:v>47.608387</c:v>
                </c:pt>
                <c:pt idx="344">
                  <c:v>47.558061000000002</c:v>
                </c:pt>
                <c:pt idx="345">
                  <c:v>47.490768000000003</c:v>
                </c:pt>
                <c:pt idx="346">
                  <c:v>47.446249999999999</c:v>
                </c:pt>
                <c:pt idx="347">
                  <c:v>47.39152</c:v>
                </c:pt>
                <c:pt idx="348">
                  <c:v>47.329183</c:v>
                </c:pt>
                <c:pt idx="349">
                  <c:v>47.277558999999997</c:v>
                </c:pt>
                <c:pt idx="350">
                  <c:v>47.234164999999997</c:v>
                </c:pt>
                <c:pt idx="351">
                  <c:v>47.170659000000001</c:v>
                </c:pt>
                <c:pt idx="352">
                  <c:v>47.119059999999998</c:v>
                </c:pt>
                <c:pt idx="353">
                  <c:v>47.063341999999999</c:v>
                </c:pt>
                <c:pt idx="354">
                  <c:v>47.010167000000003</c:v>
                </c:pt>
                <c:pt idx="355">
                  <c:v>46.952182000000001</c:v>
                </c:pt>
                <c:pt idx="356">
                  <c:v>46.895043000000001</c:v>
                </c:pt>
                <c:pt idx="357">
                  <c:v>46.840164000000001</c:v>
                </c:pt>
                <c:pt idx="358">
                  <c:v>46.784309</c:v>
                </c:pt>
                <c:pt idx="359">
                  <c:v>46.727885000000001</c:v>
                </c:pt>
                <c:pt idx="360">
                  <c:v>46.673282999999998</c:v>
                </c:pt>
                <c:pt idx="361">
                  <c:v>46.618962000000003</c:v>
                </c:pt>
                <c:pt idx="362">
                  <c:v>46.568159000000001</c:v>
                </c:pt>
                <c:pt idx="363">
                  <c:v>46.509022999999999</c:v>
                </c:pt>
                <c:pt idx="364">
                  <c:v>46.451739000000003</c:v>
                </c:pt>
                <c:pt idx="365">
                  <c:v>46.397691999999999</c:v>
                </c:pt>
                <c:pt idx="366">
                  <c:v>46.344082</c:v>
                </c:pt>
                <c:pt idx="367">
                  <c:v>46.295250000000003</c:v>
                </c:pt>
                <c:pt idx="368">
                  <c:v>46.231164999999997</c:v>
                </c:pt>
                <c:pt idx="369">
                  <c:v>46.178522999999998</c:v>
                </c:pt>
                <c:pt idx="370">
                  <c:v>46.129275999999997</c:v>
                </c:pt>
                <c:pt idx="371">
                  <c:v>46.076630999999999</c:v>
                </c:pt>
                <c:pt idx="372">
                  <c:v>46.021152999999998</c:v>
                </c:pt>
                <c:pt idx="373">
                  <c:v>45.974888</c:v>
                </c:pt>
                <c:pt idx="374">
                  <c:v>45.916418</c:v>
                </c:pt>
                <c:pt idx="375">
                  <c:v>45.862506000000003</c:v>
                </c:pt>
                <c:pt idx="376">
                  <c:v>45.810825999999999</c:v>
                </c:pt>
                <c:pt idx="377">
                  <c:v>45.754770999999998</c:v>
                </c:pt>
                <c:pt idx="378">
                  <c:v>45.706515000000003</c:v>
                </c:pt>
                <c:pt idx="379">
                  <c:v>45.649889000000002</c:v>
                </c:pt>
                <c:pt idx="380">
                  <c:v>45.592694999999999</c:v>
                </c:pt>
                <c:pt idx="381">
                  <c:v>45.542703000000003</c:v>
                </c:pt>
                <c:pt idx="382">
                  <c:v>45.484245000000001</c:v>
                </c:pt>
                <c:pt idx="383">
                  <c:v>45.424778000000003</c:v>
                </c:pt>
                <c:pt idx="384">
                  <c:v>45.374369999999999</c:v>
                </c:pt>
                <c:pt idx="385">
                  <c:v>45.324244</c:v>
                </c:pt>
                <c:pt idx="386">
                  <c:v>45.262504</c:v>
                </c:pt>
                <c:pt idx="387">
                  <c:v>45.208565999999998</c:v>
                </c:pt>
                <c:pt idx="388">
                  <c:v>45.156294000000003</c:v>
                </c:pt>
                <c:pt idx="389">
                  <c:v>45.109715999999999</c:v>
                </c:pt>
                <c:pt idx="390">
                  <c:v>45.052214999999997</c:v>
                </c:pt>
                <c:pt idx="391">
                  <c:v>44.994995000000003</c:v>
                </c:pt>
                <c:pt idx="392">
                  <c:v>44.942022000000001</c:v>
                </c:pt>
                <c:pt idx="393">
                  <c:v>44.889330000000001</c:v>
                </c:pt>
                <c:pt idx="394">
                  <c:v>44.842301999999997</c:v>
                </c:pt>
                <c:pt idx="395">
                  <c:v>44.791871999999998</c:v>
                </c:pt>
                <c:pt idx="396">
                  <c:v>44.735081999999998</c:v>
                </c:pt>
                <c:pt idx="397">
                  <c:v>44.683357000000001</c:v>
                </c:pt>
                <c:pt idx="398">
                  <c:v>44.640289000000003</c:v>
                </c:pt>
                <c:pt idx="399">
                  <c:v>44.583775000000003</c:v>
                </c:pt>
                <c:pt idx="400">
                  <c:v>44.536011999999999</c:v>
                </c:pt>
                <c:pt idx="401">
                  <c:v>44.489696000000002</c:v>
                </c:pt>
                <c:pt idx="402">
                  <c:v>44.439819999999997</c:v>
                </c:pt>
                <c:pt idx="403">
                  <c:v>44.406379000000001</c:v>
                </c:pt>
                <c:pt idx="404">
                  <c:v>44.365851999999997</c:v>
                </c:pt>
                <c:pt idx="405">
                  <c:v>44.302368000000001</c:v>
                </c:pt>
                <c:pt idx="406">
                  <c:v>44.261837999999997</c:v>
                </c:pt>
                <c:pt idx="407">
                  <c:v>44.211260000000003</c:v>
                </c:pt>
                <c:pt idx="408">
                  <c:v>44.163358000000002</c:v>
                </c:pt>
                <c:pt idx="409">
                  <c:v>44.118288</c:v>
                </c:pt>
                <c:pt idx="410">
                  <c:v>44.060177000000003</c:v>
                </c:pt>
                <c:pt idx="411">
                  <c:v>44.013120000000001</c:v>
                </c:pt>
                <c:pt idx="412">
                  <c:v>43.960675000000002</c:v>
                </c:pt>
                <c:pt idx="413">
                  <c:v>43.910212000000001</c:v>
                </c:pt>
                <c:pt idx="414">
                  <c:v>43.849414000000003</c:v>
                </c:pt>
                <c:pt idx="415">
                  <c:v>43.804175999999998</c:v>
                </c:pt>
                <c:pt idx="416">
                  <c:v>43.760511999999999</c:v>
                </c:pt>
                <c:pt idx="417">
                  <c:v>43.697156</c:v>
                </c:pt>
                <c:pt idx="418">
                  <c:v>43.656733000000003</c:v>
                </c:pt>
                <c:pt idx="419">
                  <c:v>43.607959999999999</c:v>
                </c:pt>
                <c:pt idx="420">
                  <c:v>43.557640999999997</c:v>
                </c:pt>
                <c:pt idx="421">
                  <c:v>43.509588999999998</c:v>
                </c:pt>
                <c:pt idx="422">
                  <c:v>43.460369</c:v>
                </c:pt>
                <c:pt idx="423">
                  <c:v>43.416409999999999</c:v>
                </c:pt>
                <c:pt idx="424">
                  <c:v>43.360253999999998</c:v>
                </c:pt>
                <c:pt idx="425">
                  <c:v>43.310493000000001</c:v>
                </c:pt>
                <c:pt idx="426">
                  <c:v>43.271192999999997</c:v>
                </c:pt>
                <c:pt idx="427">
                  <c:v>43.213611999999998</c:v>
                </c:pt>
                <c:pt idx="428">
                  <c:v>43.162711000000002</c:v>
                </c:pt>
                <c:pt idx="429">
                  <c:v>43.116756000000002</c:v>
                </c:pt>
                <c:pt idx="430">
                  <c:v>43.079877000000003</c:v>
                </c:pt>
                <c:pt idx="431">
                  <c:v>43.020994999999999</c:v>
                </c:pt>
                <c:pt idx="432">
                  <c:v>42.974468000000002</c:v>
                </c:pt>
                <c:pt idx="433">
                  <c:v>42.926237</c:v>
                </c:pt>
                <c:pt idx="434">
                  <c:v>42.886389999999999</c:v>
                </c:pt>
                <c:pt idx="435">
                  <c:v>42.834750999999997</c:v>
                </c:pt>
                <c:pt idx="436">
                  <c:v>42.787081999999998</c:v>
                </c:pt>
                <c:pt idx="437">
                  <c:v>42.740389</c:v>
                </c:pt>
                <c:pt idx="438">
                  <c:v>42.691738999999998</c:v>
                </c:pt>
                <c:pt idx="439">
                  <c:v>42.646619000000001</c:v>
                </c:pt>
                <c:pt idx="440">
                  <c:v>42.604336000000004</c:v>
                </c:pt>
                <c:pt idx="441">
                  <c:v>42.560631999999998</c:v>
                </c:pt>
                <c:pt idx="442">
                  <c:v>42.510114999999999</c:v>
                </c:pt>
                <c:pt idx="443">
                  <c:v>42.450797999999999</c:v>
                </c:pt>
                <c:pt idx="444">
                  <c:v>42.410209999999999</c:v>
                </c:pt>
                <c:pt idx="445">
                  <c:v>42.357543</c:v>
                </c:pt>
                <c:pt idx="446">
                  <c:v>42.318530000000003</c:v>
                </c:pt>
                <c:pt idx="447">
                  <c:v>42.269990999999997</c:v>
                </c:pt>
                <c:pt idx="448">
                  <c:v>42.222585000000002</c:v>
                </c:pt>
                <c:pt idx="449">
                  <c:v>42.179152999999999</c:v>
                </c:pt>
                <c:pt idx="450">
                  <c:v>42.133163000000003</c:v>
                </c:pt>
                <c:pt idx="451">
                  <c:v>42.088023999999997</c:v>
                </c:pt>
                <c:pt idx="452">
                  <c:v>42.038623999999999</c:v>
                </c:pt>
                <c:pt idx="453">
                  <c:v>41.994900999999999</c:v>
                </c:pt>
                <c:pt idx="454">
                  <c:v>41.943511000000001</c:v>
                </c:pt>
                <c:pt idx="455">
                  <c:v>41.913854999999998</c:v>
                </c:pt>
                <c:pt idx="456">
                  <c:v>41.861893999999999</c:v>
                </c:pt>
                <c:pt idx="457">
                  <c:v>41.823970000000003</c:v>
                </c:pt>
                <c:pt idx="458">
                  <c:v>41.770459000000002</c:v>
                </c:pt>
                <c:pt idx="459">
                  <c:v>41.729850999999996</c:v>
                </c:pt>
                <c:pt idx="460">
                  <c:v>41.688389000000001</c:v>
                </c:pt>
                <c:pt idx="461">
                  <c:v>41.653016000000001</c:v>
                </c:pt>
                <c:pt idx="462">
                  <c:v>41.604610000000001</c:v>
                </c:pt>
                <c:pt idx="463">
                  <c:v>41.570245</c:v>
                </c:pt>
                <c:pt idx="464">
                  <c:v>41.529062000000003</c:v>
                </c:pt>
                <c:pt idx="465">
                  <c:v>41.483207999999998</c:v>
                </c:pt>
                <c:pt idx="466">
                  <c:v>41.440159999999999</c:v>
                </c:pt>
                <c:pt idx="467">
                  <c:v>41.403233999999998</c:v>
                </c:pt>
                <c:pt idx="468">
                  <c:v>41.362046999999997</c:v>
                </c:pt>
                <c:pt idx="469">
                  <c:v>41.319595</c:v>
                </c:pt>
                <c:pt idx="470">
                  <c:v>41.265746999999998</c:v>
                </c:pt>
                <c:pt idx="471">
                  <c:v>41.227679999999999</c:v>
                </c:pt>
                <c:pt idx="472">
                  <c:v>41.184655999999997</c:v>
                </c:pt>
                <c:pt idx="473">
                  <c:v>41.135348</c:v>
                </c:pt>
                <c:pt idx="474">
                  <c:v>41.097434999999997</c:v>
                </c:pt>
                <c:pt idx="475">
                  <c:v>41.054816000000002</c:v>
                </c:pt>
                <c:pt idx="476">
                  <c:v>41.013049000000002</c:v>
                </c:pt>
                <c:pt idx="477">
                  <c:v>40.970996</c:v>
                </c:pt>
                <c:pt idx="478">
                  <c:v>40.922407</c:v>
                </c:pt>
                <c:pt idx="479">
                  <c:v>40.884329000000001</c:v>
                </c:pt>
                <c:pt idx="480">
                  <c:v>40.838135999999999</c:v>
                </c:pt>
                <c:pt idx="481">
                  <c:v>40.804192999999998</c:v>
                </c:pt>
                <c:pt idx="482">
                  <c:v>40.756449000000003</c:v>
                </c:pt>
                <c:pt idx="483">
                  <c:v>40.714956000000001</c:v>
                </c:pt>
                <c:pt idx="484">
                  <c:v>40.675894</c:v>
                </c:pt>
                <c:pt idx="485">
                  <c:v>40.640493999999997</c:v>
                </c:pt>
                <c:pt idx="486">
                  <c:v>40.602691999999998</c:v>
                </c:pt>
                <c:pt idx="487">
                  <c:v>40.547834999999999</c:v>
                </c:pt>
                <c:pt idx="488">
                  <c:v>40.524242999999998</c:v>
                </c:pt>
                <c:pt idx="489">
                  <c:v>40.480468999999999</c:v>
                </c:pt>
                <c:pt idx="490">
                  <c:v>40.438966999999998</c:v>
                </c:pt>
                <c:pt idx="491">
                  <c:v>40.408551000000003</c:v>
                </c:pt>
                <c:pt idx="492">
                  <c:v>40.361361000000002</c:v>
                </c:pt>
                <c:pt idx="493">
                  <c:v>40.317866000000002</c:v>
                </c:pt>
                <c:pt idx="494">
                  <c:v>40.27778</c:v>
                </c:pt>
                <c:pt idx="495">
                  <c:v>40.243380000000002</c:v>
                </c:pt>
                <c:pt idx="496">
                  <c:v>40.195616000000001</c:v>
                </c:pt>
                <c:pt idx="497">
                  <c:v>40.160075999999997</c:v>
                </c:pt>
                <c:pt idx="498">
                  <c:v>40.101661999999997</c:v>
                </c:pt>
                <c:pt idx="499">
                  <c:v>40.070225999999998</c:v>
                </c:pt>
                <c:pt idx="500">
                  <c:v>40.025582999999997</c:v>
                </c:pt>
                <c:pt idx="501">
                  <c:v>39.989344000000003</c:v>
                </c:pt>
                <c:pt idx="502">
                  <c:v>39.944414000000002</c:v>
                </c:pt>
                <c:pt idx="503">
                  <c:v>39.905738999999997</c:v>
                </c:pt>
                <c:pt idx="504">
                  <c:v>39.859667999999999</c:v>
                </c:pt>
                <c:pt idx="505">
                  <c:v>39.819284000000003</c:v>
                </c:pt>
                <c:pt idx="506">
                  <c:v>39.787146</c:v>
                </c:pt>
                <c:pt idx="507">
                  <c:v>39.734245999999999</c:v>
                </c:pt>
                <c:pt idx="508">
                  <c:v>39.702390000000001</c:v>
                </c:pt>
                <c:pt idx="509">
                  <c:v>39.668543</c:v>
                </c:pt>
                <c:pt idx="510">
                  <c:v>39.629165</c:v>
                </c:pt>
                <c:pt idx="511">
                  <c:v>39.584791000000003</c:v>
                </c:pt>
                <c:pt idx="512">
                  <c:v>39.543101999999998</c:v>
                </c:pt>
                <c:pt idx="513">
                  <c:v>39.502991999999999</c:v>
                </c:pt>
                <c:pt idx="514">
                  <c:v>39.466453000000001</c:v>
                </c:pt>
                <c:pt idx="515">
                  <c:v>39.423054</c:v>
                </c:pt>
                <c:pt idx="516">
                  <c:v>39.391759</c:v>
                </c:pt>
                <c:pt idx="517">
                  <c:v>39.346113000000003</c:v>
                </c:pt>
                <c:pt idx="518">
                  <c:v>39.304575</c:v>
                </c:pt>
                <c:pt idx="519">
                  <c:v>39.261327999999999</c:v>
                </c:pt>
                <c:pt idx="520">
                  <c:v>39.226616</c:v>
                </c:pt>
                <c:pt idx="521">
                  <c:v>39.176820999999997</c:v>
                </c:pt>
                <c:pt idx="522">
                  <c:v>39.131293999999997</c:v>
                </c:pt>
                <c:pt idx="523">
                  <c:v>39.098570000000002</c:v>
                </c:pt>
                <c:pt idx="524">
                  <c:v>39.068120999999998</c:v>
                </c:pt>
                <c:pt idx="525">
                  <c:v>39.023159</c:v>
                </c:pt>
                <c:pt idx="526">
                  <c:v>38.986606000000002</c:v>
                </c:pt>
                <c:pt idx="527">
                  <c:v>38.937372000000003</c:v>
                </c:pt>
                <c:pt idx="528">
                  <c:v>38.903219999999997</c:v>
                </c:pt>
                <c:pt idx="529">
                  <c:v>38.866790000000002</c:v>
                </c:pt>
                <c:pt idx="530">
                  <c:v>38.81812</c:v>
                </c:pt>
                <c:pt idx="531">
                  <c:v>38.786527</c:v>
                </c:pt>
                <c:pt idx="532">
                  <c:v>38.747247000000002</c:v>
                </c:pt>
                <c:pt idx="533">
                  <c:v>38.708250999999997</c:v>
                </c:pt>
                <c:pt idx="534">
                  <c:v>38.667546000000002</c:v>
                </c:pt>
                <c:pt idx="535">
                  <c:v>38.637940999999998</c:v>
                </c:pt>
                <c:pt idx="536">
                  <c:v>38.580880999999998</c:v>
                </c:pt>
                <c:pt idx="537">
                  <c:v>38.544156999999998</c:v>
                </c:pt>
                <c:pt idx="538">
                  <c:v>38.513126</c:v>
                </c:pt>
                <c:pt idx="539">
                  <c:v>38.465456000000003</c:v>
                </c:pt>
                <c:pt idx="540">
                  <c:v>38.426166000000002</c:v>
                </c:pt>
                <c:pt idx="541">
                  <c:v>38.384439</c:v>
                </c:pt>
                <c:pt idx="542">
                  <c:v>38.351284999999997</c:v>
                </c:pt>
                <c:pt idx="543">
                  <c:v>38.308005000000001</c:v>
                </c:pt>
                <c:pt idx="544">
                  <c:v>38.262731000000002</c:v>
                </c:pt>
                <c:pt idx="545">
                  <c:v>38.225997999999997</c:v>
                </c:pt>
                <c:pt idx="546">
                  <c:v>38.188409</c:v>
                </c:pt>
                <c:pt idx="547">
                  <c:v>38.157243999999999</c:v>
                </c:pt>
                <c:pt idx="548">
                  <c:v>38.121361999999998</c:v>
                </c:pt>
                <c:pt idx="549">
                  <c:v>38.075226999999998</c:v>
                </c:pt>
                <c:pt idx="550">
                  <c:v>38.043044999999999</c:v>
                </c:pt>
                <c:pt idx="551">
                  <c:v>37.999470000000002</c:v>
                </c:pt>
                <c:pt idx="552">
                  <c:v>37.971716999999998</c:v>
                </c:pt>
                <c:pt idx="553">
                  <c:v>37.928550999999999</c:v>
                </c:pt>
                <c:pt idx="554">
                  <c:v>37.897505000000002</c:v>
                </c:pt>
                <c:pt idx="555">
                  <c:v>37.854937999999997</c:v>
                </c:pt>
                <c:pt idx="556">
                  <c:v>37.823036000000002</c:v>
                </c:pt>
                <c:pt idx="557">
                  <c:v>37.798254</c:v>
                </c:pt>
                <c:pt idx="558">
                  <c:v>37.757677999999999</c:v>
                </c:pt>
                <c:pt idx="559">
                  <c:v>37.723334999999999</c:v>
                </c:pt>
                <c:pt idx="560">
                  <c:v>37.688580999999999</c:v>
                </c:pt>
                <c:pt idx="561">
                  <c:v>37.660251000000002</c:v>
                </c:pt>
                <c:pt idx="562">
                  <c:v>37.616663000000003</c:v>
                </c:pt>
                <c:pt idx="563">
                  <c:v>37.589756999999999</c:v>
                </c:pt>
                <c:pt idx="564">
                  <c:v>37.546576999999999</c:v>
                </c:pt>
                <c:pt idx="565">
                  <c:v>37.52008</c:v>
                </c:pt>
                <c:pt idx="566">
                  <c:v>37.476931</c:v>
                </c:pt>
                <c:pt idx="567">
                  <c:v>37.438181</c:v>
                </c:pt>
                <c:pt idx="568">
                  <c:v>37.413105999999999</c:v>
                </c:pt>
                <c:pt idx="569">
                  <c:v>37.378912999999997</c:v>
                </c:pt>
                <c:pt idx="570">
                  <c:v>37.347158</c:v>
                </c:pt>
                <c:pt idx="571">
                  <c:v>37.311253000000001</c:v>
                </c:pt>
                <c:pt idx="572">
                  <c:v>37.277056000000002</c:v>
                </c:pt>
                <c:pt idx="573">
                  <c:v>37.240580000000001</c:v>
                </c:pt>
                <c:pt idx="574">
                  <c:v>37.209390999999997</c:v>
                </c:pt>
                <c:pt idx="575">
                  <c:v>37.176617</c:v>
                </c:pt>
                <c:pt idx="576">
                  <c:v>37.141688000000002</c:v>
                </c:pt>
                <c:pt idx="577">
                  <c:v>37.103371000000003</c:v>
                </c:pt>
                <c:pt idx="578">
                  <c:v>37.071733999999999</c:v>
                </c:pt>
                <c:pt idx="579">
                  <c:v>37.039527</c:v>
                </c:pt>
                <c:pt idx="580">
                  <c:v>37.011594000000002</c:v>
                </c:pt>
                <c:pt idx="581">
                  <c:v>36.971848000000001</c:v>
                </c:pt>
                <c:pt idx="582">
                  <c:v>36.941918999999999</c:v>
                </c:pt>
                <c:pt idx="583">
                  <c:v>36.900871000000002</c:v>
                </c:pt>
                <c:pt idx="584">
                  <c:v>36.871668999999997</c:v>
                </c:pt>
                <c:pt idx="585">
                  <c:v>36.841737000000002</c:v>
                </c:pt>
                <c:pt idx="586">
                  <c:v>36.799830999999998</c:v>
                </c:pt>
                <c:pt idx="587">
                  <c:v>36.767172000000002</c:v>
                </c:pt>
                <c:pt idx="588">
                  <c:v>36.734831</c:v>
                </c:pt>
                <c:pt idx="589">
                  <c:v>36.712183000000003</c:v>
                </c:pt>
                <c:pt idx="590">
                  <c:v>36.672108999999999</c:v>
                </c:pt>
                <c:pt idx="591">
                  <c:v>36.634917999999999</c:v>
                </c:pt>
                <c:pt idx="592">
                  <c:v>36.600988999999998</c:v>
                </c:pt>
                <c:pt idx="593">
                  <c:v>36.574756999999998</c:v>
                </c:pt>
                <c:pt idx="594">
                  <c:v>36.537278999999998</c:v>
                </c:pt>
                <c:pt idx="595">
                  <c:v>36.503186999999997</c:v>
                </c:pt>
                <c:pt idx="596">
                  <c:v>36.466562000000003</c:v>
                </c:pt>
                <c:pt idx="597">
                  <c:v>36.425499000000002</c:v>
                </c:pt>
                <c:pt idx="598">
                  <c:v>36.405822000000001</c:v>
                </c:pt>
                <c:pt idx="599">
                  <c:v>36.367894</c:v>
                </c:pt>
                <c:pt idx="600">
                  <c:v>36.338394000000001</c:v>
                </c:pt>
                <c:pt idx="601">
                  <c:v>36.307434000000001</c:v>
                </c:pt>
                <c:pt idx="602">
                  <c:v>36.271943999999998</c:v>
                </c:pt>
                <c:pt idx="603">
                  <c:v>36.249572999999998</c:v>
                </c:pt>
                <c:pt idx="604">
                  <c:v>36.208216999999998</c:v>
                </c:pt>
                <c:pt idx="605">
                  <c:v>36.162582</c:v>
                </c:pt>
                <c:pt idx="606">
                  <c:v>36.141759999999998</c:v>
                </c:pt>
                <c:pt idx="607">
                  <c:v>36.103254</c:v>
                </c:pt>
                <c:pt idx="608">
                  <c:v>36.072161999999999</c:v>
                </c:pt>
                <c:pt idx="609">
                  <c:v>36.042656000000001</c:v>
                </c:pt>
                <c:pt idx="610">
                  <c:v>36.007694999999998</c:v>
                </c:pt>
                <c:pt idx="611">
                  <c:v>35.972481999999999</c:v>
                </c:pt>
                <c:pt idx="612">
                  <c:v>35.941102000000001</c:v>
                </c:pt>
                <c:pt idx="613">
                  <c:v>35.919991000000003</c:v>
                </c:pt>
                <c:pt idx="614">
                  <c:v>35.887058000000003</c:v>
                </c:pt>
                <c:pt idx="615">
                  <c:v>35.858243000000002</c:v>
                </c:pt>
                <c:pt idx="616">
                  <c:v>35.828572000000001</c:v>
                </c:pt>
                <c:pt idx="617">
                  <c:v>35.810186999999999</c:v>
                </c:pt>
                <c:pt idx="618">
                  <c:v>35.779214000000003</c:v>
                </c:pt>
                <c:pt idx="619">
                  <c:v>35.748398999999999</c:v>
                </c:pt>
                <c:pt idx="620">
                  <c:v>35.719582000000003</c:v>
                </c:pt>
                <c:pt idx="621">
                  <c:v>35.687499000000003</c:v>
                </c:pt>
                <c:pt idx="622">
                  <c:v>35.653829000000002</c:v>
                </c:pt>
                <c:pt idx="623">
                  <c:v>35.626435999999998</c:v>
                </c:pt>
                <c:pt idx="624">
                  <c:v>35.599041999999997</c:v>
                </c:pt>
                <c:pt idx="625">
                  <c:v>35.570380999999998</c:v>
                </c:pt>
                <c:pt idx="626">
                  <c:v>35.542414999999998</c:v>
                </c:pt>
                <c:pt idx="627">
                  <c:v>35.508741000000001</c:v>
                </c:pt>
                <c:pt idx="628">
                  <c:v>35.486071000000003</c:v>
                </c:pt>
                <c:pt idx="629">
                  <c:v>35.460670999999998</c:v>
                </c:pt>
                <c:pt idx="630">
                  <c:v>35.419289999999997</c:v>
                </c:pt>
                <c:pt idx="631">
                  <c:v>35.400452999999999</c:v>
                </c:pt>
                <c:pt idx="632">
                  <c:v>35.367792000000001</c:v>
                </c:pt>
                <c:pt idx="633">
                  <c:v>35.345815000000002</c:v>
                </c:pt>
                <c:pt idx="634">
                  <c:v>35.314990000000002</c:v>
                </c:pt>
                <c:pt idx="635">
                  <c:v>35.279311999999997</c:v>
                </c:pt>
                <c:pt idx="636">
                  <c:v>35.249056000000003</c:v>
                </c:pt>
                <c:pt idx="637">
                  <c:v>35.223936999999999</c:v>
                </c:pt>
                <c:pt idx="638">
                  <c:v>35.196123999999998</c:v>
                </c:pt>
                <c:pt idx="639">
                  <c:v>35.167864000000002</c:v>
                </c:pt>
                <c:pt idx="640">
                  <c:v>35.142619000000003</c:v>
                </c:pt>
                <c:pt idx="641">
                  <c:v>35.107632000000002</c:v>
                </c:pt>
                <c:pt idx="642">
                  <c:v>35.073250000000002</c:v>
                </c:pt>
                <c:pt idx="643">
                  <c:v>35.046985999999997</c:v>
                </c:pt>
                <c:pt idx="644">
                  <c:v>35.017580000000002</c:v>
                </c:pt>
                <c:pt idx="645">
                  <c:v>35.006607000000002</c:v>
                </c:pt>
                <c:pt idx="646">
                  <c:v>34.966762000000003</c:v>
                </c:pt>
                <c:pt idx="647">
                  <c:v>34.942084000000001</c:v>
                </c:pt>
                <c:pt idx="648">
                  <c:v>34.915816999999997</c:v>
                </c:pt>
                <c:pt idx="649">
                  <c:v>34.882697</c:v>
                </c:pt>
                <c:pt idx="650">
                  <c:v>34.858713000000002</c:v>
                </c:pt>
                <c:pt idx="651">
                  <c:v>34.825876999999998</c:v>
                </c:pt>
                <c:pt idx="652">
                  <c:v>34.801766000000001</c:v>
                </c:pt>
                <c:pt idx="653">
                  <c:v>34.766770000000001</c:v>
                </c:pt>
                <c:pt idx="654">
                  <c:v>34.747227000000002</c:v>
                </c:pt>
                <c:pt idx="655">
                  <c:v>34.714674000000002</c:v>
                </c:pt>
                <c:pt idx="656">
                  <c:v>34.692971</c:v>
                </c:pt>
                <c:pt idx="657">
                  <c:v>34.655150999999996</c:v>
                </c:pt>
                <c:pt idx="658">
                  <c:v>34.633161000000001</c:v>
                </c:pt>
                <c:pt idx="659">
                  <c:v>34.602032999999999</c:v>
                </c:pt>
                <c:pt idx="660">
                  <c:v>34.572206000000001</c:v>
                </c:pt>
                <c:pt idx="661">
                  <c:v>34.542344</c:v>
                </c:pt>
                <c:pt idx="662">
                  <c:v>34.507945999999997</c:v>
                </c:pt>
                <c:pt idx="663">
                  <c:v>34.481955999999997</c:v>
                </c:pt>
                <c:pt idx="664">
                  <c:v>34.457963999999997</c:v>
                </c:pt>
                <c:pt idx="665">
                  <c:v>34.418422999999997</c:v>
                </c:pt>
                <c:pt idx="666">
                  <c:v>34.395572000000001</c:v>
                </c:pt>
                <c:pt idx="667">
                  <c:v>34.369292999999999</c:v>
                </c:pt>
                <c:pt idx="668">
                  <c:v>34.333587999999999</c:v>
                </c:pt>
                <c:pt idx="669">
                  <c:v>34.303879999999999</c:v>
                </c:pt>
                <c:pt idx="670">
                  <c:v>34.276457000000001</c:v>
                </c:pt>
                <c:pt idx="671">
                  <c:v>34.258620999999998</c:v>
                </c:pt>
                <c:pt idx="672">
                  <c:v>34.217894999999999</c:v>
                </c:pt>
                <c:pt idx="673">
                  <c:v>34.196629999999999</c:v>
                </c:pt>
                <c:pt idx="674">
                  <c:v>34.172632</c:v>
                </c:pt>
                <c:pt idx="675">
                  <c:v>34.133493000000001</c:v>
                </c:pt>
                <c:pt idx="676">
                  <c:v>34.116064999999999</c:v>
                </c:pt>
                <c:pt idx="677">
                  <c:v>34.077941000000003</c:v>
                </c:pt>
                <c:pt idx="678">
                  <c:v>34.063656000000002</c:v>
                </c:pt>
                <c:pt idx="679">
                  <c:v>34.028512999999997</c:v>
                </c:pt>
                <c:pt idx="680">
                  <c:v>34.000512000000001</c:v>
                </c:pt>
                <c:pt idx="681">
                  <c:v>33.971938999999999</c:v>
                </c:pt>
                <c:pt idx="682">
                  <c:v>33.941364999999998</c:v>
                </c:pt>
                <c:pt idx="683">
                  <c:v>33.92765</c:v>
                </c:pt>
                <c:pt idx="684">
                  <c:v>33.895806999999998</c:v>
                </c:pt>
                <c:pt idx="685">
                  <c:v>33.870660999999998</c:v>
                </c:pt>
                <c:pt idx="686">
                  <c:v>33.845227999999999</c:v>
                </c:pt>
                <c:pt idx="687">
                  <c:v>33.818652</c:v>
                </c:pt>
                <c:pt idx="688">
                  <c:v>33.798932999999998</c:v>
                </c:pt>
                <c:pt idx="689">
                  <c:v>33.776929000000003</c:v>
                </c:pt>
                <c:pt idx="690">
                  <c:v>33.746797000000001</c:v>
                </c:pt>
                <c:pt idx="691">
                  <c:v>33.724791000000003</c:v>
                </c:pt>
                <c:pt idx="692">
                  <c:v>33.702213</c:v>
                </c:pt>
                <c:pt idx="693">
                  <c:v>33.667059999999999</c:v>
                </c:pt>
                <c:pt idx="694">
                  <c:v>33.641050999999997</c:v>
                </c:pt>
                <c:pt idx="695">
                  <c:v>33.622473999999997</c:v>
                </c:pt>
                <c:pt idx="696">
                  <c:v>33.590176</c:v>
                </c:pt>
                <c:pt idx="697">
                  <c:v>33.567470999999998</c:v>
                </c:pt>
                <c:pt idx="698">
                  <c:v>33.544032999999999</c:v>
                </c:pt>
                <c:pt idx="699">
                  <c:v>33.510876000000003</c:v>
                </c:pt>
                <c:pt idx="700">
                  <c:v>33.487723000000003</c:v>
                </c:pt>
                <c:pt idx="701">
                  <c:v>33.459708999999997</c:v>
                </c:pt>
                <c:pt idx="702">
                  <c:v>33.443415999999999</c:v>
                </c:pt>
                <c:pt idx="703">
                  <c:v>33.408541</c:v>
                </c:pt>
                <c:pt idx="704">
                  <c:v>33.390120000000003</c:v>
                </c:pt>
                <c:pt idx="705">
                  <c:v>33.364677999999998</c:v>
                </c:pt>
                <c:pt idx="706">
                  <c:v>33.334946000000002</c:v>
                </c:pt>
                <c:pt idx="707">
                  <c:v>33.312075</c:v>
                </c:pt>
                <c:pt idx="708">
                  <c:v>33.28463</c:v>
                </c:pt>
                <c:pt idx="709">
                  <c:v>33.260328999999999</c:v>
                </c:pt>
                <c:pt idx="710">
                  <c:v>33.231327999999998</c:v>
                </c:pt>
                <c:pt idx="711">
                  <c:v>33.209722999999997</c:v>
                </c:pt>
                <c:pt idx="712">
                  <c:v>33.191014000000003</c:v>
                </c:pt>
                <c:pt idx="713">
                  <c:v>33.157276000000003</c:v>
                </c:pt>
                <c:pt idx="714">
                  <c:v>33.133257999999998</c:v>
                </c:pt>
                <c:pt idx="715">
                  <c:v>33.110669000000001</c:v>
                </c:pt>
                <c:pt idx="716">
                  <c:v>33.082932999999997</c:v>
                </c:pt>
                <c:pt idx="717">
                  <c:v>33.059199999999997</c:v>
                </c:pt>
                <c:pt idx="718">
                  <c:v>33.039468999999997</c:v>
                </c:pt>
                <c:pt idx="719">
                  <c:v>33.005440999999998</c:v>
                </c:pt>
                <c:pt idx="720">
                  <c:v>32.983010999999998</c:v>
                </c:pt>
                <c:pt idx="721">
                  <c:v>32.962420999999999</c:v>
                </c:pt>
                <c:pt idx="722">
                  <c:v>32.934235000000001</c:v>
                </c:pt>
                <c:pt idx="723">
                  <c:v>32.901632999999997</c:v>
                </c:pt>
                <c:pt idx="724">
                  <c:v>32.880059000000003</c:v>
                </c:pt>
                <c:pt idx="725">
                  <c:v>32.862900000000003</c:v>
                </c:pt>
                <c:pt idx="726">
                  <c:v>32.822288</c:v>
                </c:pt>
                <c:pt idx="727">
                  <c:v>32.802143000000001</c:v>
                </c:pt>
                <c:pt idx="728">
                  <c:v>32.772522000000002</c:v>
                </c:pt>
                <c:pt idx="729">
                  <c:v>32.743223999999998</c:v>
                </c:pt>
                <c:pt idx="730">
                  <c:v>32.719608000000001</c:v>
                </c:pt>
                <c:pt idx="731">
                  <c:v>32.704324</c:v>
                </c:pt>
                <c:pt idx="732">
                  <c:v>32.673147</c:v>
                </c:pt>
                <c:pt idx="733">
                  <c:v>32.651978999999997</c:v>
                </c:pt>
                <c:pt idx="734">
                  <c:v>32.613649000000002</c:v>
                </c:pt>
                <c:pt idx="735">
                  <c:v>32.592767000000002</c:v>
                </c:pt>
                <c:pt idx="736">
                  <c:v>32.571313000000004</c:v>
                </c:pt>
                <c:pt idx="737">
                  <c:v>32.554310000000001</c:v>
                </c:pt>
                <c:pt idx="738">
                  <c:v>32.521537000000002</c:v>
                </c:pt>
                <c:pt idx="739">
                  <c:v>32.499509000000003</c:v>
                </c:pt>
                <c:pt idx="740">
                  <c:v>32.474905999999997</c:v>
                </c:pt>
                <c:pt idx="741">
                  <c:v>32.458474000000002</c:v>
                </c:pt>
                <c:pt idx="742">
                  <c:v>32.431581999999999</c:v>
                </c:pt>
                <c:pt idx="743">
                  <c:v>32.414988000000001</c:v>
                </c:pt>
                <c:pt idx="744">
                  <c:v>32.386378000000001</c:v>
                </c:pt>
                <c:pt idx="745">
                  <c:v>32.35707</c:v>
                </c:pt>
                <c:pt idx="746">
                  <c:v>32.335450000000002</c:v>
                </c:pt>
                <c:pt idx="747">
                  <c:v>32.318157999999997</c:v>
                </c:pt>
                <c:pt idx="748">
                  <c:v>32.288972999999999</c:v>
                </c:pt>
                <c:pt idx="749">
                  <c:v>32.274667000000001</c:v>
                </c:pt>
                <c:pt idx="750">
                  <c:v>32.255782000000004</c:v>
                </c:pt>
                <c:pt idx="751">
                  <c:v>32.216704999999997</c:v>
                </c:pt>
                <c:pt idx="752">
                  <c:v>32.198267000000001</c:v>
                </c:pt>
                <c:pt idx="753">
                  <c:v>32.169938000000002</c:v>
                </c:pt>
                <c:pt idx="754">
                  <c:v>32.150193000000002</c:v>
                </c:pt>
                <c:pt idx="755">
                  <c:v>32.130733999999997</c:v>
                </c:pt>
                <c:pt idx="756">
                  <c:v>32.113849999999999</c:v>
                </c:pt>
                <c:pt idx="757">
                  <c:v>32.089973000000001</c:v>
                </c:pt>
                <c:pt idx="758">
                  <c:v>32.072353999999997</c:v>
                </c:pt>
                <c:pt idx="759">
                  <c:v>32.056041999999998</c:v>
                </c:pt>
                <c:pt idx="760">
                  <c:v>32.041035999999998</c:v>
                </c:pt>
                <c:pt idx="761">
                  <c:v>32.014705999999997</c:v>
                </c:pt>
                <c:pt idx="762">
                  <c:v>32.000396000000002</c:v>
                </c:pt>
                <c:pt idx="763">
                  <c:v>31.987517</c:v>
                </c:pt>
                <c:pt idx="764">
                  <c:v>31.963761999999999</c:v>
                </c:pt>
                <c:pt idx="765">
                  <c:v>31.986533999999999</c:v>
                </c:pt>
                <c:pt idx="766">
                  <c:v>31.929864999999999</c:v>
                </c:pt>
                <c:pt idx="767">
                  <c:v>31.910115999999999</c:v>
                </c:pt>
                <c:pt idx="768">
                  <c:v>31.895233000000001</c:v>
                </c:pt>
                <c:pt idx="769">
                  <c:v>31.870331</c:v>
                </c:pt>
                <c:pt idx="770">
                  <c:v>31.847432999999999</c:v>
                </c:pt>
                <c:pt idx="771">
                  <c:v>31.834838000000001</c:v>
                </c:pt>
                <c:pt idx="772">
                  <c:v>31.809363000000001</c:v>
                </c:pt>
                <c:pt idx="773">
                  <c:v>31.803637999999999</c:v>
                </c:pt>
                <c:pt idx="774">
                  <c:v>31.778448000000001</c:v>
                </c:pt>
                <c:pt idx="775">
                  <c:v>31.770880999999999</c:v>
                </c:pt>
                <c:pt idx="776">
                  <c:v>31.729946999999999</c:v>
                </c:pt>
                <c:pt idx="777">
                  <c:v>31.701319999999999</c:v>
                </c:pt>
                <c:pt idx="778">
                  <c:v>31.69445</c:v>
                </c:pt>
                <c:pt idx="779">
                  <c:v>31.686147999999999</c:v>
                </c:pt>
                <c:pt idx="780">
                  <c:v>31.677845999999999</c:v>
                </c:pt>
                <c:pt idx="781">
                  <c:v>31.655802999999999</c:v>
                </c:pt>
                <c:pt idx="782">
                  <c:v>31.639485000000001</c:v>
                </c:pt>
                <c:pt idx="783">
                  <c:v>31.624310999999999</c:v>
                </c:pt>
                <c:pt idx="784">
                  <c:v>31.605416000000002</c:v>
                </c:pt>
                <c:pt idx="785">
                  <c:v>31.589259999999999</c:v>
                </c:pt>
                <c:pt idx="786">
                  <c:v>31.574372</c:v>
                </c:pt>
                <c:pt idx="787">
                  <c:v>31.56063</c:v>
                </c:pt>
                <c:pt idx="788">
                  <c:v>31.552899</c:v>
                </c:pt>
                <c:pt idx="789">
                  <c:v>31.535596999999999</c:v>
                </c:pt>
                <c:pt idx="790">
                  <c:v>31.513551</c:v>
                </c:pt>
                <c:pt idx="791">
                  <c:v>31.497230999999999</c:v>
                </c:pt>
                <c:pt idx="792">
                  <c:v>31.478334</c:v>
                </c:pt>
                <c:pt idx="793">
                  <c:v>31.462299999999999</c:v>
                </c:pt>
                <c:pt idx="794">
                  <c:v>31.443277999999999</c:v>
                </c:pt>
                <c:pt idx="795">
                  <c:v>31.429819999999999</c:v>
                </c:pt>
                <c:pt idx="796">
                  <c:v>31.411332999999999</c:v>
                </c:pt>
                <c:pt idx="797">
                  <c:v>31.388014999999999</c:v>
                </c:pt>
                <c:pt idx="798">
                  <c:v>31.379711</c:v>
                </c:pt>
                <c:pt idx="799">
                  <c:v>31.359093999999999</c:v>
                </c:pt>
                <c:pt idx="800">
                  <c:v>31.343917000000001</c:v>
                </c:pt>
                <c:pt idx="801">
                  <c:v>31.323747999999998</c:v>
                </c:pt>
                <c:pt idx="802">
                  <c:v>31.303540999999999</c:v>
                </c:pt>
                <c:pt idx="803">
                  <c:v>31.282512000000001</c:v>
                </c:pt>
                <c:pt idx="804">
                  <c:v>31.278789</c:v>
                </c:pt>
                <c:pt idx="805">
                  <c:v>31.250848999999999</c:v>
                </c:pt>
                <c:pt idx="806">
                  <c:v>31.245856</c:v>
                </c:pt>
                <c:pt idx="807">
                  <c:v>31.224377</c:v>
                </c:pt>
                <c:pt idx="808">
                  <c:v>31.200894000000002</c:v>
                </c:pt>
                <c:pt idx="809">
                  <c:v>31.180274000000001</c:v>
                </c:pt>
                <c:pt idx="810">
                  <c:v>31.166689000000002</c:v>
                </c:pt>
                <c:pt idx="811">
                  <c:v>31.160388000000001</c:v>
                </c:pt>
                <c:pt idx="812">
                  <c:v>31.138048999999999</c:v>
                </c:pt>
                <c:pt idx="813">
                  <c:v>31.113990999999999</c:v>
                </c:pt>
                <c:pt idx="814">
                  <c:v>31.100815999999998</c:v>
                </c:pt>
                <c:pt idx="815">
                  <c:v>31.086781999999999</c:v>
                </c:pt>
                <c:pt idx="816">
                  <c:v>31.068451</c:v>
                </c:pt>
                <c:pt idx="817">
                  <c:v>31.060718000000001</c:v>
                </c:pt>
                <c:pt idx="818">
                  <c:v>31.033221000000001</c:v>
                </c:pt>
                <c:pt idx="819">
                  <c:v>31.020493999999999</c:v>
                </c:pt>
                <c:pt idx="820">
                  <c:v>31.001303</c:v>
                </c:pt>
                <c:pt idx="821">
                  <c:v>30.982112000000001</c:v>
                </c:pt>
                <c:pt idx="822">
                  <c:v>30.965211</c:v>
                </c:pt>
                <c:pt idx="823">
                  <c:v>30.950030000000002</c:v>
                </c:pt>
                <c:pt idx="824">
                  <c:v>30.935870000000001</c:v>
                </c:pt>
                <c:pt idx="825">
                  <c:v>30.917249999999999</c:v>
                </c:pt>
                <c:pt idx="826">
                  <c:v>30.901619</c:v>
                </c:pt>
                <c:pt idx="827">
                  <c:v>30.886599</c:v>
                </c:pt>
                <c:pt idx="828">
                  <c:v>30.868265000000001</c:v>
                </c:pt>
                <c:pt idx="829">
                  <c:v>30.85652</c:v>
                </c:pt>
                <c:pt idx="830">
                  <c:v>30.829467000000001</c:v>
                </c:pt>
                <c:pt idx="831">
                  <c:v>30.818418999999999</c:v>
                </c:pt>
                <c:pt idx="832">
                  <c:v>30.797218999999998</c:v>
                </c:pt>
                <c:pt idx="833">
                  <c:v>30.788052</c:v>
                </c:pt>
                <c:pt idx="834">
                  <c:v>30.763127000000001</c:v>
                </c:pt>
                <c:pt idx="835">
                  <c:v>30.750807999999999</c:v>
                </c:pt>
                <c:pt idx="836">
                  <c:v>30.734352999999999</c:v>
                </c:pt>
                <c:pt idx="837">
                  <c:v>30.726617999999998</c:v>
                </c:pt>
                <c:pt idx="838">
                  <c:v>30.704844000000001</c:v>
                </c:pt>
                <c:pt idx="839">
                  <c:v>30.682945</c:v>
                </c:pt>
                <c:pt idx="840">
                  <c:v>30.674921999999999</c:v>
                </c:pt>
                <c:pt idx="841">
                  <c:v>30.647130000000001</c:v>
                </c:pt>
                <c:pt idx="842">
                  <c:v>30.630512</c:v>
                </c:pt>
                <c:pt idx="843">
                  <c:v>30.617618</c:v>
                </c:pt>
                <c:pt idx="844">
                  <c:v>30.605871</c:v>
                </c:pt>
                <c:pt idx="845">
                  <c:v>30.586959</c:v>
                </c:pt>
                <c:pt idx="846">
                  <c:v>30.570215999999999</c:v>
                </c:pt>
                <c:pt idx="847">
                  <c:v>30.557608999999999</c:v>
                </c:pt>
                <c:pt idx="848">
                  <c:v>30.540825999999999</c:v>
                </c:pt>
                <c:pt idx="849">
                  <c:v>30.520644000000001</c:v>
                </c:pt>
                <c:pt idx="850">
                  <c:v>30.494568000000001</c:v>
                </c:pt>
                <c:pt idx="851">
                  <c:v>30.487977000000001</c:v>
                </c:pt>
                <c:pt idx="852">
                  <c:v>30.465052</c:v>
                </c:pt>
                <c:pt idx="853">
                  <c:v>30.444419</c:v>
                </c:pt>
                <c:pt idx="854">
                  <c:v>30.426079000000001</c:v>
                </c:pt>
                <c:pt idx="855">
                  <c:v>30.418341000000002</c:v>
                </c:pt>
                <c:pt idx="856">
                  <c:v>30.398854</c:v>
                </c:pt>
                <c:pt idx="857">
                  <c:v>30.386980000000001</c:v>
                </c:pt>
                <c:pt idx="858">
                  <c:v>30.361311000000001</c:v>
                </c:pt>
                <c:pt idx="859">
                  <c:v>30.351443</c:v>
                </c:pt>
                <c:pt idx="860">
                  <c:v>30.326509000000001</c:v>
                </c:pt>
                <c:pt idx="861">
                  <c:v>30.32479</c:v>
                </c:pt>
                <c:pt idx="862">
                  <c:v>30.303170999999999</c:v>
                </c:pt>
                <c:pt idx="863">
                  <c:v>30.282086</c:v>
                </c:pt>
                <c:pt idx="864">
                  <c:v>30.263456000000001</c:v>
                </c:pt>
                <c:pt idx="865">
                  <c:v>30.249984999999999</c:v>
                </c:pt>
                <c:pt idx="866">
                  <c:v>30.229512</c:v>
                </c:pt>
                <c:pt idx="867">
                  <c:v>30.216736999999998</c:v>
                </c:pt>
                <c:pt idx="868">
                  <c:v>30.202120000000001</c:v>
                </c:pt>
                <c:pt idx="869">
                  <c:v>30.183651000000001</c:v>
                </c:pt>
                <c:pt idx="870">
                  <c:v>30.158714</c:v>
                </c:pt>
                <c:pt idx="871">
                  <c:v>30.152981</c:v>
                </c:pt>
                <c:pt idx="872">
                  <c:v>30.136355999999999</c:v>
                </c:pt>
                <c:pt idx="873">
                  <c:v>30.130786000000001</c:v>
                </c:pt>
                <c:pt idx="874">
                  <c:v>30.106708000000001</c:v>
                </c:pt>
                <c:pt idx="875">
                  <c:v>30.083774999999999</c:v>
                </c:pt>
                <c:pt idx="876">
                  <c:v>30.057812999999999</c:v>
                </c:pt>
                <c:pt idx="877">
                  <c:v>30.051096000000001</c:v>
                </c:pt>
                <c:pt idx="878">
                  <c:v>30.039916000000002</c:v>
                </c:pt>
                <c:pt idx="879">
                  <c:v>30.022019</c:v>
                </c:pt>
                <c:pt idx="880">
                  <c:v>29.999496000000001</c:v>
                </c:pt>
                <c:pt idx="881">
                  <c:v>29.985161999999999</c:v>
                </c:pt>
                <c:pt idx="882">
                  <c:v>29.961366999999999</c:v>
                </c:pt>
                <c:pt idx="883">
                  <c:v>29.942731999999999</c:v>
                </c:pt>
                <c:pt idx="884">
                  <c:v>29.932001</c:v>
                </c:pt>
                <c:pt idx="885">
                  <c:v>29.926553999999999</c:v>
                </c:pt>
                <c:pt idx="886">
                  <c:v>29.897310999999998</c:v>
                </c:pt>
                <c:pt idx="887">
                  <c:v>29.888995999999999</c:v>
                </c:pt>
                <c:pt idx="888">
                  <c:v>29.867493</c:v>
                </c:pt>
                <c:pt idx="889">
                  <c:v>29.853444</c:v>
                </c:pt>
                <c:pt idx="890">
                  <c:v>29.839558</c:v>
                </c:pt>
                <c:pt idx="891">
                  <c:v>29.820184999999999</c:v>
                </c:pt>
                <c:pt idx="892">
                  <c:v>29.805439</c:v>
                </c:pt>
                <c:pt idx="893">
                  <c:v>29.787662000000001</c:v>
                </c:pt>
                <c:pt idx="894">
                  <c:v>29.773039000000001</c:v>
                </c:pt>
                <c:pt idx="895">
                  <c:v>29.754688000000002</c:v>
                </c:pt>
                <c:pt idx="896">
                  <c:v>29.743504999999999</c:v>
                </c:pt>
                <c:pt idx="897">
                  <c:v>29.726749999999999</c:v>
                </c:pt>
                <c:pt idx="898">
                  <c:v>29.709831999999999</c:v>
                </c:pt>
                <c:pt idx="899">
                  <c:v>29.698649</c:v>
                </c:pt>
                <c:pt idx="900">
                  <c:v>29.678863</c:v>
                </c:pt>
                <c:pt idx="901">
                  <c:v>29.660511</c:v>
                </c:pt>
                <c:pt idx="902">
                  <c:v>29.653341999999999</c:v>
                </c:pt>
                <c:pt idx="903">
                  <c:v>29.631997999999999</c:v>
                </c:pt>
                <c:pt idx="904">
                  <c:v>29.604181000000001</c:v>
                </c:pt>
                <c:pt idx="905">
                  <c:v>29.60877</c:v>
                </c:pt>
                <c:pt idx="906">
                  <c:v>29.588121999999998</c:v>
                </c:pt>
                <c:pt idx="907">
                  <c:v>29.577511000000001</c:v>
                </c:pt>
                <c:pt idx="908">
                  <c:v>29.557722999999999</c:v>
                </c:pt>
                <c:pt idx="909">
                  <c:v>29.541664000000001</c:v>
                </c:pt>
                <c:pt idx="910">
                  <c:v>29.536501000000001</c:v>
                </c:pt>
                <c:pt idx="911">
                  <c:v>29.514417999999999</c:v>
                </c:pt>
                <c:pt idx="912">
                  <c:v>29.502085999999998</c:v>
                </c:pt>
                <c:pt idx="913">
                  <c:v>29.478854999999999</c:v>
                </c:pt>
                <c:pt idx="914">
                  <c:v>29.464514999999999</c:v>
                </c:pt>
                <c:pt idx="915">
                  <c:v>29.444438999999999</c:v>
                </c:pt>
                <c:pt idx="916">
                  <c:v>29.436571000000001</c:v>
                </c:pt>
                <c:pt idx="917">
                  <c:v>29.423090999999999</c:v>
                </c:pt>
                <c:pt idx="918">
                  <c:v>29.405308000000002</c:v>
                </c:pt>
                <c:pt idx="919">
                  <c:v>29.381789000000001</c:v>
                </c:pt>
                <c:pt idx="920">
                  <c:v>29.369454999999999</c:v>
                </c:pt>
                <c:pt idx="921">
                  <c:v>29.355687</c:v>
                </c:pt>
                <c:pt idx="922">
                  <c:v>29.344214000000001</c:v>
                </c:pt>
                <c:pt idx="923">
                  <c:v>29.327003999999999</c:v>
                </c:pt>
                <c:pt idx="924">
                  <c:v>29.316554</c:v>
                </c:pt>
                <c:pt idx="925">
                  <c:v>29.297909000000001</c:v>
                </c:pt>
                <c:pt idx="926">
                  <c:v>29.284140000000001</c:v>
                </c:pt>
                <c:pt idx="927">
                  <c:v>29.267503000000001</c:v>
                </c:pt>
                <c:pt idx="928">
                  <c:v>29.255455000000001</c:v>
                </c:pt>
                <c:pt idx="929">
                  <c:v>29.241973000000002</c:v>
                </c:pt>
                <c:pt idx="930">
                  <c:v>29.218450000000001</c:v>
                </c:pt>
                <c:pt idx="931">
                  <c:v>29.208697000000001</c:v>
                </c:pt>
                <c:pt idx="932">
                  <c:v>29.193491999999999</c:v>
                </c:pt>
                <c:pt idx="933">
                  <c:v>29.171403000000002</c:v>
                </c:pt>
                <c:pt idx="934">
                  <c:v>29.157509000000001</c:v>
                </c:pt>
                <c:pt idx="935">
                  <c:v>29.145747</c:v>
                </c:pt>
                <c:pt idx="936">
                  <c:v>29.130953000000002</c:v>
                </c:pt>
                <c:pt idx="937">
                  <c:v>29.114190000000001</c:v>
                </c:pt>
                <c:pt idx="938">
                  <c:v>29.105295999999999</c:v>
                </c:pt>
                <c:pt idx="939">
                  <c:v>29.096689000000001</c:v>
                </c:pt>
                <c:pt idx="940">
                  <c:v>29.074722000000001</c:v>
                </c:pt>
                <c:pt idx="941">
                  <c:v>29.057096999999999</c:v>
                </c:pt>
                <c:pt idx="942">
                  <c:v>29.044186</c:v>
                </c:pt>
                <c:pt idx="943">
                  <c:v>29.023816</c:v>
                </c:pt>
                <c:pt idx="944">
                  <c:v>29.006764</c:v>
                </c:pt>
                <c:pt idx="945">
                  <c:v>28.997132000000001</c:v>
                </c:pt>
                <c:pt idx="946">
                  <c:v>28.985081999999998</c:v>
                </c:pt>
                <c:pt idx="947">
                  <c:v>28.976924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200-9A43-8053-239806961482}"/>
            </c:ext>
          </c:extLst>
        </c:ser>
        <c:ser>
          <c:idx val="1"/>
          <c:order val="1"/>
          <c:tx>
            <c:strRef>
              <c:f>'Part 3 Data'!$C$2</c:f>
              <c:strCache>
                <c:ptCount val="1"/>
                <c:pt idx="0">
                  <c:v>Convection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'Part 3 Data'!$A$3:$A$2881</c:f>
              <c:numCache>
                <c:formatCode>0.0</c:formatCode>
                <c:ptCount val="2879"/>
                <c:pt idx="0">
                  <c:v>0</c:v>
                </c:pt>
                <c:pt idx="1">
                  <c:v>0.56399999999999995</c:v>
                </c:pt>
                <c:pt idx="2">
                  <c:v>1.1279999999999999</c:v>
                </c:pt>
                <c:pt idx="3">
                  <c:v>1.6919999999999999</c:v>
                </c:pt>
                <c:pt idx="4">
                  <c:v>2.2559999999999998</c:v>
                </c:pt>
                <c:pt idx="5">
                  <c:v>2.82</c:v>
                </c:pt>
                <c:pt idx="6">
                  <c:v>3.3839999999999999</c:v>
                </c:pt>
                <c:pt idx="7">
                  <c:v>3.948</c:v>
                </c:pt>
                <c:pt idx="8">
                  <c:v>4.5119999999999996</c:v>
                </c:pt>
                <c:pt idx="9">
                  <c:v>5.0759999999999996</c:v>
                </c:pt>
                <c:pt idx="10">
                  <c:v>5.64</c:v>
                </c:pt>
                <c:pt idx="11">
                  <c:v>6.2039999999999997</c:v>
                </c:pt>
                <c:pt idx="12">
                  <c:v>6.7679999999999998</c:v>
                </c:pt>
                <c:pt idx="13">
                  <c:v>7.3319999999999999</c:v>
                </c:pt>
                <c:pt idx="14">
                  <c:v>7.8959999999999999</c:v>
                </c:pt>
                <c:pt idx="15">
                  <c:v>8.4600000000000009</c:v>
                </c:pt>
                <c:pt idx="16">
                  <c:v>9.0239999999999991</c:v>
                </c:pt>
                <c:pt idx="17">
                  <c:v>9.5879999999999992</c:v>
                </c:pt>
                <c:pt idx="18">
                  <c:v>10.151999999999999</c:v>
                </c:pt>
                <c:pt idx="19">
                  <c:v>10.715999999999999</c:v>
                </c:pt>
                <c:pt idx="20">
                  <c:v>11.28</c:v>
                </c:pt>
                <c:pt idx="21">
                  <c:v>11.843999999999999</c:v>
                </c:pt>
                <c:pt idx="22">
                  <c:v>12.407999999999999</c:v>
                </c:pt>
                <c:pt idx="23">
                  <c:v>12.972</c:v>
                </c:pt>
                <c:pt idx="24">
                  <c:v>13.536</c:v>
                </c:pt>
                <c:pt idx="25">
                  <c:v>14.1</c:v>
                </c:pt>
                <c:pt idx="26">
                  <c:v>14.664</c:v>
                </c:pt>
                <c:pt idx="27">
                  <c:v>15.228</c:v>
                </c:pt>
                <c:pt idx="28">
                  <c:v>15.792</c:v>
                </c:pt>
                <c:pt idx="29">
                  <c:v>16.356000000000002</c:v>
                </c:pt>
                <c:pt idx="30">
                  <c:v>16.920000000000002</c:v>
                </c:pt>
                <c:pt idx="31">
                  <c:v>17.484000000000002</c:v>
                </c:pt>
                <c:pt idx="32">
                  <c:v>18.047999999999998</c:v>
                </c:pt>
                <c:pt idx="33">
                  <c:v>18.611999999999998</c:v>
                </c:pt>
                <c:pt idx="34">
                  <c:v>19.175999999999998</c:v>
                </c:pt>
                <c:pt idx="35">
                  <c:v>19.739999999999998</c:v>
                </c:pt>
                <c:pt idx="36">
                  <c:v>20.303999999999998</c:v>
                </c:pt>
                <c:pt idx="37">
                  <c:v>20.867999999999999</c:v>
                </c:pt>
                <c:pt idx="38">
                  <c:v>21.431999999999999</c:v>
                </c:pt>
                <c:pt idx="39">
                  <c:v>21.995999999999999</c:v>
                </c:pt>
                <c:pt idx="40">
                  <c:v>22.56</c:v>
                </c:pt>
                <c:pt idx="41">
                  <c:v>23.123999999999999</c:v>
                </c:pt>
                <c:pt idx="42">
                  <c:v>23.687999999999999</c:v>
                </c:pt>
                <c:pt idx="43">
                  <c:v>24.251999999999999</c:v>
                </c:pt>
                <c:pt idx="44">
                  <c:v>24.815999999999999</c:v>
                </c:pt>
                <c:pt idx="45">
                  <c:v>25.38</c:v>
                </c:pt>
                <c:pt idx="46">
                  <c:v>25.943999999999999</c:v>
                </c:pt>
                <c:pt idx="47">
                  <c:v>26.507999999999999</c:v>
                </c:pt>
                <c:pt idx="48">
                  <c:v>27.071999999999999</c:v>
                </c:pt>
                <c:pt idx="49">
                  <c:v>27.635999999999999</c:v>
                </c:pt>
                <c:pt idx="50">
                  <c:v>28.2</c:v>
                </c:pt>
                <c:pt idx="51">
                  <c:v>28.763999999999999</c:v>
                </c:pt>
                <c:pt idx="52">
                  <c:v>29.327999999999999</c:v>
                </c:pt>
                <c:pt idx="53">
                  <c:v>29.891999999999999</c:v>
                </c:pt>
                <c:pt idx="54">
                  <c:v>30.456</c:v>
                </c:pt>
                <c:pt idx="55">
                  <c:v>31.02</c:v>
                </c:pt>
                <c:pt idx="56">
                  <c:v>31.584</c:v>
                </c:pt>
                <c:pt idx="57">
                  <c:v>32.148000000000003</c:v>
                </c:pt>
                <c:pt idx="58">
                  <c:v>32.712000000000003</c:v>
                </c:pt>
                <c:pt idx="59">
                  <c:v>33.276000000000003</c:v>
                </c:pt>
                <c:pt idx="60">
                  <c:v>33.840000000000003</c:v>
                </c:pt>
                <c:pt idx="61">
                  <c:v>34.404000000000003</c:v>
                </c:pt>
                <c:pt idx="62">
                  <c:v>34.968000000000004</c:v>
                </c:pt>
                <c:pt idx="63">
                  <c:v>35.531999999999996</c:v>
                </c:pt>
                <c:pt idx="64">
                  <c:v>36.095999999999997</c:v>
                </c:pt>
                <c:pt idx="65">
                  <c:v>36.659999999999997</c:v>
                </c:pt>
                <c:pt idx="66">
                  <c:v>37.223999999999997</c:v>
                </c:pt>
                <c:pt idx="67">
                  <c:v>37.787999999999997</c:v>
                </c:pt>
                <c:pt idx="68">
                  <c:v>38.351999999999997</c:v>
                </c:pt>
                <c:pt idx="69">
                  <c:v>38.915999999999997</c:v>
                </c:pt>
                <c:pt idx="70">
                  <c:v>39.479999999999997</c:v>
                </c:pt>
                <c:pt idx="71">
                  <c:v>40.043999999999997</c:v>
                </c:pt>
                <c:pt idx="72">
                  <c:v>40.607999999999997</c:v>
                </c:pt>
                <c:pt idx="73">
                  <c:v>41.171999999999997</c:v>
                </c:pt>
                <c:pt idx="74">
                  <c:v>41.735999999999997</c:v>
                </c:pt>
                <c:pt idx="75">
                  <c:v>42.3</c:v>
                </c:pt>
                <c:pt idx="76">
                  <c:v>42.863999999999997</c:v>
                </c:pt>
                <c:pt idx="77">
                  <c:v>43.427999999999997</c:v>
                </c:pt>
                <c:pt idx="78">
                  <c:v>43.991999999999997</c:v>
                </c:pt>
                <c:pt idx="79">
                  <c:v>44.555999999999997</c:v>
                </c:pt>
                <c:pt idx="80">
                  <c:v>45.12</c:v>
                </c:pt>
                <c:pt idx="81">
                  <c:v>45.683999999999997</c:v>
                </c:pt>
                <c:pt idx="82">
                  <c:v>46.247999999999998</c:v>
                </c:pt>
                <c:pt idx="83">
                  <c:v>46.811999999999998</c:v>
                </c:pt>
                <c:pt idx="84">
                  <c:v>47.375999999999998</c:v>
                </c:pt>
                <c:pt idx="85">
                  <c:v>47.94</c:v>
                </c:pt>
                <c:pt idx="86">
                  <c:v>48.503999999999998</c:v>
                </c:pt>
                <c:pt idx="87">
                  <c:v>49.067999999999998</c:v>
                </c:pt>
                <c:pt idx="88">
                  <c:v>49.631999999999998</c:v>
                </c:pt>
                <c:pt idx="89">
                  <c:v>50.195999999999998</c:v>
                </c:pt>
                <c:pt idx="90">
                  <c:v>50.76</c:v>
                </c:pt>
                <c:pt idx="91">
                  <c:v>51.323999999999998</c:v>
                </c:pt>
                <c:pt idx="92">
                  <c:v>51.887999999999998</c:v>
                </c:pt>
                <c:pt idx="93">
                  <c:v>52.451999999999998</c:v>
                </c:pt>
                <c:pt idx="94">
                  <c:v>53.015999999999998</c:v>
                </c:pt>
                <c:pt idx="95">
                  <c:v>53.58</c:v>
                </c:pt>
                <c:pt idx="96">
                  <c:v>54.143999999999998</c:v>
                </c:pt>
                <c:pt idx="97">
                  <c:v>54.707999999999998</c:v>
                </c:pt>
                <c:pt idx="98">
                  <c:v>55.271999999999998</c:v>
                </c:pt>
                <c:pt idx="99">
                  <c:v>55.835999999999999</c:v>
                </c:pt>
                <c:pt idx="100">
                  <c:v>56.4</c:v>
                </c:pt>
                <c:pt idx="101">
                  <c:v>56.963999999999999</c:v>
                </c:pt>
                <c:pt idx="102">
                  <c:v>57.527999999999999</c:v>
                </c:pt>
                <c:pt idx="103">
                  <c:v>58.091999999999999</c:v>
                </c:pt>
                <c:pt idx="104">
                  <c:v>58.655999999999999</c:v>
                </c:pt>
                <c:pt idx="105">
                  <c:v>59.22</c:v>
                </c:pt>
                <c:pt idx="106">
                  <c:v>59.783999999999999</c:v>
                </c:pt>
                <c:pt idx="107">
                  <c:v>60.347999999999999</c:v>
                </c:pt>
                <c:pt idx="108">
                  <c:v>60.911999999999999</c:v>
                </c:pt>
                <c:pt idx="109">
                  <c:v>61.475999999999999</c:v>
                </c:pt>
                <c:pt idx="110">
                  <c:v>62.04</c:v>
                </c:pt>
                <c:pt idx="111">
                  <c:v>62.603999999999999</c:v>
                </c:pt>
                <c:pt idx="112">
                  <c:v>63.167999999999999</c:v>
                </c:pt>
                <c:pt idx="113">
                  <c:v>63.731999999999999</c:v>
                </c:pt>
                <c:pt idx="114">
                  <c:v>64.296000000000006</c:v>
                </c:pt>
                <c:pt idx="115">
                  <c:v>64.86</c:v>
                </c:pt>
                <c:pt idx="116">
                  <c:v>65.424000000000007</c:v>
                </c:pt>
                <c:pt idx="117">
                  <c:v>65.988</c:v>
                </c:pt>
                <c:pt idx="118">
                  <c:v>66.552000000000007</c:v>
                </c:pt>
                <c:pt idx="119">
                  <c:v>67.116</c:v>
                </c:pt>
                <c:pt idx="120">
                  <c:v>67.680000000000007</c:v>
                </c:pt>
                <c:pt idx="121">
                  <c:v>68.244</c:v>
                </c:pt>
                <c:pt idx="122">
                  <c:v>68.808000000000007</c:v>
                </c:pt>
                <c:pt idx="123">
                  <c:v>69.372</c:v>
                </c:pt>
                <c:pt idx="124">
                  <c:v>69.936000000000007</c:v>
                </c:pt>
                <c:pt idx="125">
                  <c:v>70.5</c:v>
                </c:pt>
                <c:pt idx="126">
                  <c:v>71.063999999999993</c:v>
                </c:pt>
                <c:pt idx="127">
                  <c:v>71.628</c:v>
                </c:pt>
                <c:pt idx="128">
                  <c:v>72.191999999999993</c:v>
                </c:pt>
                <c:pt idx="129">
                  <c:v>72.756</c:v>
                </c:pt>
                <c:pt idx="130">
                  <c:v>73.319999999999993</c:v>
                </c:pt>
                <c:pt idx="131">
                  <c:v>73.884</c:v>
                </c:pt>
                <c:pt idx="132">
                  <c:v>74.447999999999993</c:v>
                </c:pt>
                <c:pt idx="133">
                  <c:v>75.012</c:v>
                </c:pt>
                <c:pt idx="134">
                  <c:v>75.575999999999993</c:v>
                </c:pt>
                <c:pt idx="135">
                  <c:v>76.14</c:v>
                </c:pt>
                <c:pt idx="136">
                  <c:v>76.703999999999994</c:v>
                </c:pt>
                <c:pt idx="137">
                  <c:v>77.268000000000001</c:v>
                </c:pt>
                <c:pt idx="138">
                  <c:v>77.831999999999994</c:v>
                </c:pt>
                <c:pt idx="139">
                  <c:v>78.396000000000001</c:v>
                </c:pt>
                <c:pt idx="140">
                  <c:v>78.959999999999994</c:v>
                </c:pt>
                <c:pt idx="141">
                  <c:v>79.524000000000001</c:v>
                </c:pt>
                <c:pt idx="142">
                  <c:v>80.087999999999994</c:v>
                </c:pt>
                <c:pt idx="143">
                  <c:v>80.652000000000001</c:v>
                </c:pt>
                <c:pt idx="144">
                  <c:v>81.215999999999994</c:v>
                </c:pt>
                <c:pt idx="145">
                  <c:v>81.78</c:v>
                </c:pt>
                <c:pt idx="146">
                  <c:v>82.343999999999994</c:v>
                </c:pt>
                <c:pt idx="147">
                  <c:v>82.908000000000001</c:v>
                </c:pt>
                <c:pt idx="148">
                  <c:v>83.471999999999994</c:v>
                </c:pt>
                <c:pt idx="149">
                  <c:v>84.036000000000001</c:v>
                </c:pt>
                <c:pt idx="150">
                  <c:v>84.6</c:v>
                </c:pt>
                <c:pt idx="151">
                  <c:v>85.164000000000001</c:v>
                </c:pt>
                <c:pt idx="152">
                  <c:v>85.727999999999994</c:v>
                </c:pt>
                <c:pt idx="153">
                  <c:v>86.292000000000002</c:v>
                </c:pt>
                <c:pt idx="154">
                  <c:v>86.855999999999995</c:v>
                </c:pt>
                <c:pt idx="155">
                  <c:v>87.42</c:v>
                </c:pt>
                <c:pt idx="156">
                  <c:v>87.983999999999995</c:v>
                </c:pt>
                <c:pt idx="157">
                  <c:v>88.548000000000002</c:v>
                </c:pt>
                <c:pt idx="158">
                  <c:v>89.111999999999995</c:v>
                </c:pt>
                <c:pt idx="159">
                  <c:v>89.676000000000002</c:v>
                </c:pt>
                <c:pt idx="160">
                  <c:v>90.24</c:v>
                </c:pt>
                <c:pt idx="161">
                  <c:v>90.804000000000002</c:v>
                </c:pt>
                <c:pt idx="162">
                  <c:v>91.367999999999995</c:v>
                </c:pt>
                <c:pt idx="163">
                  <c:v>91.932000000000002</c:v>
                </c:pt>
                <c:pt idx="164">
                  <c:v>92.495999999999995</c:v>
                </c:pt>
                <c:pt idx="165">
                  <c:v>93.06</c:v>
                </c:pt>
                <c:pt idx="166">
                  <c:v>93.623999999999995</c:v>
                </c:pt>
                <c:pt idx="167">
                  <c:v>94.188000000000002</c:v>
                </c:pt>
                <c:pt idx="168">
                  <c:v>94.751999999999995</c:v>
                </c:pt>
                <c:pt idx="169">
                  <c:v>95.316000000000003</c:v>
                </c:pt>
                <c:pt idx="170">
                  <c:v>95.88</c:v>
                </c:pt>
                <c:pt idx="171">
                  <c:v>96.444000000000003</c:v>
                </c:pt>
                <c:pt idx="172">
                  <c:v>97.007999999999996</c:v>
                </c:pt>
                <c:pt idx="173">
                  <c:v>97.572000000000003</c:v>
                </c:pt>
                <c:pt idx="174">
                  <c:v>98.135999999999996</c:v>
                </c:pt>
                <c:pt idx="175">
                  <c:v>98.7</c:v>
                </c:pt>
                <c:pt idx="176">
                  <c:v>99.263999999999996</c:v>
                </c:pt>
                <c:pt idx="177">
                  <c:v>99.828000000000003</c:v>
                </c:pt>
                <c:pt idx="178">
                  <c:v>100.392</c:v>
                </c:pt>
                <c:pt idx="179">
                  <c:v>100.956</c:v>
                </c:pt>
                <c:pt idx="180">
                  <c:v>101.52</c:v>
                </c:pt>
                <c:pt idx="181">
                  <c:v>102.084</c:v>
                </c:pt>
                <c:pt idx="182">
                  <c:v>102.648</c:v>
                </c:pt>
                <c:pt idx="183">
                  <c:v>103.212</c:v>
                </c:pt>
                <c:pt idx="184">
                  <c:v>103.776</c:v>
                </c:pt>
                <c:pt idx="185">
                  <c:v>104.34</c:v>
                </c:pt>
                <c:pt idx="186">
                  <c:v>104.904</c:v>
                </c:pt>
                <c:pt idx="187">
                  <c:v>105.468</c:v>
                </c:pt>
                <c:pt idx="188">
                  <c:v>106.032</c:v>
                </c:pt>
                <c:pt idx="189">
                  <c:v>106.596</c:v>
                </c:pt>
                <c:pt idx="190">
                  <c:v>107.16</c:v>
                </c:pt>
                <c:pt idx="191">
                  <c:v>107.724</c:v>
                </c:pt>
                <c:pt idx="192">
                  <c:v>108.288</c:v>
                </c:pt>
                <c:pt idx="193">
                  <c:v>108.852</c:v>
                </c:pt>
                <c:pt idx="194">
                  <c:v>109.416</c:v>
                </c:pt>
                <c:pt idx="195">
                  <c:v>109.98</c:v>
                </c:pt>
                <c:pt idx="196">
                  <c:v>110.544</c:v>
                </c:pt>
                <c:pt idx="197">
                  <c:v>111.108</c:v>
                </c:pt>
                <c:pt idx="198">
                  <c:v>111.672</c:v>
                </c:pt>
                <c:pt idx="199">
                  <c:v>112.236</c:v>
                </c:pt>
                <c:pt idx="200">
                  <c:v>112.8</c:v>
                </c:pt>
                <c:pt idx="201">
                  <c:v>113.364</c:v>
                </c:pt>
                <c:pt idx="202">
                  <c:v>113.928</c:v>
                </c:pt>
                <c:pt idx="203">
                  <c:v>114.492</c:v>
                </c:pt>
                <c:pt idx="204">
                  <c:v>115.056</c:v>
                </c:pt>
                <c:pt idx="205">
                  <c:v>115.62</c:v>
                </c:pt>
                <c:pt idx="206">
                  <c:v>116.184</c:v>
                </c:pt>
                <c:pt idx="207">
                  <c:v>116.748</c:v>
                </c:pt>
                <c:pt idx="208">
                  <c:v>117.312</c:v>
                </c:pt>
                <c:pt idx="209">
                  <c:v>117.876</c:v>
                </c:pt>
                <c:pt idx="210">
                  <c:v>118.44</c:v>
                </c:pt>
                <c:pt idx="211">
                  <c:v>119.004</c:v>
                </c:pt>
                <c:pt idx="212">
                  <c:v>119.568</c:v>
                </c:pt>
                <c:pt idx="213">
                  <c:v>120.13200000000001</c:v>
                </c:pt>
                <c:pt idx="214">
                  <c:v>120.696</c:v>
                </c:pt>
                <c:pt idx="215">
                  <c:v>121.26</c:v>
                </c:pt>
                <c:pt idx="216">
                  <c:v>121.824</c:v>
                </c:pt>
                <c:pt idx="217">
                  <c:v>122.38800000000001</c:v>
                </c:pt>
                <c:pt idx="218">
                  <c:v>122.952</c:v>
                </c:pt>
                <c:pt idx="219">
                  <c:v>123.51600000000001</c:v>
                </c:pt>
                <c:pt idx="220">
                  <c:v>124.08</c:v>
                </c:pt>
                <c:pt idx="221">
                  <c:v>124.64400000000001</c:v>
                </c:pt>
                <c:pt idx="222">
                  <c:v>125.208</c:v>
                </c:pt>
                <c:pt idx="223">
                  <c:v>125.77200000000001</c:v>
                </c:pt>
                <c:pt idx="224">
                  <c:v>126.336</c:v>
                </c:pt>
                <c:pt idx="225">
                  <c:v>126.9</c:v>
                </c:pt>
                <c:pt idx="226">
                  <c:v>127.464</c:v>
                </c:pt>
                <c:pt idx="227">
                  <c:v>128.02799999999999</c:v>
                </c:pt>
                <c:pt idx="228">
                  <c:v>128.59200000000001</c:v>
                </c:pt>
                <c:pt idx="229">
                  <c:v>129.15600000000001</c:v>
                </c:pt>
                <c:pt idx="230">
                  <c:v>129.72</c:v>
                </c:pt>
                <c:pt idx="231">
                  <c:v>130.28399999999999</c:v>
                </c:pt>
                <c:pt idx="232">
                  <c:v>130.84800000000001</c:v>
                </c:pt>
                <c:pt idx="233">
                  <c:v>131.41200000000001</c:v>
                </c:pt>
                <c:pt idx="234">
                  <c:v>131.976</c:v>
                </c:pt>
                <c:pt idx="235">
                  <c:v>132.54</c:v>
                </c:pt>
                <c:pt idx="236">
                  <c:v>133.10400000000001</c:v>
                </c:pt>
                <c:pt idx="237">
                  <c:v>133.66800000000001</c:v>
                </c:pt>
                <c:pt idx="238">
                  <c:v>134.232</c:v>
                </c:pt>
                <c:pt idx="239">
                  <c:v>134.79599999999999</c:v>
                </c:pt>
                <c:pt idx="240">
                  <c:v>135.36000000000001</c:v>
                </c:pt>
                <c:pt idx="241">
                  <c:v>135.92400000000001</c:v>
                </c:pt>
                <c:pt idx="242">
                  <c:v>136.488</c:v>
                </c:pt>
                <c:pt idx="243">
                  <c:v>137.05199999999999</c:v>
                </c:pt>
                <c:pt idx="244">
                  <c:v>137.61600000000001</c:v>
                </c:pt>
                <c:pt idx="245">
                  <c:v>138.18</c:v>
                </c:pt>
                <c:pt idx="246">
                  <c:v>138.744</c:v>
                </c:pt>
                <c:pt idx="247">
                  <c:v>139.30799999999999</c:v>
                </c:pt>
                <c:pt idx="248">
                  <c:v>139.87200000000001</c:v>
                </c:pt>
                <c:pt idx="249">
                  <c:v>140.43600000000001</c:v>
                </c:pt>
                <c:pt idx="250">
                  <c:v>141</c:v>
                </c:pt>
                <c:pt idx="251">
                  <c:v>141.56399999999999</c:v>
                </c:pt>
                <c:pt idx="252">
                  <c:v>142.12799999999999</c:v>
                </c:pt>
                <c:pt idx="253">
                  <c:v>142.69200000000001</c:v>
                </c:pt>
                <c:pt idx="254">
                  <c:v>143.256</c:v>
                </c:pt>
                <c:pt idx="255">
                  <c:v>143.82</c:v>
                </c:pt>
                <c:pt idx="256">
                  <c:v>144.38399999999999</c:v>
                </c:pt>
                <c:pt idx="257">
                  <c:v>144.94800000000001</c:v>
                </c:pt>
                <c:pt idx="258">
                  <c:v>145.512</c:v>
                </c:pt>
                <c:pt idx="259">
                  <c:v>146.07599999999999</c:v>
                </c:pt>
                <c:pt idx="260">
                  <c:v>146.63999999999999</c:v>
                </c:pt>
                <c:pt idx="261">
                  <c:v>147.20400000000001</c:v>
                </c:pt>
                <c:pt idx="262">
                  <c:v>147.768</c:v>
                </c:pt>
                <c:pt idx="263">
                  <c:v>148.33199999999999</c:v>
                </c:pt>
                <c:pt idx="264">
                  <c:v>148.89599999999999</c:v>
                </c:pt>
                <c:pt idx="265">
                  <c:v>149.46</c:v>
                </c:pt>
                <c:pt idx="266">
                  <c:v>150.024</c:v>
                </c:pt>
                <c:pt idx="267">
                  <c:v>150.58799999999999</c:v>
                </c:pt>
                <c:pt idx="268">
                  <c:v>151.15199999999999</c:v>
                </c:pt>
                <c:pt idx="269">
                  <c:v>151.71600000000001</c:v>
                </c:pt>
                <c:pt idx="270">
                  <c:v>152.28</c:v>
                </c:pt>
                <c:pt idx="271">
                  <c:v>152.84399999999999</c:v>
                </c:pt>
                <c:pt idx="272">
                  <c:v>153.40799999999999</c:v>
                </c:pt>
                <c:pt idx="273">
                  <c:v>153.97200000000001</c:v>
                </c:pt>
                <c:pt idx="274">
                  <c:v>154.536</c:v>
                </c:pt>
                <c:pt idx="275">
                  <c:v>155.1</c:v>
                </c:pt>
                <c:pt idx="276">
                  <c:v>155.66399999999999</c:v>
                </c:pt>
                <c:pt idx="277">
                  <c:v>156.22800000000001</c:v>
                </c:pt>
                <c:pt idx="278">
                  <c:v>156.792</c:v>
                </c:pt>
                <c:pt idx="279">
                  <c:v>157.35599999999999</c:v>
                </c:pt>
                <c:pt idx="280">
                  <c:v>157.91999999999999</c:v>
                </c:pt>
                <c:pt idx="281">
                  <c:v>158.48400000000001</c:v>
                </c:pt>
                <c:pt idx="282">
                  <c:v>159.048</c:v>
                </c:pt>
                <c:pt idx="283">
                  <c:v>159.61199999999999</c:v>
                </c:pt>
                <c:pt idx="284">
                  <c:v>160.17599999999999</c:v>
                </c:pt>
                <c:pt idx="285">
                  <c:v>160.74</c:v>
                </c:pt>
                <c:pt idx="286">
                  <c:v>161.304</c:v>
                </c:pt>
                <c:pt idx="287">
                  <c:v>161.86799999999999</c:v>
                </c:pt>
                <c:pt idx="288">
                  <c:v>162.43199999999999</c:v>
                </c:pt>
                <c:pt idx="289">
                  <c:v>162.99600000000001</c:v>
                </c:pt>
                <c:pt idx="290">
                  <c:v>163.56</c:v>
                </c:pt>
                <c:pt idx="291">
                  <c:v>164.124</c:v>
                </c:pt>
                <c:pt idx="292">
                  <c:v>164.68799999999999</c:v>
                </c:pt>
                <c:pt idx="293">
                  <c:v>165.25200000000001</c:v>
                </c:pt>
                <c:pt idx="294">
                  <c:v>165.816</c:v>
                </c:pt>
                <c:pt idx="295">
                  <c:v>166.38</c:v>
                </c:pt>
                <c:pt idx="296">
                  <c:v>166.94399999999999</c:v>
                </c:pt>
                <c:pt idx="297">
                  <c:v>167.50800000000001</c:v>
                </c:pt>
                <c:pt idx="298">
                  <c:v>168.072</c:v>
                </c:pt>
                <c:pt idx="299">
                  <c:v>168.636</c:v>
                </c:pt>
                <c:pt idx="300">
                  <c:v>169.2</c:v>
                </c:pt>
                <c:pt idx="301">
                  <c:v>169.76400000000001</c:v>
                </c:pt>
                <c:pt idx="302">
                  <c:v>170.328</c:v>
                </c:pt>
                <c:pt idx="303">
                  <c:v>170.892</c:v>
                </c:pt>
                <c:pt idx="304">
                  <c:v>171.45599999999999</c:v>
                </c:pt>
                <c:pt idx="305">
                  <c:v>172.02</c:v>
                </c:pt>
                <c:pt idx="306">
                  <c:v>172.584</c:v>
                </c:pt>
                <c:pt idx="307">
                  <c:v>173.148</c:v>
                </c:pt>
                <c:pt idx="308">
                  <c:v>173.71199999999999</c:v>
                </c:pt>
                <c:pt idx="309">
                  <c:v>174.27600000000001</c:v>
                </c:pt>
                <c:pt idx="310">
                  <c:v>174.84</c:v>
                </c:pt>
                <c:pt idx="311">
                  <c:v>175.404</c:v>
                </c:pt>
                <c:pt idx="312">
                  <c:v>175.96799999999999</c:v>
                </c:pt>
                <c:pt idx="313">
                  <c:v>176.53200000000001</c:v>
                </c:pt>
                <c:pt idx="314">
                  <c:v>177.096</c:v>
                </c:pt>
                <c:pt idx="315">
                  <c:v>177.66</c:v>
                </c:pt>
                <c:pt idx="316">
                  <c:v>178.22399999999999</c:v>
                </c:pt>
                <c:pt idx="317">
                  <c:v>178.78800000000001</c:v>
                </c:pt>
                <c:pt idx="318">
                  <c:v>179.352</c:v>
                </c:pt>
                <c:pt idx="319">
                  <c:v>179.916</c:v>
                </c:pt>
                <c:pt idx="320">
                  <c:v>180.48</c:v>
                </c:pt>
                <c:pt idx="321">
                  <c:v>181.04400000000001</c:v>
                </c:pt>
                <c:pt idx="322">
                  <c:v>181.608</c:v>
                </c:pt>
                <c:pt idx="323">
                  <c:v>182.172</c:v>
                </c:pt>
                <c:pt idx="324">
                  <c:v>182.73599999999999</c:v>
                </c:pt>
                <c:pt idx="325">
                  <c:v>183.3</c:v>
                </c:pt>
                <c:pt idx="326">
                  <c:v>183.864</c:v>
                </c:pt>
                <c:pt idx="327">
                  <c:v>184.428</c:v>
                </c:pt>
                <c:pt idx="328">
                  <c:v>184.99199999999999</c:v>
                </c:pt>
                <c:pt idx="329">
                  <c:v>185.55600000000001</c:v>
                </c:pt>
                <c:pt idx="330">
                  <c:v>186.12</c:v>
                </c:pt>
                <c:pt idx="331">
                  <c:v>186.684</c:v>
                </c:pt>
                <c:pt idx="332">
                  <c:v>187.24799999999999</c:v>
                </c:pt>
                <c:pt idx="333">
                  <c:v>187.81200000000001</c:v>
                </c:pt>
                <c:pt idx="334">
                  <c:v>188.376</c:v>
                </c:pt>
                <c:pt idx="335">
                  <c:v>188.94</c:v>
                </c:pt>
                <c:pt idx="336">
                  <c:v>189.50399999999999</c:v>
                </c:pt>
                <c:pt idx="337">
                  <c:v>190.06800000000001</c:v>
                </c:pt>
                <c:pt idx="338">
                  <c:v>190.63200000000001</c:v>
                </c:pt>
                <c:pt idx="339">
                  <c:v>191.196</c:v>
                </c:pt>
                <c:pt idx="340">
                  <c:v>191.76</c:v>
                </c:pt>
                <c:pt idx="341">
                  <c:v>192.32400000000001</c:v>
                </c:pt>
                <c:pt idx="342">
                  <c:v>192.88800000000001</c:v>
                </c:pt>
                <c:pt idx="343">
                  <c:v>193.452</c:v>
                </c:pt>
                <c:pt idx="344">
                  <c:v>194.01599999999999</c:v>
                </c:pt>
                <c:pt idx="345">
                  <c:v>194.58</c:v>
                </c:pt>
                <c:pt idx="346">
                  <c:v>195.14400000000001</c:v>
                </c:pt>
                <c:pt idx="347">
                  <c:v>195.708</c:v>
                </c:pt>
                <c:pt idx="348">
                  <c:v>196.27199999999999</c:v>
                </c:pt>
                <c:pt idx="349">
                  <c:v>196.83600000000001</c:v>
                </c:pt>
                <c:pt idx="350">
                  <c:v>197.4</c:v>
                </c:pt>
                <c:pt idx="351">
                  <c:v>197.964</c:v>
                </c:pt>
                <c:pt idx="352">
                  <c:v>198.52799999999999</c:v>
                </c:pt>
                <c:pt idx="353">
                  <c:v>199.09200000000001</c:v>
                </c:pt>
                <c:pt idx="354">
                  <c:v>199.65600000000001</c:v>
                </c:pt>
                <c:pt idx="355">
                  <c:v>200.22</c:v>
                </c:pt>
                <c:pt idx="356">
                  <c:v>200.78399999999999</c:v>
                </c:pt>
                <c:pt idx="357">
                  <c:v>201.34800000000001</c:v>
                </c:pt>
                <c:pt idx="358">
                  <c:v>201.91200000000001</c:v>
                </c:pt>
                <c:pt idx="359">
                  <c:v>202.476</c:v>
                </c:pt>
                <c:pt idx="360">
                  <c:v>203.04</c:v>
                </c:pt>
                <c:pt idx="361">
                  <c:v>203.60400000000001</c:v>
                </c:pt>
                <c:pt idx="362">
                  <c:v>204.16800000000001</c:v>
                </c:pt>
                <c:pt idx="363">
                  <c:v>204.732</c:v>
                </c:pt>
                <c:pt idx="364">
                  <c:v>205.29599999999999</c:v>
                </c:pt>
                <c:pt idx="365">
                  <c:v>205.86</c:v>
                </c:pt>
                <c:pt idx="366">
                  <c:v>206.42400000000001</c:v>
                </c:pt>
                <c:pt idx="367">
                  <c:v>206.988</c:v>
                </c:pt>
                <c:pt idx="368">
                  <c:v>207.55199999999999</c:v>
                </c:pt>
                <c:pt idx="369">
                  <c:v>208.11600000000001</c:v>
                </c:pt>
                <c:pt idx="370">
                  <c:v>208.68</c:v>
                </c:pt>
                <c:pt idx="371">
                  <c:v>209.244</c:v>
                </c:pt>
                <c:pt idx="372">
                  <c:v>209.80799999999999</c:v>
                </c:pt>
                <c:pt idx="373">
                  <c:v>210.37200000000001</c:v>
                </c:pt>
                <c:pt idx="374">
                  <c:v>210.93600000000001</c:v>
                </c:pt>
                <c:pt idx="375">
                  <c:v>211.5</c:v>
                </c:pt>
                <c:pt idx="376">
                  <c:v>212.06399999999999</c:v>
                </c:pt>
                <c:pt idx="377">
                  <c:v>212.62799999999999</c:v>
                </c:pt>
                <c:pt idx="378">
                  <c:v>213.19200000000001</c:v>
                </c:pt>
                <c:pt idx="379">
                  <c:v>213.756</c:v>
                </c:pt>
                <c:pt idx="380">
                  <c:v>214.32</c:v>
                </c:pt>
                <c:pt idx="381">
                  <c:v>214.88399999999999</c:v>
                </c:pt>
                <c:pt idx="382">
                  <c:v>215.44800000000001</c:v>
                </c:pt>
                <c:pt idx="383">
                  <c:v>216.012</c:v>
                </c:pt>
                <c:pt idx="384">
                  <c:v>216.57599999999999</c:v>
                </c:pt>
                <c:pt idx="385">
                  <c:v>217.14</c:v>
                </c:pt>
                <c:pt idx="386">
                  <c:v>217.70400000000001</c:v>
                </c:pt>
                <c:pt idx="387">
                  <c:v>218.268</c:v>
                </c:pt>
                <c:pt idx="388">
                  <c:v>218.83199999999999</c:v>
                </c:pt>
                <c:pt idx="389">
                  <c:v>219.39599999999999</c:v>
                </c:pt>
                <c:pt idx="390">
                  <c:v>219.96</c:v>
                </c:pt>
                <c:pt idx="391">
                  <c:v>220.524</c:v>
                </c:pt>
                <c:pt idx="392">
                  <c:v>221.08799999999999</c:v>
                </c:pt>
                <c:pt idx="393">
                  <c:v>221.65199999999999</c:v>
                </c:pt>
                <c:pt idx="394">
                  <c:v>222.21600000000001</c:v>
                </c:pt>
                <c:pt idx="395">
                  <c:v>222.78</c:v>
                </c:pt>
                <c:pt idx="396">
                  <c:v>223.34399999999999</c:v>
                </c:pt>
                <c:pt idx="397">
                  <c:v>223.90799999999999</c:v>
                </c:pt>
                <c:pt idx="398">
                  <c:v>224.47200000000001</c:v>
                </c:pt>
                <c:pt idx="399">
                  <c:v>225.036</c:v>
                </c:pt>
                <c:pt idx="400">
                  <c:v>225.6</c:v>
                </c:pt>
                <c:pt idx="401">
                  <c:v>226.16399999999999</c:v>
                </c:pt>
                <c:pt idx="402">
                  <c:v>226.72800000000001</c:v>
                </c:pt>
                <c:pt idx="403">
                  <c:v>227.292</c:v>
                </c:pt>
                <c:pt idx="404">
                  <c:v>227.85599999999999</c:v>
                </c:pt>
                <c:pt idx="405">
                  <c:v>228.42</c:v>
                </c:pt>
                <c:pt idx="406">
                  <c:v>228.98400000000001</c:v>
                </c:pt>
                <c:pt idx="407">
                  <c:v>229.548</c:v>
                </c:pt>
                <c:pt idx="408">
                  <c:v>230.11199999999999</c:v>
                </c:pt>
                <c:pt idx="409">
                  <c:v>230.67599999999999</c:v>
                </c:pt>
                <c:pt idx="410">
                  <c:v>231.24</c:v>
                </c:pt>
                <c:pt idx="411">
                  <c:v>231.804</c:v>
                </c:pt>
                <c:pt idx="412">
                  <c:v>232.36799999999999</c:v>
                </c:pt>
                <c:pt idx="413">
                  <c:v>232.93199999999999</c:v>
                </c:pt>
                <c:pt idx="414">
                  <c:v>233.49600000000001</c:v>
                </c:pt>
                <c:pt idx="415">
                  <c:v>234.06</c:v>
                </c:pt>
                <c:pt idx="416">
                  <c:v>234.624</c:v>
                </c:pt>
                <c:pt idx="417">
                  <c:v>235.18799999999999</c:v>
                </c:pt>
                <c:pt idx="418">
                  <c:v>235.75200000000001</c:v>
                </c:pt>
                <c:pt idx="419">
                  <c:v>236.316</c:v>
                </c:pt>
                <c:pt idx="420">
                  <c:v>236.88</c:v>
                </c:pt>
                <c:pt idx="421">
                  <c:v>237.44399999999999</c:v>
                </c:pt>
                <c:pt idx="422">
                  <c:v>238.00800000000001</c:v>
                </c:pt>
                <c:pt idx="423">
                  <c:v>238.572</c:v>
                </c:pt>
                <c:pt idx="424">
                  <c:v>239.136</c:v>
                </c:pt>
                <c:pt idx="425">
                  <c:v>239.7</c:v>
                </c:pt>
                <c:pt idx="426">
                  <c:v>240.26400000000001</c:v>
                </c:pt>
                <c:pt idx="427">
                  <c:v>240.828</c:v>
                </c:pt>
                <c:pt idx="428">
                  <c:v>241.392</c:v>
                </c:pt>
                <c:pt idx="429">
                  <c:v>241.95599999999999</c:v>
                </c:pt>
                <c:pt idx="430">
                  <c:v>242.52</c:v>
                </c:pt>
                <c:pt idx="431">
                  <c:v>243.084</c:v>
                </c:pt>
                <c:pt idx="432">
                  <c:v>243.648</c:v>
                </c:pt>
                <c:pt idx="433">
                  <c:v>244.21199999999999</c:v>
                </c:pt>
                <c:pt idx="434">
                  <c:v>244.77600000000001</c:v>
                </c:pt>
                <c:pt idx="435">
                  <c:v>245.34</c:v>
                </c:pt>
                <c:pt idx="436">
                  <c:v>245.904</c:v>
                </c:pt>
                <c:pt idx="437">
                  <c:v>246.46799999999999</c:v>
                </c:pt>
                <c:pt idx="438">
                  <c:v>247.03200000000001</c:v>
                </c:pt>
                <c:pt idx="439">
                  <c:v>247.596</c:v>
                </c:pt>
                <c:pt idx="440">
                  <c:v>248.16</c:v>
                </c:pt>
                <c:pt idx="441">
                  <c:v>248.72399999999999</c:v>
                </c:pt>
                <c:pt idx="442">
                  <c:v>249.28800000000001</c:v>
                </c:pt>
                <c:pt idx="443">
                  <c:v>249.852</c:v>
                </c:pt>
                <c:pt idx="444">
                  <c:v>250.416</c:v>
                </c:pt>
                <c:pt idx="445">
                  <c:v>250.98</c:v>
                </c:pt>
                <c:pt idx="446">
                  <c:v>251.54400000000001</c:v>
                </c:pt>
                <c:pt idx="447">
                  <c:v>252.108</c:v>
                </c:pt>
                <c:pt idx="448">
                  <c:v>252.672</c:v>
                </c:pt>
                <c:pt idx="449">
                  <c:v>253.23599999999999</c:v>
                </c:pt>
                <c:pt idx="450">
                  <c:v>253.8</c:v>
                </c:pt>
                <c:pt idx="451">
                  <c:v>254.364</c:v>
                </c:pt>
                <c:pt idx="452">
                  <c:v>254.928</c:v>
                </c:pt>
                <c:pt idx="453">
                  <c:v>255.49199999999999</c:v>
                </c:pt>
                <c:pt idx="454">
                  <c:v>256.05599999999998</c:v>
                </c:pt>
                <c:pt idx="455">
                  <c:v>256.62</c:v>
                </c:pt>
                <c:pt idx="456">
                  <c:v>257.18400000000003</c:v>
                </c:pt>
                <c:pt idx="457">
                  <c:v>257.74799999999999</c:v>
                </c:pt>
                <c:pt idx="458">
                  <c:v>258.31200000000001</c:v>
                </c:pt>
                <c:pt idx="459">
                  <c:v>258.87599999999998</c:v>
                </c:pt>
                <c:pt idx="460">
                  <c:v>259.44</c:v>
                </c:pt>
                <c:pt idx="461">
                  <c:v>260.00400000000002</c:v>
                </c:pt>
                <c:pt idx="462">
                  <c:v>260.56799999999998</c:v>
                </c:pt>
                <c:pt idx="463">
                  <c:v>261.13200000000001</c:v>
                </c:pt>
                <c:pt idx="464">
                  <c:v>261.69600000000003</c:v>
                </c:pt>
                <c:pt idx="465">
                  <c:v>262.26</c:v>
                </c:pt>
                <c:pt idx="466">
                  <c:v>262.82400000000001</c:v>
                </c:pt>
                <c:pt idx="467">
                  <c:v>263.38799999999998</c:v>
                </c:pt>
                <c:pt idx="468">
                  <c:v>263.952</c:v>
                </c:pt>
                <c:pt idx="469">
                  <c:v>264.51600000000002</c:v>
                </c:pt>
                <c:pt idx="470">
                  <c:v>265.08</c:v>
                </c:pt>
                <c:pt idx="471">
                  <c:v>265.64400000000001</c:v>
                </c:pt>
                <c:pt idx="472">
                  <c:v>266.20800000000003</c:v>
                </c:pt>
                <c:pt idx="473">
                  <c:v>266.77199999999999</c:v>
                </c:pt>
                <c:pt idx="474">
                  <c:v>267.33600000000001</c:v>
                </c:pt>
                <c:pt idx="475">
                  <c:v>267.89999999999998</c:v>
                </c:pt>
                <c:pt idx="476">
                  <c:v>268.464</c:v>
                </c:pt>
                <c:pt idx="477">
                  <c:v>269.02800000000002</c:v>
                </c:pt>
                <c:pt idx="478">
                  <c:v>269.59199999999998</c:v>
                </c:pt>
                <c:pt idx="479">
                  <c:v>270.15600000000001</c:v>
                </c:pt>
                <c:pt idx="480">
                  <c:v>270.72000000000003</c:v>
                </c:pt>
                <c:pt idx="481">
                  <c:v>271.28399999999999</c:v>
                </c:pt>
                <c:pt idx="482">
                  <c:v>271.84800000000001</c:v>
                </c:pt>
                <c:pt idx="483">
                  <c:v>272.41199999999998</c:v>
                </c:pt>
                <c:pt idx="484">
                  <c:v>272.976</c:v>
                </c:pt>
                <c:pt idx="485">
                  <c:v>273.54000000000002</c:v>
                </c:pt>
                <c:pt idx="486">
                  <c:v>274.10399999999998</c:v>
                </c:pt>
                <c:pt idx="487">
                  <c:v>274.66800000000001</c:v>
                </c:pt>
                <c:pt idx="488">
                  <c:v>275.23200000000003</c:v>
                </c:pt>
                <c:pt idx="489">
                  <c:v>275.79599999999999</c:v>
                </c:pt>
                <c:pt idx="490">
                  <c:v>276.36</c:v>
                </c:pt>
                <c:pt idx="491">
                  <c:v>276.92399999999998</c:v>
                </c:pt>
                <c:pt idx="492">
                  <c:v>277.488</c:v>
                </c:pt>
                <c:pt idx="493">
                  <c:v>278.05200000000002</c:v>
                </c:pt>
                <c:pt idx="494">
                  <c:v>278.61599999999999</c:v>
                </c:pt>
                <c:pt idx="495">
                  <c:v>279.18</c:v>
                </c:pt>
                <c:pt idx="496">
                  <c:v>279.74400000000003</c:v>
                </c:pt>
                <c:pt idx="497">
                  <c:v>280.30799999999999</c:v>
                </c:pt>
                <c:pt idx="498">
                  <c:v>280.87200000000001</c:v>
                </c:pt>
                <c:pt idx="499">
                  <c:v>281.43599999999998</c:v>
                </c:pt>
                <c:pt idx="500">
                  <c:v>282</c:v>
                </c:pt>
                <c:pt idx="501">
                  <c:v>282.56400000000002</c:v>
                </c:pt>
                <c:pt idx="502">
                  <c:v>283.12799999999999</c:v>
                </c:pt>
                <c:pt idx="503">
                  <c:v>283.69200000000001</c:v>
                </c:pt>
                <c:pt idx="504">
                  <c:v>284.25599999999997</c:v>
                </c:pt>
                <c:pt idx="505">
                  <c:v>284.82</c:v>
                </c:pt>
                <c:pt idx="506">
                  <c:v>285.38400000000001</c:v>
                </c:pt>
                <c:pt idx="507">
                  <c:v>285.94799999999998</c:v>
                </c:pt>
                <c:pt idx="508">
                  <c:v>286.512</c:v>
                </c:pt>
                <c:pt idx="509">
                  <c:v>287.07600000000002</c:v>
                </c:pt>
                <c:pt idx="510">
                  <c:v>287.64</c:v>
                </c:pt>
                <c:pt idx="511">
                  <c:v>288.20400000000001</c:v>
                </c:pt>
                <c:pt idx="512">
                  <c:v>288.76799999999997</c:v>
                </c:pt>
                <c:pt idx="513">
                  <c:v>289.33199999999999</c:v>
                </c:pt>
                <c:pt idx="514">
                  <c:v>289.89600000000002</c:v>
                </c:pt>
                <c:pt idx="515">
                  <c:v>290.45999999999998</c:v>
                </c:pt>
                <c:pt idx="516">
                  <c:v>291.024</c:v>
                </c:pt>
                <c:pt idx="517">
                  <c:v>291.58800000000002</c:v>
                </c:pt>
                <c:pt idx="518">
                  <c:v>292.15199999999999</c:v>
                </c:pt>
                <c:pt idx="519">
                  <c:v>292.71600000000001</c:v>
                </c:pt>
                <c:pt idx="520">
                  <c:v>293.27999999999997</c:v>
                </c:pt>
                <c:pt idx="521">
                  <c:v>293.84399999999999</c:v>
                </c:pt>
                <c:pt idx="522">
                  <c:v>294.40800000000002</c:v>
                </c:pt>
                <c:pt idx="523">
                  <c:v>294.97199999999998</c:v>
                </c:pt>
                <c:pt idx="524">
                  <c:v>295.536</c:v>
                </c:pt>
                <c:pt idx="525">
                  <c:v>296.10000000000002</c:v>
                </c:pt>
                <c:pt idx="526">
                  <c:v>296.66399999999999</c:v>
                </c:pt>
                <c:pt idx="527">
                  <c:v>297.22800000000001</c:v>
                </c:pt>
                <c:pt idx="528">
                  <c:v>297.79199999999997</c:v>
                </c:pt>
                <c:pt idx="529">
                  <c:v>298.35599999999999</c:v>
                </c:pt>
                <c:pt idx="530">
                  <c:v>298.92</c:v>
                </c:pt>
                <c:pt idx="531">
                  <c:v>299.48399999999998</c:v>
                </c:pt>
                <c:pt idx="532">
                  <c:v>300.048</c:v>
                </c:pt>
                <c:pt idx="533">
                  <c:v>300.61200000000002</c:v>
                </c:pt>
                <c:pt idx="534">
                  <c:v>301.17599999999999</c:v>
                </c:pt>
                <c:pt idx="535">
                  <c:v>301.74</c:v>
                </c:pt>
                <c:pt idx="536">
                  <c:v>302.30399999999997</c:v>
                </c:pt>
                <c:pt idx="537">
                  <c:v>302.86799999999999</c:v>
                </c:pt>
                <c:pt idx="538">
                  <c:v>303.43200000000002</c:v>
                </c:pt>
                <c:pt idx="539">
                  <c:v>303.99599999999998</c:v>
                </c:pt>
                <c:pt idx="540">
                  <c:v>304.56</c:v>
                </c:pt>
                <c:pt idx="541">
                  <c:v>305.12400000000002</c:v>
                </c:pt>
                <c:pt idx="542">
                  <c:v>305.68799999999999</c:v>
                </c:pt>
                <c:pt idx="543">
                  <c:v>306.25200000000001</c:v>
                </c:pt>
                <c:pt idx="544">
                  <c:v>306.81599999999997</c:v>
                </c:pt>
                <c:pt idx="545">
                  <c:v>307.38</c:v>
                </c:pt>
                <c:pt idx="546">
                  <c:v>307.94400000000002</c:v>
                </c:pt>
                <c:pt idx="547">
                  <c:v>308.50799999999998</c:v>
                </c:pt>
                <c:pt idx="548">
                  <c:v>309.072</c:v>
                </c:pt>
                <c:pt idx="549">
                  <c:v>309.63600000000002</c:v>
                </c:pt>
                <c:pt idx="550">
                  <c:v>310.2</c:v>
                </c:pt>
                <c:pt idx="551">
                  <c:v>310.76400000000001</c:v>
                </c:pt>
                <c:pt idx="552">
                  <c:v>311.32799999999997</c:v>
                </c:pt>
                <c:pt idx="553">
                  <c:v>311.892</c:v>
                </c:pt>
                <c:pt idx="554">
                  <c:v>312.45600000000002</c:v>
                </c:pt>
                <c:pt idx="555">
                  <c:v>313.02</c:v>
                </c:pt>
                <c:pt idx="556">
                  <c:v>313.584</c:v>
                </c:pt>
                <c:pt idx="557">
                  <c:v>314.14800000000002</c:v>
                </c:pt>
                <c:pt idx="558">
                  <c:v>314.71199999999999</c:v>
                </c:pt>
                <c:pt idx="559">
                  <c:v>315.27600000000001</c:v>
                </c:pt>
                <c:pt idx="560">
                  <c:v>315.83999999999997</c:v>
                </c:pt>
                <c:pt idx="561">
                  <c:v>316.404</c:v>
                </c:pt>
                <c:pt idx="562">
                  <c:v>316.96800000000002</c:v>
                </c:pt>
                <c:pt idx="563">
                  <c:v>317.53199999999998</c:v>
                </c:pt>
                <c:pt idx="564">
                  <c:v>318.096</c:v>
                </c:pt>
                <c:pt idx="565">
                  <c:v>318.66000000000003</c:v>
                </c:pt>
                <c:pt idx="566">
                  <c:v>319.22399999999999</c:v>
                </c:pt>
                <c:pt idx="567">
                  <c:v>319.78800000000001</c:v>
                </c:pt>
                <c:pt idx="568">
                  <c:v>320.35199999999998</c:v>
                </c:pt>
                <c:pt idx="569">
                  <c:v>320.916</c:v>
                </c:pt>
                <c:pt idx="570">
                  <c:v>321.48</c:v>
                </c:pt>
                <c:pt idx="571">
                  <c:v>322.04399999999998</c:v>
                </c:pt>
                <c:pt idx="572">
                  <c:v>322.608</c:v>
                </c:pt>
                <c:pt idx="573">
                  <c:v>323.17200000000003</c:v>
                </c:pt>
                <c:pt idx="574">
                  <c:v>323.73599999999999</c:v>
                </c:pt>
                <c:pt idx="575">
                  <c:v>324.3</c:v>
                </c:pt>
                <c:pt idx="576">
                  <c:v>324.86399999999998</c:v>
                </c:pt>
                <c:pt idx="577">
                  <c:v>325.428</c:v>
                </c:pt>
                <c:pt idx="578">
                  <c:v>325.99200000000002</c:v>
                </c:pt>
                <c:pt idx="579">
                  <c:v>326.55599999999998</c:v>
                </c:pt>
                <c:pt idx="580">
                  <c:v>327.12</c:v>
                </c:pt>
                <c:pt idx="581">
                  <c:v>327.68400000000003</c:v>
                </c:pt>
                <c:pt idx="582">
                  <c:v>328.24799999999999</c:v>
                </c:pt>
                <c:pt idx="583">
                  <c:v>328.81200000000001</c:v>
                </c:pt>
                <c:pt idx="584">
                  <c:v>329.37599999999998</c:v>
                </c:pt>
                <c:pt idx="585">
                  <c:v>329.94</c:v>
                </c:pt>
                <c:pt idx="586">
                  <c:v>330.50400000000002</c:v>
                </c:pt>
                <c:pt idx="587">
                  <c:v>331.06799999999998</c:v>
                </c:pt>
                <c:pt idx="588">
                  <c:v>331.63200000000001</c:v>
                </c:pt>
                <c:pt idx="589">
                  <c:v>332.19600000000003</c:v>
                </c:pt>
                <c:pt idx="590">
                  <c:v>332.76</c:v>
                </c:pt>
                <c:pt idx="591">
                  <c:v>333.32400000000001</c:v>
                </c:pt>
                <c:pt idx="592">
                  <c:v>333.88799999999998</c:v>
                </c:pt>
                <c:pt idx="593">
                  <c:v>334.452</c:v>
                </c:pt>
                <c:pt idx="594">
                  <c:v>335.01600000000002</c:v>
                </c:pt>
                <c:pt idx="595">
                  <c:v>335.58</c:v>
                </c:pt>
                <c:pt idx="596">
                  <c:v>336.14400000000001</c:v>
                </c:pt>
                <c:pt idx="597">
                  <c:v>336.70800000000003</c:v>
                </c:pt>
                <c:pt idx="598">
                  <c:v>337.27199999999999</c:v>
                </c:pt>
                <c:pt idx="599">
                  <c:v>337.83600000000001</c:v>
                </c:pt>
                <c:pt idx="600">
                  <c:v>338.4</c:v>
                </c:pt>
                <c:pt idx="601">
                  <c:v>338.964</c:v>
                </c:pt>
                <c:pt idx="602">
                  <c:v>339.52800000000002</c:v>
                </c:pt>
                <c:pt idx="603">
                  <c:v>340.09199999999998</c:v>
                </c:pt>
                <c:pt idx="604">
                  <c:v>340.65600000000001</c:v>
                </c:pt>
                <c:pt idx="605">
                  <c:v>341.22</c:v>
                </c:pt>
                <c:pt idx="606">
                  <c:v>341.78399999999999</c:v>
                </c:pt>
                <c:pt idx="607">
                  <c:v>342.34800000000001</c:v>
                </c:pt>
                <c:pt idx="608">
                  <c:v>342.91199999999998</c:v>
                </c:pt>
                <c:pt idx="609">
                  <c:v>343.476</c:v>
                </c:pt>
                <c:pt idx="610">
                  <c:v>344.04</c:v>
                </c:pt>
                <c:pt idx="611">
                  <c:v>344.60399999999998</c:v>
                </c:pt>
                <c:pt idx="612">
                  <c:v>345.16800000000001</c:v>
                </c:pt>
                <c:pt idx="613">
                  <c:v>345.73200000000003</c:v>
                </c:pt>
                <c:pt idx="614">
                  <c:v>346.29599999999999</c:v>
                </c:pt>
                <c:pt idx="615">
                  <c:v>346.86</c:v>
                </c:pt>
                <c:pt idx="616">
                  <c:v>347.42399999999998</c:v>
                </c:pt>
                <c:pt idx="617">
                  <c:v>347.988</c:v>
                </c:pt>
                <c:pt idx="618">
                  <c:v>348.55200000000002</c:v>
                </c:pt>
                <c:pt idx="619">
                  <c:v>349.11599999999999</c:v>
                </c:pt>
                <c:pt idx="620">
                  <c:v>349.68</c:v>
                </c:pt>
                <c:pt idx="621">
                  <c:v>350.24400000000003</c:v>
                </c:pt>
                <c:pt idx="622">
                  <c:v>350.80799999999999</c:v>
                </c:pt>
                <c:pt idx="623">
                  <c:v>351.37200000000001</c:v>
                </c:pt>
                <c:pt idx="624">
                  <c:v>351.93599999999998</c:v>
                </c:pt>
                <c:pt idx="625">
                  <c:v>352.5</c:v>
                </c:pt>
                <c:pt idx="626">
                  <c:v>353.06400000000002</c:v>
                </c:pt>
                <c:pt idx="627">
                  <c:v>353.62799999999999</c:v>
                </c:pt>
                <c:pt idx="628">
                  <c:v>354.19200000000001</c:v>
                </c:pt>
                <c:pt idx="629">
                  <c:v>354.75599999999997</c:v>
                </c:pt>
                <c:pt idx="630">
                  <c:v>355.32</c:v>
                </c:pt>
                <c:pt idx="631">
                  <c:v>355.88400000000001</c:v>
                </c:pt>
                <c:pt idx="632">
                  <c:v>356.44799999999998</c:v>
                </c:pt>
                <c:pt idx="633">
                  <c:v>357.012</c:v>
                </c:pt>
                <c:pt idx="634">
                  <c:v>357.57600000000002</c:v>
                </c:pt>
                <c:pt idx="635">
                  <c:v>358.14</c:v>
                </c:pt>
                <c:pt idx="636">
                  <c:v>358.70400000000001</c:v>
                </c:pt>
                <c:pt idx="637">
                  <c:v>359.26799999999997</c:v>
                </c:pt>
                <c:pt idx="638">
                  <c:v>359.83199999999999</c:v>
                </c:pt>
                <c:pt idx="639">
                  <c:v>360.39600000000002</c:v>
                </c:pt>
                <c:pt idx="640">
                  <c:v>360.96</c:v>
                </c:pt>
                <c:pt idx="641">
                  <c:v>361.524</c:v>
                </c:pt>
                <c:pt idx="642">
                  <c:v>362.08800000000002</c:v>
                </c:pt>
                <c:pt idx="643">
                  <c:v>362.65199999999999</c:v>
                </c:pt>
                <c:pt idx="644">
                  <c:v>363.21600000000001</c:v>
                </c:pt>
                <c:pt idx="645">
                  <c:v>363.78</c:v>
                </c:pt>
                <c:pt idx="646">
                  <c:v>364.34399999999999</c:v>
                </c:pt>
                <c:pt idx="647">
                  <c:v>364.90800000000002</c:v>
                </c:pt>
                <c:pt idx="648">
                  <c:v>365.47199999999998</c:v>
                </c:pt>
                <c:pt idx="649">
                  <c:v>366.036</c:v>
                </c:pt>
                <c:pt idx="650">
                  <c:v>366.6</c:v>
                </c:pt>
                <c:pt idx="651">
                  <c:v>367.16399999999999</c:v>
                </c:pt>
                <c:pt idx="652">
                  <c:v>367.72800000000001</c:v>
                </c:pt>
                <c:pt idx="653">
                  <c:v>368.29199999999997</c:v>
                </c:pt>
                <c:pt idx="654">
                  <c:v>368.85599999999999</c:v>
                </c:pt>
                <c:pt idx="655">
                  <c:v>369.42</c:v>
                </c:pt>
                <c:pt idx="656">
                  <c:v>369.98399999999998</c:v>
                </c:pt>
                <c:pt idx="657">
                  <c:v>370.548</c:v>
                </c:pt>
                <c:pt idx="658">
                  <c:v>371.11200000000002</c:v>
                </c:pt>
                <c:pt idx="659">
                  <c:v>371.67599999999999</c:v>
                </c:pt>
                <c:pt idx="660">
                  <c:v>372.24</c:v>
                </c:pt>
                <c:pt idx="661">
                  <c:v>372.80399999999997</c:v>
                </c:pt>
                <c:pt idx="662">
                  <c:v>373.36799999999999</c:v>
                </c:pt>
                <c:pt idx="663">
                  <c:v>373.93200000000002</c:v>
                </c:pt>
                <c:pt idx="664">
                  <c:v>374.49599999999998</c:v>
                </c:pt>
                <c:pt idx="665">
                  <c:v>375.06</c:v>
                </c:pt>
                <c:pt idx="666">
                  <c:v>375.62400000000002</c:v>
                </c:pt>
                <c:pt idx="667">
                  <c:v>376.18799999999999</c:v>
                </c:pt>
                <c:pt idx="668">
                  <c:v>376.75200000000001</c:v>
                </c:pt>
                <c:pt idx="669">
                  <c:v>377.31599999999997</c:v>
                </c:pt>
                <c:pt idx="670">
                  <c:v>377.88</c:v>
                </c:pt>
                <c:pt idx="671">
                  <c:v>378.44400000000002</c:v>
                </c:pt>
                <c:pt idx="672">
                  <c:v>379.00799999999998</c:v>
                </c:pt>
                <c:pt idx="673">
                  <c:v>379.572</c:v>
                </c:pt>
                <c:pt idx="674">
                  <c:v>380.13600000000002</c:v>
                </c:pt>
                <c:pt idx="675">
                  <c:v>380.7</c:v>
                </c:pt>
                <c:pt idx="676">
                  <c:v>381.26400000000001</c:v>
                </c:pt>
                <c:pt idx="677">
                  <c:v>381.82799999999997</c:v>
                </c:pt>
                <c:pt idx="678">
                  <c:v>382.392</c:v>
                </c:pt>
                <c:pt idx="679">
                  <c:v>382.95600000000002</c:v>
                </c:pt>
                <c:pt idx="680">
                  <c:v>383.52</c:v>
                </c:pt>
                <c:pt idx="681">
                  <c:v>384.084</c:v>
                </c:pt>
                <c:pt idx="682">
                  <c:v>384.64800000000002</c:v>
                </c:pt>
                <c:pt idx="683">
                  <c:v>385.21199999999999</c:v>
                </c:pt>
                <c:pt idx="684">
                  <c:v>385.77600000000001</c:v>
                </c:pt>
                <c:pt idx="685">
                  <c:v>386.34</c:v>
                </c:pt>
                <c:pt idx="686">
                  <c:v>386.904</c:v>
                </c:pt>
                <c:pt idx="687">
                  <c:v>387.46800000000002</c:v>
                </c:pt>
                <c:pt idx="688">
                  <c:v>388.03199999999998</c:v>
                </c:pt>
                <c:pt idx="689">
                  <c:v>388.596</c:v>
                </c:pt>
                <c:pt idx="690">
                  <c:v>389.16</c:v>
                </c:pt>
                <c:pt idx="691">
                  <c:v>389.72399999999999</c:v>
                </c:pt>
                <c:pt idx="692">
                  <c:v>390.28800000000001</c:v>
                </c:pt>
                <c:pt idx="693">
                  <c:v>390.85199999999998</c:v>
                </c:pt>
                <c:pt idx="694">
                  <c:v>391.416</c:v>
                </c:pt>
                <c:pt idx="695">
                  <c:v>391.98</c:v>
                </c:pt>
                <c:pt idx="696">
                  <c:v>392.54399999999998</c:v>
                </c:pt>
                <c:pt idx="697">
                  <c:v>393.108</c:v>
                </c:pt>
                <c:pt idx="698">
                  <c:v>393.67200000000003</c:v>
                </c:pt>
                <c:pt idx="699">
                  <c:v>394.23599999999999</c:v>
                </c:pt>
                <c:pt idx="700">
                  <c:v>394.8</c:v>
                </c:pt>
                <c:pt idx="701">
                  <c:v>395.36399999999998</c:v>
                </c:pt>
                <c:pt idx="702">
                  <c:v>395.928</c:v>
                </c:pt>
                <c:pt idx="703">
                  <c:v>396.49200000000002</c:v>
                </c:pt>
                <c:pt idx="704">
                  <c:v>397.05599999999998</c:v>
                </c:pt>
                <c:pt idx="705">
                  <c:v>397.62</c:v>
                </c:pt>
                <c:pt idx="706">
                  <c:v>398.18400000000003</c:v>
                </c:pt>
                <c:pt idx="707">
                  <c:v>398.74799999999999</c:v>
                </c:pt>
                <c:pt idx="708">
                  <c:v>399.31200000000001</c:v>
                </c:pt>
                <c:pt idx="709">
                  <c:v>399.87599999999998</c:v>
                </c:pt>
                <c:pt idx="710">
                  <c:v>400.44</c:v>
                </c:pt>
                <c:pt idx="711">
                  <c:v>401.00400000000002</c:v>
                </c:pt>
                <c:pt idx="712">
                  <c:v>401.56799999999998</c:v>
                </c:pt>
                <c:pt idx="713">
                  <c:v>402.13200000000001</c:v>
                </c:pt>
                <c:pt idx="714">
                  <c:v>402.69600000000003</c:v>
                </c:pt>
                <c:pt idx="715">
                  <c:v>403.26</c:v>
                </c:pt>
                <c:pt idx="716">
                  <c:v>403.82400000000001</c:v>
                </c:pt>
                <c:pt idx="717">
                  <c:v>404.38799999999998</c:v>
                </c:pt>
                <c:pt idx="718">
                  <c:v>404.952</c:v>
                </c:pt>
                <c:pt idx="719">
                  <c:v>405.51600000000002</c:v>
                </c:pt>
                <c:pt idx="720">
                  <c:v>406.08</c:v>
                </c:pt>
                <c:pt idx="721">
                  <c:v>406.64400000000001</c:v>
                </c:pt>
                <c:pt idx="722">
                  <c:v>407.20800000000003</c:v>
                </c:pt>
                <c:pt idx="723">
                  <c:v>407.77199999999999</c:v>
                </c:pt>
                <c:pt idx="724">
                  <c:v>408.33600000000001</c:v>
                </c:pt>
                <c:pt idx="725">
                  <c:v>408.9</c:v>
                </c:pt>
                <c:pt idx="726">
                  <c:v>409.464</c:v>
                </c:pt>
                <c:pt idx="727">
                  <c:v>410.02800000000002</c:v>
                </c:pt>
                <c:pt idx="728">
                  <c:v>410.59199999999998</c:v>
                </c:pt>
                <c:pt idx="729">
                  <c:v>411.15600000000001</c:v>
                </c:pt>
                <c:pt idx="730">
                  <c:v>411.72</c:v>
                </c:pt>
                <c:pt idx="731">
                  <c:v>412.28399999999999</c:v>
                </c:pt>
                <c:pt idx="732">
                  <c:v>412.84800000000001</c:v>
                </c:pt>
                <c:pt idx="733">
                  <c:v>413.41199999999998</c:v>
                </c:pt>
                <c:pt idx="734">
                  <c:v>413.976</c:v>
                </c:pt>
                <c:pt idx="735">
                  <c:v>414.54</c:v>
                </c:pt>
                <c:pt idx="736">
                  <c:v>415.10399999999998</c:v>
                </c:pt>
                <c:pt idx="737">
                  <c:v>415.66800000000001</c:v>
                </c:pt>
                <c:pt idx="738">
                  <c:v>416.23200000000003</c:v>
                </c:pt>
                <c:pt idx="739">
                  <c:v>416.79599999999999</c:v>
                </c:pt>
                <c:pt idx="740">
                  <c:v>417.36</c:v>
                </c:pt>
                <c:pt idx="741">
                  <c:v>417.92399999999998</c:v>
                </c:pt>
                <c:pt idx="742">
                  <c:v>418.488</c:v>
                </c:pt>
                <c:pt idx="743">
                  <c:v>419.05200000000002</c:v>
                </c:pt>
                <c:pt idx="744">
                  <c:v>419.61599999999999</c:v>
                </c:pt>
                <c:pt idx="745">
                  <c:v>420.18</c:v>
                </c:pt>
                <c:pt idx="746">
                  <c:v>420.74400000000003</c:v>
                </c:pt>
                <c:pt idx="747">
                  <c:v>421.30799999999999</c:v>
                </c:pt>
                <c:pt idx="748">
                  <c:v>421.87200000000001</c:v>
                </c:pt>
                <c:pt idx="749">
                  <c:v>422.43599999999998</c:v>
                </c:pt>
                <c:pt idx="750">
                  <c:v>423</c:v>
                </c:pt>
                <c:pt idx="751">
                  <c:v>423.56400000000002</c:v>
                </c:pt>
                <c:pt idx="752">
                  <c:v>424.12799999999999</c:v>
                </c:pt>
                <c:pt idx="753">
                  <c:v>424.69200000000001</c:v>
                </c:pt>
                <c:pt idx="754">
                  <c:v>425.25599999999997</c:v>
                </c:pt>
                <c:pt idx="755">
                  <c:v>425.82</c:v>
                </c:pt>
                <c:pt idx="756">
                  <c:v>426.38400000000001</c:v>
                </c:pt>
                <c:pt idx="757">
                  <c:v>426.94799999999998</c:v>
                </c:pt>
                <c:pt idx="758">
                  <c:v>427.512</c:v>
                </c:pt>
                <c:pt idx="759">
                  <c:v>428.07600000000002</c:v>
                </c:pt>
                <c:pt idx="760">
                  <c:v>428.64</c:v>
                </c:pt>
                <c:pt idx="761">
                  <c:v>429.20400000000001</c:v>
                </c:pt>
                <c:pt idx="762">
                  <c:v>429.76799999999997</c:v>
                </c:pt>
                <c:pt idx="763">
                  <c:v>430.33199999999999</c:v>
                </c:pt>
                <c:pt idx="764">
                  <c:v>430.89600000000002</c:v>
                </c:pt>
                <c:pt idx="765">
                  <c:v>431.46</c:v>
                </c:pt>
                <c:pt idx="766">
                  <c:v>432.024</c:v>
                </c:pt>
                <c:pt idx="767">
                  <c:v>432.58800000000002</c:v>
                </c:pt>
                <c:pt idx="768">
                  <c:v>433.15199999999999</c:v>
                </c:pt>
                <c:pt idx="769">
                  <c:v>433.71600000000001</c:v>
                </c:pt>
                <c:pt idx="770">
                  <c:v>434.28</c:v>
                </c:pt>
                <c:pt idx="771">
                  <c:v>434.84399999999999</c:v>
                </c:pt>
                <c:pt idx="772">
                  <c:v>435.40800000000002</c:v>
                </c:pt>
                <c:pt idx="773">
                  <c:v>435.97199999999998</c:v>
                </c:pt>
                <c:pt idx="774">
                  <c:v>436.536</c:v>
                </c:pt>
                <c:pt idx="775">
                  <c:v>437.1</c:v>
                </c:pt>
                <c:pt idx="776">
                  <c:v>437.66399999999999</c:v>
                </c:pt>
                <c:pt idx="777">
                  <c:v>438.22800000000001</c:v>
                </c:pt>
                <c:pt idx="778">
                  <c:v>438.79199999999997</c:v>
                </c:pt>
                <c:pt idx="779">
                  <c:v>439.35599999999999</c:v>
                </c:pt>
                <c:pt idx="780">
                  <c:v>439.92</c:v>
                </c:pt>
                <c:pt idx="781">
                  <c:v>440.48399999999998</c:v>
                </c:pt>
                <c:pt idx="782">
                  <c:v>441.048</c:v>
                </c:pt>
                <c:pt idx="783">
                  <c:v>441.61200000000002</c:v>
                </c:pt>
                <c:pt idx="784">
                  <c:v>442.17599999999999</c:v>
                </c:pt>
                <c:pt idx="785">
                  <c:v>442.74</c:v>
                </c:pt>
                <c:pt idx="786">
                  <c:v>443.30399999999997</c:v>
                </c:pt>
                <c:pt idx="787">
                  <c:v>443.86799999999999</c:v>
                </c:pt>
                <c:pt idx="788">
                  <c:v>444.43200000000002</c:v>
                </c:pt>
                <c:pt idx="789">
                  <c:v>444.99599999999998</c:v>
                </c:pt>
                <c:pt idx="790">
                  <c:v>445.56</c:v>
                </c:pt>
                <c:pt idx="791">
                  <c:v>446.12400000000002</c:v>
                </c:pt>
                <c:pt idx="792">
                  <c:v>446.68799999999999</c:v>
                </c:pt>
                <c:pt idx="793">
                  <c:v>447.25200000000001</c:v>
                </c:pt>
                <c:pt idx="794">
                  <c:v>447.81599999999997</c:v>
                </c:pt>
                <c:pt idx="795">
                  <c:v>448.38</c:v>
                </c:pt>
                <c:pt idx="796">
                  <c:v>448.94400000000002</c:v>
                </c:pt>
                <c:pt idx="797">
                  <c:v>449.50799999999998</c:v>
                </c:pt>
                <c:pt idx="798">
                  <c:v>450.072</c:v>
                </c:pt>
                <c:pt idx="799">
                  <c:v>450.63600000000002</c:v>
                </c:pt>
                <c:pt idx="800">
                  <c:v>451.2</c:v>
                </c:pt>
                <c:pt idx="801">
                  <c:v>451.76400000000001</c:v>
                </c:pt>
                <c:pt idx="802">
                  <c:v>452.32799999999997</c:v>
                </c:pt>
                <c:pt idx="803">
                  <c:v>452.892</c:v>
                </c:pt>
                <c:pt idx="804">
                  <c:v>453.45600000000002</c:v>
                </c:pt>
                <c:pt idx="805">
                  <c:v>454.02</c:v>
                </c:pt>
                <c:pt idx="806">
                  <c:v>454.584</c:v>
                </c:pt>
                <c:pt idx="807">
                  <c:v>455.14800000000002</c:v>
                </c:pt>
                <c:pt idx="808">
                  <c:v>455.71199999999999</c:v>
                </c:pt>
                <c:pt idx="809">
                  <c:v>456.27600000000001</c:v>
                </c:pt>
                <c:pt idx="810">
                  <c:v>456.84</c:v>
                </c:pt>
                <c:pt idx="811">
                  <c:v>457.404</c:v>
                </c:pt>
                <c:pt idx="812">
                  <c:v>457.96800000000002</c:v>
                </c:pt>
                <c:pt idx="813">
                  <c:v>458.53199999999998</c:v>
                </c:pt>
                <c:pt idx="814">
                  <c:v>459.096</c:v>
                </c:pt>
                <c:pt idx="815">
                  <c:v>459.66</c:v>
                </c:pt>
                <c:pt idx="816">
                  <c:v>460.22399999999999</c:v>
                </c:pt>
                <c:pt idx="817">
                  <c:v>460.78800000000001</c:v>
                </c:pt>
                <c:pt idx="818">
                  <c:v>461.35199999999998</c:v>
                </c:pt>
                <c:pt idx="819">
                  <c:v>461.916</c:v>
                </c:pt>
                <c:pt idx="820">
                  <c:v>462.48</c:v>
                </c:pt>
                <c:pt idx="821">
                  <c:v>463.04399999999998</c:v>
                </c:pt>
                <c:pt idx="822">
                  <c:v>463.608</c:v>
                </c:pt>
                <c:pt idx="823">
                  <c:v>464.17200000000003</c:v>
                </c:pt>
                <c:pt idx="824">
                  <c:v>464.73599999999999</c:v>
                </c:pt>
                <c:pt idx="825">
                  <c:v>465.3</c:v>
                </c:pt>
                <c:pt idx="826">
                  <c:v>465.86399999999998</c:v>
                </c:pt>
                <c:pt idx="827">
                  <c:v>466.428</c:v>
                </c:pt>
                <c:pt idx="828">
                  <c:v>466.99200000000002</c:v>
                </c:pt>
                <c:pt idx="829">
                  <c:v>467.55599999999998</c:v>
                </c:pt>
                <c:pt idx="830">
                  <c:v>468.12</c:v>
                </c:pt>
                <c:pt idx="831">
                  <c:v>468.68400000000003</c:v>
                </c:pt>
                <c:pt idx="832">
                  <c:v>469.24799999999999</c:v>
                </c:pt>
                <c:pt idx="833">
                  <c:v>469.81200000000001</c:v>
                </c:pt>
                <c:pt idx="834">
                  <c:v>470.37599999999998</c:v>
                </c:pt>
                <c:pt idx="835">
                  <c:v>470.94</c:v>
                </c:pt>
                <c:pt idx="836">
                  <c:v>471.50400000000002</c:v>
                </c:pt>
                <c:pt idx="837">
                  <c:v>472.06799999999998</c:v>
                </c:pt>
                <c:pt idx="838">
                  <c:v>472.63200000000001</c:v>
                </c:pt>
                <c:pt idx="839">
                  <c:v>473.19600000000003</c:v>
                </c:pt>
                <c:pt idx="840">
                  <c:v>473.76</c:v>
                </c:pt>
                <c:pt idx="841">
                  <c:v>474.32400000000001</c:v>
                </c:pt>
                <c:pt idx="842">
                  <c:v>474.88799999999998</c:v>
                </c:pt>
                <c:pt idx="843">
                  <c:v>475.452</c:v>
                </c:pt>
                <c:pt idx="844">
                  <c:v>476.01600000000002</c:v>
                </c:pt>
                <c:pt idx="845">
                  <c:v>476.58</c:v>
                </c:pt>
                <c:pt idx="846">
                  <c:v>477.14400000000001</c:v>
                </c:pt>
                <c:pt idx="847">
                  <c:v>477.70800000000003</c:v>
                </c:pt>
                <c:pt idx="848">
                  <c:v>478.27199999999999</c:v>
                </c:pt>
                <c:pt idx="849">
                  <c:v>478.83600000000001</c:v>
                </c:pt>
                <c:pt idx="850">
                  <c:v>479.4</c:v>
                </c:pt>
                <c:pt idx="851">
                  <c:v>479.964</c:v>
                </c:pt>
                <c:pt idx="852">
                  <c:v>480.52800000000002</c:v>
                </c:pt>
                <c:pt idx="853">
                  <c:v>481.09199999999998</c:v>
                </c:pt>
                <c:pt idx="854">
                  <c:v>481.65600000000001</c:v>
                </c:pt>
                <c:pt idx="855">
                  <c:v>482.22</c:v>
                </c:pt>
                <c:pt idx="856">
                  <c:v>482.78399999999999</c:v>
                </c:pt>
                <c:pt idx="857">
                  <c:v>483.34800000000001</c:v>
                </c:pt>
                <c:pt idx="858">
                  <c:v>483.91199999999998</c:v>
                </c:pt>
                <c:pt idx="859">
                  <c:v>484.476</c:v>
                </c:pt>
                <c:pt idx="860">
                  <c:v>485.04</c:v>
                </c:pt>
                <c:pt idx="861">
                  <c:v>485.60399999999998</c:v>
                </c:pt>
                <c:pt idx="862">
                  <c:v>486.16800000000001</c:v>
                </c:pt>
                <c:pt idx="863">
                  <c:v>486.73200000000003</c:v>
                </c:pt>
                <c:pt idx="864">
                  <c:v>487.29599999999999</c:v>
                </c:pt>
                <c:pt idx="865">
                  <c:v>487.86</c:v>
                </c:pt>
                <c:pt idx="866">
                  <c:v>488.42399999999998</c:v>
                </c:pt>
                <c:pt idx="867">
                  <c:v>488.988</c:v>
                </c:pt>
                <c:pt idx="868">
                  <c:v>489.55200000000002</c:v>
                </c:pt>
                <c:pt idx="869">
                  <c:v>490.11599999999999</c:v>
                </c:pt>
                <c:pt idx="870">
                  <c:v>490.68</c:v>
                </c:pt>
                <c:pt idx="871">
                  <c:v>491.24400000000003</c:v>
                </c:pt>
                <c:pt idx="872">
                  <c:v>491.80799999999999</c:v>
                </c:pt>
                <c:pt idx="873">
                  <c:v>492.37200000000001</c:v>
                </c:pt>
                <c:pt idx="874">
                  <c:v>492.93599999999998</c:v>
                </c:pt>
                <c:pt idx="875">
                  <c:v>493.5</c:v>
                </c:pt>
                <c:pt idx="876">
                  <c:v>494.06400000000002</c:v>
                </c:pt>
                <c:pt idx="877">
                  <c:v>494.62799999999999</c:v>
                </c:pt>
                <c:pt idx="878">
                  <c:v>495.19200000000001</c:v>
                </c:pt>
                <c:pt idx="879">
                  <c:v>495.75599999999997</c:v>
                </c:pt>
                <c:pt idx="880">
                  <c:v>496.32</c:v>
                </c:pt>
                <c:pt idx="881">
                  <c:v>496.88400000000001</c:v>
                </c:pt>
                <c:pt idx="882">
                  <c:v>497.44799999999998</c:v>
                </c:pt>
                <c:pt idx="883">
                  <c:v>498.012</c:v>
                </c:pt>
                <c:pt idx="884">
                  <c:v>498.57600000000002</c:v>
                </c:pt>
                <c:pt idx="885">
                  <c:v>499.14</c:v>
                </c:pt>
                <c:pt idx="886">
                  <c:v>499.70400000000001</c:v>
                </c:pt>
                <c:pt idx="887">
                  <c:v>500.26799999999997</c:v>
                </c:pt>
                <c:pt idx="888">
                  <c:v>500.83199999999999</c:v>
                </c:pt>
                <c:pt idx="889">
                  <c:v>501.39600000000002</c:v>
                </c:pt>
                <c:pt idx="890">
                  <c:v>501.96</c:v>
                </c:pt>
                <c:pt idx="891">
                  <c:v>502.524</c:v>
                </c:pt>
                <c:pt idx="892">
                  <c:v>503.08800000000002</c:v>
                </c:pt>
                <c:pt idx="893">
                  <c:v>503.65199999999999</c:v>
                </c:pt>
                <c:pt idx="894">
                  <c:v>504.21600000000001</c:v>
                </c:pt>
                <c:pt idx="895">
                  <c:v>504.78</c:v>
                </c:pt>
                <c:pt idx="896">
                  <c:v>505.34399999999999</c:v>
                </c:pt>
                <c:pt idx="897">
                  <c:v>505.90800000000002</c:v>
                </c:pt>
                <c:pt idx="898">
                  <c:v>506.47199999999998</c:v>
                </c:pt>
                <c:pt idx="899">
                  <c:v>507.036</c:v>
                </c:pt>
                <c:pt idx="900">
                  <c:v>507.6</c:v>
                </c:pt>
                <c:pt idx="901">
                  <c:v>508.16399999999999</c:v>
                </c:pt>
                <c:pt idx="902">
                  <c:v>508.72800000000001</c:v>
                </c:pt>
                <c:pt idx="903">
                  <c:v>509.29199999999997</c:v>
                </c:pt>
                <c:pt idx="904">
                  <c:v>509.85599999999999</c:v>
                </c:pt>
                <c:pt idx="905">
                  <c:v>510.42</c:v>
                </c:pt>
                <c:pt idx="906">
                  <c:v>510.98399999999998</c:v>
                </c:pt>
                <c:pt idx="907">
                  <c:v>511.548</c:v>
                </c:pt>
                <c:pt idx="908">
                  <c:v>512.11199999999997</c:v>
                </c:pt>
                <c:pt idx="909">
                  <c:v>512.67600000000004</c:v>
                </c:pt>
                <c:pt idx="910">
                  <c:v>513.24</c:v>
                </c:pt>
                <c:pt idx="911">
                  <c:v>513.80399999999997</c:v>
                </c:pt>
                <c:pt idx="912">
                  <c:v>514.36800000000005</c:v>
                </c:pt>
                <c:pt idx="913">
                  <c:v>514.93200000000002</c:v>
                </c:pt>
                <c:pt idx="914">
                  <c:v>515.49599999999998</c:v>
                </c:pt>
                <c:pt idx="915">
                  <c:v>516.05999999999995</c:v>
                </c:pt>
                <c:pt idx="916">
                  <c:v>516.62400000000002</c:v>
                </c:pt>
                <c:pt idx="917">
                  <c:v>517.18799999999999</c:v>
                </c:pt>
                <c:pt idx="918">
                  <c:v>517.75199999999995</c:v>
                </c:pt>
                <c:pt idx="919">
                  <c:v>518.31600000000003</c:v>
                </c:pt>
                <c:pt idx="920">
                  <c:v>518.88</c:v>
                </c:pt>
                <c:pt idx="921">
                  <c:v>519.44399999999996</c:v>
                </c:pt>
                <c:pt idx="922">
                  <c:v>520.00800000000004</c:v>
                </c:pt>
                <c:pt idx="923">
                  <c:v>520.572</c:v>
                </c:pt>
                <c:pt idx="924">
                  <c:v>521.13599999999997</c:v>
                </c:pt>
                <c:pt idx="925">
                  <c:v>521.70000000000005</c:v>
                </c:pt>
                <c:pt idx="926">
                  <c:v>522.26400000000001</c:v>
                </c:pt>
                <c:pt idx="927">
                  <c:v>522.82799999999997</c:v>
                </c:pt>
                <c:pt idx="928">
                  <c:v>523.39200000000005</c:v>
                </c:pt>
                <c:pt idx="929">
                  <c:v>523.95600000000002</c:v>
                </c:pt>
                <c:pt idx="930">
                  <c:v>524.52</c:v>
                </c:pt>
                <c:pt idx="931">
                  <c:v>525.08399999999995</c:v>
                </c:pt>
                <c:pt idx="932">
                  <c:v>525.64800000000002</c:v>
                </c:pt>
                <c:pt idx="933">
                  <c:v>526.21199999999999</c:v>
                </c:pt>
                <c:pt idx="934">
                  <c:v>526.77599999999995</c:v>
                </c:pt>
                <c:pt idx="935">
                  <c:v>527.34</c:v>
                </c:pt>
                <c:pt idx="936">
                  <c:v>527.904</c:v>
                </c:pt>
                <c:pt idx="937">
                  <c:v>528.46799999999996</c:v>
                </c:pt>
                <c:pt idx="938">
                  <c:v>529.03200000000004</c:v>
                </c:pt>
                <c:pt idx="939">
                  <c:v>529.596</c:v>
                </c:pt>
                <c:pt idx="940">
                  <c:v>530.16</c:v>
                </c:pt>
                <c:pt idx="941">
                  <c:v>530.72400000000005</c:v>
                </c:pt>
                <c:pt idx="942">
                  <c:v>531.28800000000001</c:v>
                </c:pt>
                <c:pt idx="943">
                  <c:v>531.85199999999998</c:v>
                </c:pt>
                <c:pt idx="944">
                  <c:v>532.41600000000005</c:v>
                </c:pt>
                <c:pt idx="945">
                  <c:v>532.98</c:v>
                </c:pt>
                <c:pt idx="946">
                  <c:v>533.54399999999998</c:v>
                </c:pt>
                <c:pt idx="947">
                  <c:v>534.10799999999995</c:v>
                </c:pt>
              </c:numCache>
            </c:numRef>
          </c:cat>
          <c:val>
            <c:numRef>
              <c:f>'Part 3 Data'!$C$3:$C$950</c:f>
              <c:numCache>
                <c:formatCode>0.00</c:formatCode>
                <c:ptCount val="948"/>
                <c:pt idx="0">
                  <c:v>76.866399000000001</c:v>
                </c:pt>
                <c:pt idx="1">
                  <c:v>76.805527999999995</c:v>
                </c:pt>
                <c:pt idx="2">
                  <c:v>76.748378000000002</c:v>
                </c:pt>
                <c:pt idx="3">
                  <c:v>76.682903999999994</c:v>
                </c:pt>
                <c:pt idx="4">
                  <c:v>76.619370000000004</c:v>
                </c:pt>
                <c:pt idx="5">
                  <c:v>76.576246999999995</c:v>
                </c:pt>
                <c:pt idx="6">
                  <c:v>76.523529999999994</c:v>
                </c:pt>
                <c:pt idx="7">
                  <c:v>76.458326</c:v>
                </c:pt>
                <c:pt idx="8">
                  <c:v>76.409372000000005</c:v>
                </c:pt>
                <c:pt idx="9">
                  <c:v>76.344718</c:v>
                </c:pt>
                <c:pt idx="10">
                  <c:v>76.300595999999999</c:v>
                </c:pt>
                <c:pt idx="11">
                  <c:v>76.242598000000001</c:v>
                </c:pt>
                <c:pt idx="12">
                  <c:v>76.187095999999997</c:v>
                </c:pt>
                <c:pt idx="13">
                  <c:v>76.145072999999996</c:v>
                </c:pt>
                <c:pt idx="14">
                  <c:v>76.082907000000006</c:v>
                </c:pt>
                <c:pt idx="15">
                  <c:v>76.039612000000005</c:v>
                </c:pt>
                <c:pt idx="16">
                  <c:v>75.998535000000004</c:v>
                </c:pt>
                <c:pt idx="17">
                  <c:v>75.941637999999998</c:v>
                </c:pt>
                <c:pt idx="18">
                  <c:v>75.911383999999998</c:v>
                </c:pt>
                <c:pt idx="19">
                  <c:v>75.875183000000007</c:v>
                </c:pt>
                <c:pt idx="20">
                  <c:v>75.821889999999996</c:v>
                </c:pt>
                <c:pt idx="21">
                  <c:v>75.785965000000004</c:v>
                </c:pt>
                <c:pt idx="22">
                  <c:v>75.756818999999993</c:v>
                </c:pt>
                <c:pt idx="23">
                  <c:v>75.705188000000007</c:v>
                </c:pt>
                <c:pt idx="24">
                  <c:v>75.664659</c:v>
                </c:pt>
                <c:pt idx="25">
                  <c:v>75.624684999999999</c:v>
                </c:pt>
                <c:pt idx="26">
                  <c:v>75.587485000000001</c:v>
                </c:pt>
                <c:pt idx="27">
                  <c:v>75.544060000000002</c:v>
                </c:pt>
                <c:pt idx="28">
                  <c:v>75.504360000000005</c:v>
                </c:pt>
                <c:pt idx="29">
                  <c:v>75.472432999999995</c:v>
                </c:pt>
                <c:pt idx="30">
                  <c:v>75.435507999999999</c:v>
                </c:pt>
                <c:pt idx="31">
                  <c:v>75.394695999999996</c:v>
                </c:pt>
                <c:pt idx="32">
                  <c:v>75.364036999999996</c:v>
                </c:pt>
                <c:pt idx="33">
                  <c:v>75.330163999999996</c:v>
                </c:pt>
                <c:pt idx="34">
                  <c:v>75.298788999999999</c:v>
                </c:pt>
                <c:pt idx="35">
                  <c:v>75.268406999999996</c:v>
                </c:pt>
                <c:pt idx="36">
                  <c:v>75.237864000000002</c:v>
                </c:pt>
                <c:pt idx="37">
                  <c:v>75.212040999999999</c:v>
                </c:pt>
                <c:pt idx="38">
                  <c:v>75.187327999999994</c:v>
                </c:pt>
                <c:pt idx="39">
                  <c:v>75.151786000000001</c:v>
                </c:pt>
                <c:pt idx="40">
                  <c:v>75.122073999999998</c:v>
                </c:pt>
                <c:pt idx="41">
                  <c:v>75.097797999999997</c:v>
                </c:pt>
                <c:pt idx="42">
                  <c:v>75.071139000000002</c:v>
                </c:pt>
                <c:pt idx="43">
                  <c:v>75.046980000000005</c:v>
                </c:pt>
                <c:pt idx="44">
                  <c:v>75.017426</c:v>
                </c:pt>
                <c:pt idx="45">
                  <c:v>74.990212</c:v>
                </c:pt>
                <c:pt idx="46">
                  <c:v>74.968828000000002</c:v>
                </c:pt>
                <c:pt idx="47">
                  <c:v>74.937168999999997</c:v>
                </c:pt>
                <c:pt idx="48">
                  <c:v>74.908446999999995</c:v>
                </c:pt>
                <c:pt idx="49">
                  <c:v>74.878731000000002</c:v>
                </c:pt>
                <c:pt idx="50">
                  <c:v>74.850680999999994</c:v>
                </c:pt>
                <c:pt idx="51">
                  <c:v>74.826239999999999</c:v>
                </c:pt>
                <c:pt idx="52">
                  <c:v>74.795689999999993</c:v>
                </c:pt>
                <c:pt idx="53">
                  <c:v>74.764027999999996</c:v>
                </c:pt>
                <c:pt idx="54">
                  <c:v>74.738635000000002</c:v>
                </c:pt>
                <c:pt idx="55">
                  <c:v>74.711139000000003</c:v>
                </c:pt>
                <c:pt idx="56">
                  <c:v>74.691417999999999</c:v>
                </c:pt>
                <c:pt idx="57">
                  <c:v>74.656304000000006</c:v>
                </c:pt>
                <c:pt idx="58">
                  <c:v>74.630866999999995</c:v>
                </c:pt>
                <c:pt idx="59">
                  <c:v>74.600751000000002</c:v>
                </c:pt>
                <c:pt idx="60">
                  <c:v>74.575751999999994</c:v>
                </c:pt>
                <c:pt idx="61">
                  <c:v>74.532419000000004</c:v>
                </c:pt>
                <c:pt idx="62">
                  <c:v>74.521029999999996</c:v>
                </c:pt>
                <c:pt idx="63">
                  <c:v>74.497856999999996</c:v>
                </c:pt>
                <c:pt idx="64">
                  <c:v>74.467855999999998</c:v>
                </c:pt>
                <c:pt idx="65">
                  <c:v>74.435077000000007</c:v>
                </c:pt>
                <c:pt idx="66">
                  <c:v>74.402018999999996</c:v>
                </c:pt>
                <c:pt idx="67">
                  <c:v>74.37285</c:v>
                </c:pt>
                <c:pt idx="68">
                  <c:v>74.339512999999997</c:v>
                </c:pt>
                <c:pt idx="69">
                  <c:v>74.315899000000002</c:v>
                </c:pt>
                <c:pt idx="70">
                  <c:v>74.289507</c:v>
                </c:pt>
                <c:pt idx="71">
                  <c:v>74.263947000000002</c:v>
                </c:pt>
                <c:pt idx="72">
                  <c:v>74.241048000000006</c:v>
                </c:pt>
                <c:pt idx="73">
                  <c:v>74.216876999999997</c:v>
                </c:pt>
                <c:pt idx="74">
                  <c:v>74.191478000000004</c:v>
                </c:pt>
                <c:pt idx="75">
                  <c:v>74.161589000000006</c:v>
                </c:pt>
                <c:pt idx="76">
                  <c:v>74.134360000000001</c:v>
                </c:pt>
                <c:pt idx="77">
                  <c:v>74.111181999999999</c:v>
                </c:pt>
                <c:pt idx="78">
                  <c:v>74.074228000000005</c:v>
                </c:pt>
                <c:pt idx="79">
                  <c:v>74.052833000000007</c:v>
                </c:pt>
                <c:pt idx="80">
                  <c:v>74.022268999999994</c:v>
                </c:pt>
                <c:pt idx="81">
                  <c:v>73.988647999999998</c:v>
                </c:pt>
                <c:pt idx="82">
                  <c:v>73.977255</c:v>
                </c:pt>
                <c:pt idx="83">
                  <c:v>73.940297999999999</c:v>
                </c:pt>
                <c:pt idx="84">
                  <c:v>73.916400999999993</c:v>
                </c:pt>
                <c:pt idx="85">
                  <c:v>73.884327999999996</c:v>
                </c:pt>
                <c:pt idx="86">
                  <c:v>73.864875999999995</c:v>
                </c:pt>
                <c:pt idx="87">
                  <c:v>73.837920999999994</c:v>
                </c:pt>
                <c:pt idx="88">
                  <c:v>73.805684999999997</c:v>
                </c:pt>
                <c:pt idx="89">
                  <c:v>73.782342</c:v>
                </c:pt>
                <c:pt idx="90">
                  <c:v>73.751216999999997</c:v>
                </c:pt>
                <c:pt idx="91">
                  <c:v>73.724537999999995</c:v>
                </c:pt>
                <c:pt idx="92">
                  <c:v>73.701353999999995</c:v>
                </c:pt>
                <c:pt idx="93">
                  <c:v>73.673006999999998</c:v>
                </c:pt>
                <c:pt idx="94">
                  <c:v>73.639100999999997</c:v>
                </c:pt>
                <c:pt idx="95">
                  <c:v>73.614920999999995</c:v>
                </c:pt>
                <c:pt idx="96">
                  <c:v>73.583633000000006</c:v>
                </c:pt>
                <c:pt idx="97">
                  <c:v>73.556833999999995</c:v>
                </c:pt>
                <c:pt idx="98">
                  <c:v>73.530429999999996</c:v>
                </c:pt>
                <c:pt idx="99">
                  <c:v>73.499855999999994</c:v>
                </c:pt>
                <c:pt idx="100">
                  <c:v>73.476113999999995</c:v>
                </c:pt>
                <c:pt idx="101">
                  <c:v>73.448318999999998</c:v>
                </c:pt>
                <c:pt idx="102">
                  <c:v>73.414686000000003</c:v>
                </c:pt>
                <c:pt idx="103">
                  <c:v>73.393839</c:v>
                </c:pt>
                <c:pt idx="104">
                  <c:v>73.367710000000002</c:v>
                </c:pt>
                <c:pt idx="105">
                  <c:v>73.346585000000005</c:v>
                </c:pt>
                <c:pt idx="106">
                  <c:v>73.311282000000006</c:v>
                </c:pt>
                <c:pt idx="107">
                  <c:v>73.285034999999993</c:v>
                </c:pt>
                <c:pt idx="108">
                  <c:v>73.256403000000006</c:v>
                </c:pt>
                <c:pt idx="109">
                  <c:v>73.224712999999994</c:v>
                </c:pt>
                <c:pt idx="110">
                  <c:v>73.187184000000002</c:v>
                </c:pt>
                <c:pt idx="111">
                  <c:v>73.169113999999993</c:v>
                </c:pt>
                <c:pt idx="112">
                  <c:v>73.139089999999996</c:v>
                </c:pt>
                <c:pt idx="113">
                  <c:v>73.111845000000002</c:v>
                </c:pt>
                <c:pt idx="114">
                  <c:v>73.078089000000006</c:v>
                </c:pt>
                <c:pt idx="115">
                  <c:v>73.055570000000003</c:v>
                </c:pt>
                <c:pt idx="116">
                  <c:v>73.029436000000004</c:v>
                </c:pt>
                <c:pt idx="117">
                  <c:v>73.005247999999995</c:v>
                </c:pt>
                <c:pt idx="118">
                  <c:v>72.974386999999993</c:v>
                </c:pt>
                <c:pt idx="119">
                  <c:v>72.949364000000003</c:v>
                </c:pt>
                <c:pt idx="120">
                  <c:v>72.924897000000001</c:v>
                </c:pt>
                <c:pt idx="121">
                  <c:v>72.906824999999998</c:v>
                </c:pt>
                <c:pt idx="122">
                  <c:v>72.879576</c:v>
                </c:pt>
                <c:pt idx="123">
                  <c:v>72.858445000000003</c:v>
                </c:pt>
                <c:pt idx="124">
                  <c:v>72.824961999999999</c:v>
                </c:pt>
                <c:pt idx="125">
                  <c:v>72.796322000000004</c:v>
                </c:pt>
                <c:pt idx="126">
                  <c:v>72.777135000000001</c:v>
                </c:pt>
                <c:pt idx="127">
                  <c:v>72.750719000000004</c:v>
                </c:pt>
                <c:pt idx="128">
                  <c:v>72.72363</c:v>
                </c:pt>
                <c:pt idx="129">
                  <c:v>72.698998000000003</c:v>
                </c:pt>
                <c:pt idx="130">
                  <c:v>72.675362000000007</c:v>
                </c:pt>
                <c:pt idx="131">
                  <c:v>72.653554</c:v>
                </c:pt>
                <c:pt idx="132">
                  <c:v>72.625746000000007</c:v>
                </c:pt>
                <c:pt idx="133">
                  <c:v>72.598493000000005</c:v>
                </c:pt>
                <c:pt idx="134">
                  <c:v>72.579026999999996</c:v>
                </c:pt>
                <c:pt idx="135">
                  <c:v>72.556223000000003</c:v>
                </c:pt>
                <c:pt idx="136">
                  <c:v>72.527299999999997</c:v>
                </c:pt>
                <c:pt idx="137">
                  <c:v>72.495874999999998</c:v>
                </c:pt>
                <c:pt idx="138">
                  <c:v>72.483799000000005</c:v>
                </c:pt>
                <c:pt idx="139">
                  <c:v>72.452094000000002</c:v>
                </c:pt>
                <c:pt idx="140">
                  <c:v>72.424398999999994</c:v>
                </c:pt>
                <c:pt idx="141">
                  <c:v>72.397304000000005</c:v>
                </c:pt>
                <c:pt idx="142">
                  <c:v>72.369213999999999</c:v>
                </c:pt>
                <c:pt idx="143">
                  <c:v>72.339454000000003</c:v>
                </c:pt>
                <c:pt idx="144">
                  <c:v>72.320262</c:v>
                </c:pt>
                <c:pt idx="145">
                  <c:v>72.287998000000002</c:v>
                </c:pt>
                <c:pt idx="146">
                  <c:v>72.254064</c:v>
                </c:pt>
                <c:pt idx="147">
                  <c:v>72.241152999999997</c:v>
                </c:pt>
                <c:pt idx="148">
                  <c:v>72.204274999999996</c:v>
                </c:pt>
                <c:pt idx="149">
                  <c:v>72.185638999999995</c:v>
                </c:pt>
                <c:pt idx="150">
                  <c:v>72.156154000000001</c:v>
                </c:pt>
                <c:pt idx="151">
                  <c:v>72.130005999999995</c:v>
                </c:pt>
                <c:pt idx="152">
                  <c:v>72.098573000000002</c:v>
                </c:pt>
                <c:pt idx="153">
                  <c:v>72.070476999999997</c:v>
                </c:pt>
                <c:pt idx="154">
                  <c:v>72.045879999999997</c:v>
                </c:pt>
                <c:pt idx="155">
                  <c:v>72.025572999999994</c:v>
                </c:pt>
                <c:pt idx="156">
                  <c:v>71.996363000000002</c:v>
                </c:pt>
                <c:pt idx="157">
                  <c:v>71.976889999999997</c:v>
                </c:pt>
                <c:pt idx="158">
                  <c:v>71.957415999999995</c:v>
                </c:pt>
                <c:pt idx="159">
                  <c:v>71.925145000000001</c:v>
                </c:pt>
                <c:pt idx="160">
                  <c:v>71.902054000000007</c:v>
                </c:pt>
                <c:pt idx="161">
                  <c:v>71.879519000000002</c:v>
                </c:pt>
                <c:pt idx="162">
                  <c:v>71.846412000000001</c:v>
                </c:pt>
                <c:pt idx="163">
                  <c:v>71.829162999999994</c:v>
                </c:pt>
                <c:pt idx="164">
                  <c:v>71.801619000000002</c:v>
                </c:pt>
                <c:pt idx="165">
                  <c:v>71.774630999999999</c:v>
                </c:pt>
                <c:pt idx="166">
                  <c:v>71.753485999999995</c:v>
                </c:pt>
                <c:pt idx="167">
                  <c:v>71.726496999999995</c:v>
                </c:pt>
                <c:pt idx="168">
                  <c:v>71.700503999999995</c:v>
                </c:pt>
                <c:pt idx="169">
                  <c:v>71.684922999999998</c:v>
                </c:pt>
                <c:pt idx="170">
                  <c:v>71.654315999999994</c:v>
                </c:pt>
                <c:pt idx="171">
                  <c:v>71.626768999999996</c:v>
                </c:pt>
                <c:pt idx="172">
                  <c:v>71.609796000000003</c:v>
                </c:pt>
                <c:pt idx="173">
                  <c:v>71.579188000000002</c:v>
                </c:pt>
                <c:pt idx="174">
                  <c:v>71.557923000000002</c:v>
                </c:pt>
                <c:pt idx="175">
                  <c:v>71.533274000000006</c:v>
                </c:pt>
                <c:pt idx="176">
                  <c:v>71.500159999999994</c:v>
                </c:pt>
                <c:pt idx="177">
                  <c:v>71.481678000000002</c:v>
                </c:pt>
                <c:pt idx="178">
                  <c:v>71.457746</c:v>
                </c:pt>
                <c:pt idx="179">
                  <c:v>71.433813999999998</c:v>
                </c:pt>
                <c:pt idx="180">
                  <c:v>71.406542000000002</c:v>
                </c:pt>
                <c:pt idx="181">
                  <c:v>71.378156000000004</c:v>
                </c:pt>
                <c:pt idx="182">
                  <c:v>71.356448999999998</c:v>
                </c:pt>
                <c:pt idx="183">
                  <c:v>71.327783999999994</c:v>
                </c:pt>
                <c:pt idx="184">
                  <c:v>71.297888999999998</c:v>
                </c:pt>
                <c:pt idx="185">
                  <c:v>71.277850999999998</c:v>
                </c:pt>
                <c:pt idx="186">
                  <c:v>71.249184999999997</c:v>
                </c:pt>
                <c:pt idx="187">
                  <c:v>71.226202000000001</c:v>
                </c:pt>
                <c:pt idx="188">
                  <c:v>71.202427999999998</c:v>
                </c:pt>
                <c:pt idx="189">
                  <c:v>71.169028999999995</c:v>
                </c:pt>
                <c:pt idx="190">
                  <c:v>71.148871999999997</c:v>
                </c:pt>
                <c:pt idx="191">
                  <c:v>71.122988000000007</c:v>
                </c:pt>
                <c:pt idx="192">
                  <c:v>71.088194999999999</c:v>
                </c:pt>
                <c:pt idx="193">
                  <c:v>71.072213000000005</c:v>
                </c:pt>
                <c:pt idx="194">
                  <c:v>71.046722000000003</c:v>
                </c:pt>
                <c:pt idx="195">
                  <c:v>71.021670999999998</c:v>
                </c:pt>
                <c:pt idx="196">
                  <c:v>70.990217000000001</c:v>
                </c:pt>
                <c:pt idx="197">
                  <c:v>70.965047999999996</c:v>
                </c:pt>
                <c:pt idx="198">
                  <c:v>70.939437999999996</c:v>
                </c:pt>
                <c:pt idx="199">
                  <c:v>70.909931</c:v>
                </c:pt>
                <c:pt idx="200">
                  <c:v>70.886548000000005</c:v>
                </c:pt>
                <c:pt idx="201">
                  <c:v>70.852586000000002</c:v>
                </c:pt>
                <c:pt idx="202">
                  <c:v>70.836996999999997</c:v>
                </c:pt>
                <c:pt idx="203">
                  <c:v>70.809042000000005</c:v>
                </c:pt>
                <c:pt idx="204">
                  <c:v>70.776470000000003</c:v>
                </c:pt>
                <c:pt idx="205">
                  <c:v>70.754756</c:v>
                </c:pt>
                <c:pt idx="206">
                  <c:v>70.729699999999994</c:v>
                </c:pt>
                <c:pt idx="207">
                  <c:v>70.709933000000007</c:v>
                </c:pt>
                <c:pt idx="208">
                  <c:v>70.683762999999999</c:v>
                </c:pt>
                <c:pt idx="209">
                  <c:v>70.658148999999995</c:v>
                </c:pt>
                <c:pt idx="210">
                  <c:v>70.635760000000005</c:v>
                </c:pt>
                <c:pt idx="211">
                  <c:v>70.605690999999993</c:v>
                </c:pt>
                <c:pt idx="212">
                  <c:v>70.578405000000004</c:v>
                </c:pt>
                <c:pt idx="213">
                  <c:v>70.554181999999997</c:v>
                </c:pt>
                <c:pt idx="214">
                  <c:v>70.530514999999994</c:v>
                </c:pt>
                <c:pt idx="215">
                  <c:v>70.499609000000007</c:v>
                </c:pt>
                <c:pt idx="216">
                  <c:v>70.474710999999999</c:v>
                </c:pt>
                <c:pt idx="217">
                  <c:v>70.449651000000003</c:v>
                </c:pt>
                <c:pt idx="218">
                  <c:v>70.422084999999996</c:v>
                </c:pt>
                <c:pt idx="219">
                  <c:v>70.396189000000007</c:v>
                </c:pt>
                <c:pt idx="220">
                  <c:v>70.363887000000005</c:v>
                </c:pt>
                <c:pt idx="221">
                  <c:v>70.338547000000005</c:v>
                </c:pt>
                <c:pt idx="222">
                  <c:v>70.326572999999996</c:v>
                </c:pt>
                <c:pt idx="223">
                  <c:v>70.298888000000005</c:v>
                </c:pt>
                <c:pt idx="224">
                  <c:v>70.280508999999995</c:v>
                </c:pt>
                <c:pt idx="225">
                  <c:v>70.244585000000001</c:v>
                </c:pt>
                <c:pt idx="226">
                  <c:v>70.222307000000001</c:v>
                </c:pt>
                <c:pt idx="227">
                  <c:v>70.191672999999994</c:v>
                </c:pt>
                <c:pt idx="228">
                  <c:v>70.163267000000005</c:v>
                </c:pt>
                <c:pt idx="229">
                  <c:v>70.140709000000001</c:v>
                </c:pt>
                <c:pt idx="230">
                  <c:v>70.113973000000001</c:v>
                </c:pt>
                <c:pt idx="231">
                  <c:v>70.090462000000002</c:v>
                </c:pt>
                <c:pt idx="232">
                  <c:v>70.062331999999998</c:v>
                </c:pt>
                <c:pt idx="233">
                  <c:v>70.044786000000002</c:v>
                </c:pt>
                <c:pt idx="234">
                  <c:v>70.012756999999993</c:v>
                </c:pt>
                <c:pt idx="235">
                  <c:v>69.984904</c:v>
                </c:pt>
                <c:pt idx="236">
                  <c:v>69.957609000000005</c:v>
                </c:pt>
                <c:pt idx="237">
                  <c:v>69.942729999999997</c:v>
                </c:pt>
                <c:pt idx="238">
                  <c:v>69.919889999999995</c:v>
                </c:pt>
                <c:pt idx="239">
                  <c:v>69.892594000000003</c:v>
                </c:pt>
                <c:pt idx="240">
                  <c:v>69.862233000000003</c:v>
                </c:pt>
                <c:pt idx="241">
                  <c:v>69.832984999999994</c:v>
                </c:pt>
                <c:pt idx="242">
                  <c:v>69.808076999999997</c:v>
                </c:pt>
                <c:pt idx="243">
                  <c:v>69.786906999999999</c:v>
                </c:pt>
                <c:pt idx="244">
                  <c:v>69.766851000000003</c:v>
                </c:pt>
                <c:pt idx="245">
                  <c:v>69.745123000000007</c:v>
                </c:pt>
                <c:pt idx="246">
                  <c:v>69.709070999999994</c:v>
                </c:pt>
                <c:pt idx="247">
                  <c:v>69.681330000000003</c:v>
                </c:pt>
                <c:pt idx="248">
                  <c:v>69.663663999999997</c:v>
                </c:pt>
                <c:pt idx="249">
                  <c:v>69.638197000000005</c:v>
                </c:pt>
                <c:pt idx="250">
                  <c:v>69.615746999999999</c:v>
                </c:pt>
                <c:pt idx="251">
                  <c:v>69.587052999999997</c:v>
                </c:pt>
                <c:pt idx="252">
                  <c:v>69.563372000000001</c:v>
                </c:pt>
                <c:pt idx="253">
                  <c:v>69.542640000000006</c:v>
                </c:pt>
                <c:pt idx="254">
                  <c:v>69.517566000000002</c:v>
                </c:pt>
                <c:pt idx="255">
                  <c:v>69.487755000000007</c:v>
                </c:pt>
                <c:pt idx="256">
                  <c:v>69.466581000000005</c:v>
                </c:pt>
                <c:pt idx="257">
                  <c:v>69.43526</c:v>
                </c:pt>
                <c:pt idx="258">
                  <c:v>69.405563000000001</c:v>
                </c:pt>
                <c:pt idx="259">
                  <c:v>69.395416999999995</c:v>
                </c:pt>
                <c:pt idx="260">
                  <c:v>69.356014000000002</c:v>
                </c:pt>
                <c:pt idx="261">
                  <c:v>69.342917999999997</c:v>
                </c:pt>
                <c:pt idx="262">
                  <c:v>69.308645999999996</c:v>
                </c:pt>
                <c:pt idx="263">
                  <c:v>69.299055999999993</c:v>
                </c:pt>
                <c:pt idx="264">
                  <c:v>69.266013999999998</c:v>
                </c:pt>
                <c:pt idx="265">
                  <c:v>69.245394000000005</c:v>
                </c:pt>
                <c:pt idx="266">
                  <c:v>69.213628</c:v>
                </c:pt>
                <c:pt idx="267">
                  <c:v>69.184531000000007</c:v>
                </c:pt>
                <c:pt idx="268">
                  <c:v>69.161959999999993</c:v>
                </c:pt>
                <c:pt idx="269">
                  <c:v>69.142173999999997</c:v>
                </c:pt>
                <c:pt idx="270">
                  <c:v>69.117536000000001</c:v>
                </c:pt>
                <c:pt idx="271">
                  <c:v>69.097192000000007</c:v>
                </c:pt>
                <c:pt idx="272">
                  <c:v>69.069603000000001</c:v>
                </c:pt>
                <c:pt idx="273">
                  <c:v>69.038391000000004</c:v>
                </c:pt>
                <c:pt idx="274">
                  <c:v>69.019718999999995</c:v>
                </c:pt>
                <c:pt idx="275">
                  <c:v>68.990618999999995</c:v>
                </c:pt>
                <c:pt idx="276">
                  <c:v>68.961913999999993</c:v>
                </c:pt>
                <c:pt idx="277">
                  <c:v>68.948141000000007</c:v>
                </c:pt>
                <c:pt idx="278">
                  <c:v>68.921943999999996</c:v>
                </c:pt>
                <c:pt idx="279">
                  <c:v>68.898532000000003</c:v>
                </c:pt>
                <c:pt idx="280">
                  <c:v>68.867594999999994</c:v>
                </c:pt>
                <c:pt idx="281">
                  <c:v>68.842951999999997</c:v>
                </c:pt>
                <c:pt idx="282">
                  <c:v>68.829015999999996</c:v>
                </c:pt>
                <c:pt idx="283">
                  <c:v>68.796126999999998</c:v>
                </c:pt>
                <c:pt idx="284">
                  <c:v>68.772713999999993</c:v>
                </c:pt>
                <c:pt idx="285">
                  <c:v>68.748463999999998</c:v>
                </c:pt>
                <c:pt idx="286">
                  <c:v>68.723377999999997</c:v>
                </c:pt>
                <c:pt idx="287">
                  <c:v>68.691322999999997</c:v>
                </c:pt>
                <c:pt idx="288">
                  <c:v>68.677826999999994</c:v>
                </c:pt>
                <c:pt idx="289">
                  <c:v>68.645608999999993</c:v>
                </c:pt>
                <c:pt idx="290">
                  <c:v>68.628489000000002</c:v>
                </c:pt>
                <c:pt idx="291">
                  <c:v>68.593086999999997</c:v>
                </c:pt>
                <c:pt idx="292">
                  <c:v>68.577196999999998</c:v>
                </c:pt>
                <c:pt idx="293">
                  <c:v>68.553944000000001</c:v>
                </c:pt>
                <c:pt idx="294">
                  <c:v>68.531920999999997</c:v>
                </c:pt>
                <c:pt idx="295">
                  <c:v>68.508619999999993</c:v>
                </c:pt>
                <c:pt idx="296">
                  <c:v>68.480348000000006</c:v>
                </c:pt>
                <c:pt idx="297">
                  <c:v>68.461112</c:v>
                </c:pt>
                <c:pt idx="298">
                  <c:v>68.439807999999999</c:v>
                </c:pt>
                <c:pt idx="299">
                  <c:v>68.411372</c:v>
                </c:pt>
                <c:pt idx="300">
                  <c:v>68.386002000000005</c:v>
                </c:pt>
                <c:pt idx="301">
                  <c:v>68.360910000000004</c:v>
                </c:pt>
                <c:pt idx="302">
                  <c:v>68.329404999999994</c:v>
                </c:pt>
                <c:pt idx="303">
                  <c:v>68.318973999999997</c:v>
                </c:pt>
                <c:pt idx="304">
                  <c:v>68.286748000000003</c:v>
                </c:pt>
                <c:pt idx="305">
                  <c:v>68.272970000000001</c:v>
                </c:pt>
                <c:pt idx="306">
                  <c:v>68.241742000000002</c:v>
                </c:pt>
                <c:pt idx="307">
                  <c:v>68.222109000000003</c:v>
                </c:pt>
                <c:pt idx="308">
                  <c:v>68.200477000000006</c:v>
                </c:pt>
                <c:pt idx="309">
                  <c:v>68.176382000000004</c:v>
                </c:pt>
                <c:pt idx="310">
                  <c:v>68.156306000000001</c:v>
                </c:pt>
                <c:pt idx="311">
                  <c:v>68.121172000000001</c:v>
                </c:pt>
                <c:pt idx="312">
                  <c:v>68.100817000000006</c:v>
                </c:pt>
                <c:pt idx="313">
                  <c:v>68.084528000000006</c:v>
                </c:pt>
                <c:pt idx="314">
                  <c:v>68.052459999999996</c:v>
                </c:pt>
                <c:pt idx="315">
                  <c:v>68.030430999999993</c:v>
                </c:pt>
                <c:pt idx="316">
                  <c:v>68.005891000000005</c:v>
                </c:pt>
                <c:pt idx="317">
                  <c:v>67.983861000000005</c:v>
                </c:pt>
                <c:pt idx="318">
                  <c:v>67.960320999999993</c:v>
                </c:pt>
                <c:pt idx="319">
                  <c:v>67.936616999999998</c:v>
                </c:pt>
                <c:pt idx="320">
                  <c:v>67.902315000000002</c:v>
                </c:pt>
                <c:pt idx="321">
                  <c:v>67.883071999999999</c:v>
                </c:pt>
                <c:pt idx="322">
                  <c:v>67.854231999999996</c:v>
                </c:pt>
                <c:pt idx="323">
                  <c:v>67.831362999999996</c:v>
                </c:pt>
                <c:pt idx="324">
                  <c:v>67.818813000000006</c:v>
                </c:pt>
                <c:pt idx="325">
                  <c:v>67.776978</c:v>
                </c:pt>
                <c:pt idx="326">
                  <c:v>67.759964999999994</c:v>
                </c:pt>
                <c:pt idx="327">
                  <c:v>67.727891</c:v>
                </c:pt>
                <c:pt idx="328">
                  <c:v>67.714224999999999</c:v>
                </c:pt>
                <c:pt idx="329">
                  <c:v>67.687332999999995</c:v>
                </c:pt>
                <c:pt idx="330">
                  <c:v>67.660836000000003</c:v>
                </c:pt>
                <c:pt idx="331">
                  <c:v>67.633223000000001</c:v>
                </c:pt>
                <c:pt idx="332">
                  <c:v>67.612860999999995</c:v>
                </c:pt>
                <c:pt idx="333">
                  <c:v>67.601031000000006</c:v>
                </c:pt>
                <c:pt idx="334">
                  <c:v>67.571464000000006</c:v>
                </c:pt>
                <c:pt idx="335">
                  <c:v>67.544965000000005</c:v>
                </c:pt>
                <c:pt idx="336">
                  <c:v>67.525439000000006</c:v>
                </c:pt>
                <c:pt idx="337">
                  <c:v>67.503681</c:v>
                </c:pt>
                <c:pt idx="338">
                  <c:v>67.479297000000003</c:v>
                </c:pt>
                <c:pt idx="339">
                  <c:v>67.460329000000002</c:v>
                </c:pt>
                <c:pt idx="340">
                  <c:v>67.434106999999997</c:v>
                </c:pt>
                <c:pt idx="341">
                  <c:v>67.406490000000005</c:v>
                </c:pt>
                <c:pt idx="342">
                  <c:v>67.381825000000006</c:v>
                </c:pt>
                <c:pt idx="343">
                  <c:v>67.366760999999997</c:v>
                </c:pt>
                <c:pt idx="344">
                  <c:v>67.341094999999996</c:v>
                </c:pt>
                <c:pt idx="345">
                  <c:v>67.317661000000001</c:v>
                </c:pt>
                <c:pt idx="346">
                  <c:v>67.295063999999996</c:v>
                </c:pt>
                <c:pt idx="347">
                  <c:v>67.262144000000006</c:v>
                </c:pt>
                <c:pt idx="348">
                  <c:v>67.237476999999998</c:v>
                </c:pt>
                <c:pt idx="349">
                  <c:v>67.212483000000006</c:v>
                </c:pt>
                <c:pt idx="350">
                  <c:v>67.191278999999994</c:v>
                </c:pt>
                <c:pt idx="351">
                  <c:v>67.167727999999997</c:v>
                </c:pt>
                <c:pt idx="352">
                  <c:v>67.136758</c:v>
                </c:pt>
                <c:pt idx="353">
                  <c:v>67.130340000000004</c:v>
                </c:pt>
                <c:pt idx="354">
                  <c:v>67.089045999999996</c:v>
                </c:pt>
                <c:pt idx="355">
                  <c:v>67.068562999999997</c:v>
                </c:pt>
                <c:pt idx="356">
                  <c:v>67.044286999999997</c:v>
                </c:pt>
                <c:pt idx="357">
                  <c:v>67.026150999999999</c:v>
                </c:pt>
                <c:pt idx="358">
                  <c:v>66.999364</c:v>
                </c:pt>
                <c:pt idx="359">
                  <c:v>66.965599999999995</c:v>
                </c:pt>
                <c:pt idx="360">
                  <c:v>66.947346999999993</c:v>
                </c:pt>
                <c:pt idx="361">
                  <c:v>66.930605</c:v>
                </c:pt>
                <c:pt idx="362">
                  <c:v>66.900745999999998</c:v>
                </c:pt>
                <c:pt idx="363">
                  <c:v>66.872726</c:v>
                </c:pt>
                <c:pt idx="364">
                  <c:v>66.857493000000005</c:v>
                </c:pt>
                <c:pt idx="365">
                  <c:v>66.83896</c:v>
                </c:pt>
                <c:pt idx="366">
                  <c:v>66.812005999999997</c:v>
                </c:pt>
                <c:pt idx="367">
                  <c:v>66.790960999999996</c:v>
                </c:pt>
                <c:pt idx="368">
                  <c:v>66.756635000000003</c:v>
                </c:pt>
                <c:pt idx="369">
                  <c:v>66.736541000000003</c:v>
                </c:pt>
                <c:pt idx="370">
                  <c:v>66.717726999999996</c:v>
                </c:pt>
                <c:pt idx="371">
                  <c:v>66.694841999999994</c:v>
                </c:pt>
                <c:pt idx="372">
                  <c:v>66.678933999999998</c:v>
                </c:pt>
                <c:pt idx="373">
                  <c:v>66.639860999999996</c:v>
                </c:pt>
                <c:pt idx="374">
                  <c:v>66.624790000000004</c:v>
                </c:pt>
                <c:pt idx="375">
                  <c:v>66.603742999999994</c:v>
                </c:pt>
                <c:pt idx="376">
                  <c:v>66.584320000000005</c:v>
                </c:pt>
                <c:pt idx="377">
                  <c:v>66.562714</c:v>
                </c:pt>
                <c:pt idx="378">
                  <c:v>66.534244999999999</c:v>
                </c:pt>
                <c:pt idx="379">
                  <c:v>66.507170000000002</c:v>
                </c:pt>
                <c:pt idx="380">
                  <c:v>66.483165999999997</c:v>
                </c:pt>
                <c:pt idx="381">
                  <c:v>66.464907999999994</c:v>
                </c:pt>
                <c:pt idx="382">
                  <c:v>66.442297999999994</c:v>
                </c:pt>
                <c:pt idx="383">
                  <c:v>66.417455000000004</c:v>
                </c:pt>
                <c:pt idx="384">
                  <c:v>66.406011000000007</c:v>
                </c:pt>
                <c:pt idx="385">
                  <c:v>66.371281999999994</c:v>
                </c:pt>
                <c:pt idx="386">
                  <c:v>66.346439000000004</c:v>
                </c:pt>
                <c:pt idx="387">
                  <c:v>66.331085000000002</c:v>
                </c:pt>
                <c:pt idx="388">
                  <c:v>66.305124000000006</c:v>
                </c:pt>
                <c:pt idx="389">
                  <c:v>66.284188</c:v>
                </c:pt>
                <c:pt idx="390">
                  <c:v>66.259062999999998</c:v>
                </c:pt>
                <c:pt idx="391">
                  <c:v>66.240916999999996</c:v>
                </c:pt>
                <c:pt idx="392">
                  <c:v>66.223050999999998</c:v>
                </c:pt>
                <c:pt idx="393">
                  <c:v>66.206186000000002</c:v>
                </c:pt>
                <c:pt idx="394">
                  <c:v>66.178826000000001</c:v>
                </c:pt>
                <c:pt idx="395">
                  <c:v>66.149512999999999</c:v>
                </c:pt>
                <c:pt idx="396">
                  <c:v>66.136669999999995</c:v>
                </c:pt>
                <c:pt idx="397">
                  <c:v>66.113498000000007</c:v>
                </c:pt>
                <c:pt idx="398">
                  <c:v>66.079436999999999</c:v>
                </c:pt>
                <c:pt idx="399">
                  <c:v>66.076250999999999</c:v>
                </c:pt>
                <c:pt idx="400">
                  <c:v>66.050563999999994</c:v>
                </c:pt>
                <c:pt idx="401">
                  <c:v>66.024154999999993</c:v>
                </c:pt>
                <c:pt idx="402">
                  <c:v>66.004216999999997</c:v>
                </c:pt>
                <c:pt idx="403">
                  <c:v>65.980648000000002</c:v>
                </c:pt>
                <c:pt idx="404">
                  <c:v>65.957752999999997</c:v>
                </c:pt>
                <c:pt idx="405">
                  <c:v>65.936252999999994</c:v>
                </c:pt>
                <c:pt idx="406">
                  <c:v>65.917824999999993</c:v>
                </c:pt>
                <c:pt idx="407">
                  <c:v>65.887110000000007</c:v>
                </c:pt>
                <c:pt idx="408">
                  <c:v>65.86354</c:v>
                </c:pt>
                <c:pt idx="409">
                  <c:v>65.842712000000006</c:v>
                </c:pt>
                <c:pt idx="410">
                  <c:v>65.828470999999993</c:v>
                </c:pt>
                <c:pt idx="411">
                  <c:v>65.805178999999995</c:v>
                </c:pt>
                <c:pt idx="412">
                  <c:v>65.783677999999995</c:v>
                </c:pt>
                <c:pt idx="413">
                  <c:v>65.754356000000001</c:v>
                </c:pt>
                <c:pt idx="414">
                  <c:v>65.730340999999996</c:v>
                </c:pt>
                <c:pt idx="415">
                  <c:v>65.713306000000003</c:v>
                </c:pt>
                <c:pt idx="416">
                  <c:v>65.681914000000006</c:v>
                </c:pt>
                <c:pt idx="417">
                  <c:v>65.667786000000007</c:v>
                </c:pt>
                <c:pt idx="418">
                  <c:v>65.640023999999997</c:v>
                </c:pt>
                <c:pt idx="419">
                  <c:v>65.621033999999995</c:v>
                </c:pt>
                <c:pt idx="420">
                  <c:v>65.597295000000003</c:v>
                </c:pt>
                <c:pt idx="421">
                  <c:v>65.581376000000006</c:v>
                </c:pt>
                <c:pt idx="422">
                  <c:v>65.547583000000003</c:v>
                </c:pt>
                <c:pt idx="423">
                  <c:v>65.535459000000003</c:v>
                </c:pt>
                <c:pt idx="424">
                  <c:v>65.511998000000006</c:v>
                </c:pt>
                <c:pt idx="425">
                  <c:v>65.48742</c:v>
                </c:pt>
                <c:pt idx="426">
                  <c:v>65.468148999999997</c:v>
                </c:pt>
                <c:pt idx="427">
                  <c:v>65.446083999999999</c:v>
                </c:pt>
                <c:pt idx="428">
                  <c:v>65.425973999999997</c:v>
                </c:pt>
                <c:pt idx="429">
                  <c:v>65.402511000000004</c:v>
                </c:pt>
                <c:pt idx="430">
                  <c:v>65.381283999999994</c:v>
                </c:pt>
                <c:pt idx="431">
                  <c:v>65.352513999999999</c:v>
                </c:pt>
                <c:pt idx="432">
                  <c:v>65.333684000000005</c:v>
                </c:pt>
                <c:pt idx="433">
                  <c:v>65.312735000000004</c:v>
                </c:pt>
                <c:pt idx="434">
                  <c:v>65.296254000000005</c:v>
                </c:pt>
                <c:pt idx="435">
                  <c:v>65.272232000000002</c:v>
                </c:pt>
                <c:pt idx="436">
                  <c:v>65.247090999999998</c:v>
                </c:pt>
                <c:pt idx="437">
                  <c:v>65.226420000000005</c:v>
                </c:pt>
                <c:pt idx="438">
                  <c:v>65.200046999999998</c:v>
                </c:pt>
                <c:pt idx="439">
                  <c:v>65.182563000000002</c:v>
                </c:pt>
                <c:pt idx="440">
                  <c:v>65.165243000000004</c:v>
                </c:pt>
                <c:pt idx="441">
                  <c:v>65.138030999999998</c:v>
                </c:pt>
                <c:pt idx="442">
                  <c:v>65.123503999999997</c:v>
                </c:pt>
                <c:pt idx="443">
                  <c:v>65.098640000000003</c:v>
                </c:pt>
                <c:pt idx="444">
                  <c:v>65.078247000000005</c:v>
                </c:pt>
                <c:pt idx="445">
                  <c:v>65.057573000000005</c:v>
                </c:pt>
                <c:pt idx="446">
                  <c:v>65.038576000000006</c:v>
                </c:pt>
                <c:pt idx="447">
                  <c:v>65.016390000000001</c:v>
                </c:pt>
                <c:pt idx="448">
                  <c:v>64.994319000000004</c:v>
                </c:pt>
                <c:pt idx="449">
                  <c:v>64.977110999999994</c:v>
                </c:pt>
                <c:pt idx="450">
                  <c:v>64.942632000000003</c:v>
                </c:pt>
                <c:pt idx="451">
                  <c:v>64.925867999999994</c:v>
                </c:pt>
                <c:pt idx="452">
                  <c:v>64.912343000000007</c:v>
                </c:pt>
                <c:pt idx="453">
                  <c:v>64.884795999999994</c:v>
                </c:pt>
                <c:pt idx="454">
                  <c:v>64.869708000000003</c:v>
                </c:pt>
                <c:pt idx="455">
                  <c:v>64.847240999999997</c:v>
                </c:pt>
                <c:pt idx="456">
                  <c:v>64.822766999999999</c:v>
                </c:pt>
                <c:pt idx="457">
                  <c:v>64.799460999999994</c:v>
                </c:pt>
                <c:pt idx="458">
                  <c:v>64.784092999999999</c:v>
                </c:pt>
                <c:pt idx="459">
                  <c:v>64.756989000000004</c:v>
                </c:pt>
                <c:pt idx="460">
                  <c:v>64.735472999999999</c:v>
                </c:pt>
                <c:pt idx="461">
                  <c:v>64.721946000000003</c:v>
                </c:pt>
                <c:pt idx="462">
                  <c:v>64.693163999999996</c:v>
                </c:pt>
                <c:pt idx="463">
                  <c:v>64.673323999999994</c:v>
                </c:pt>
                <c:pt idx="464">
                  <c:v>64.647056000000006</c:v>
                </c:pt>
                <c:pt idx="465">
                  <c:v>64.622465000000005</c:v>
                </c:pt>
                <c:pt idx="466">
                  <c:v>64.604021000000003</c:v>
                </c:pt>
                <c:pt idx="467">
                  <c:v>64.585577000000001</c:v>
                </c:pt>
                <c:pt idx="468">
                  <c:v>64.565175999999994</c:v>
                </c:pt>
                <c:pt idx="469">
                  <c:v>64.542146000000002</c:v>
                </c:pt>
                <c:pt idx="470">
                  <c:v>64.521299999999997</c:v>
                </c:pt>
                <c:pt idx="471">
                  <c:v>64.498662999999993</c:v>
                </c:pt>
                <c:pt idx="472">
                  <c:v>64.475911999999994</c:v>
                </c:pt>
                <c:pt idx="473">
                  <c:v>64.459142999999997</c:v>
                </c:pt>
                <c:pt idx="474">
                  <c:v>64.435387000000006</c:v>
                </c:pt>
                <c:pt idx="475">
                  <c:v>64.408276999999998</c:v>
                </c:pt>
                <c:pt idx="476">
                  <c:v>64.387035999999995</c:v>
                </c:pt>
                <c:pt idx="477">
                  <c:v>64.358806999999999</c:v>
                </c:pt>
                <c:pt idx="478">
                  <c:v>64.342875000000006</c:v>
                </c:pt>
                <c:pt idx="479">
                  <c:v>64.310732000000002</c:v>
                </c:pt>
                <c:pt idx="480">
                  <c:v>64.287977999999995</c:v>
                </c:pt>
                <c:pt idx="481">
                  <c:v>64.266848999999993</c:v>
                </c:pt>
                <c:pt idx="482">
                  <c:v>64.241020000000006</c:v>
                </c:pt>
                <c:pt idx="483">
                  <c:v>64.222012000000007</c:v>
                </c:pt>
                <c:pt idx="484">
                  <c:v>64.191823999999997</c:v>
                </c:pt>
                <c:pt idx="485">
                  <c:v>64.173209999999997</c:v>
                </c:pt>
                <c:pt idx="486">
                  <c:v>64.153362999999999</c:v>
                </c:pt>
                <c:pt idx="487">
                  <c:v>64.134074999999996</c:v>
                </c:pt>
                <c:pt idx="488">
                  <c:v>64.110759000000002</c:v>
                </c:pt>
                <c:pt idx="489">
                  <c:v>64.079170000000005</c:v>
                </c:pt>
                <c:pt idx="490">
                  <c:v>64.070504</c:v>
                </c:pt>
                <c:pt idx="491">
                  <c:v>64.041431000000003</c:v>
                </c:pt>
                <c:pt idx="492">
                  <c:v>64.029968999999994</c:v>
                </c:pt>
                <c:pt idx="493">
                  <c:v>64.003411</c:v>
                </c:pt>
                <c:pt idx="494">
                  <c:v>63.983842000000003</c:v>
                </c:pt>
                <c:pt idx="495">
                  <c:v>63.958846000000001</c:v>
                </c:pt>
                <c:pt idx="496">
                  <c:v>63.945706000000001</c:v>
                </c:pt>
                <c:pt idx="497">
                  <c:v>63.914952999999997</c:v>
                </c:pt>
                <c:pt idx="498">
                  <c:v>63.900136000000003</c:v>
                </c:pt>
                <c:pt idx="499">
                  <c:v>63.879002</c:v>
                </c:pt>
                <c:pt idx="500">
                  <c:v>63.857919000000003</c:v>
                </c:pt>
                <c:pt idx="501">
                  <c:v>63.838906999999999</c:v>
                </c:pt>
                <c:pt idx="502">
                  <c:v>63.817937000000001</c:v>
                </c:pt>
                <c:pt idx="503">
                  <c:v>63.790982</c:v>
                </c:pt>
                <c:pt idx="504">
                  <c:v>63.770570999999997</c:v>
                </c:pt>
                <c:pt idx="505">
                  <c:v>63.749600999999998</c:v>
                </c:pt>
                <c:pt idx="506">
                  <c:v>63.735061000000002</c:v>
                </c:pt>
                <c:pt idx="507">
                  <c:v>63.713925000000003</c:v>
                </c:pt>
                <c:pt idx="508">
                  <c:v>63.692000999999998</c:v>
                </c:pt>
                <c:pt idx="509">
                  <c:v>63.673267000000003</c:v>
                </c:pt>
                <c:pt idx="510">
                  <c:v>63.649664000000001</c:v>
                </c:pt>
                <c:pt idx="511">
                  <c:v>63.622819999999997</c:v>
                </c:pt>
                <c:pt idx="512">
                  <c:v>63.609397999999999</c:v>
                </c:pt>
                <c:pt idx="513">
                  <c:v>63.588425000000001</c:v>
                </c:pt>
                <c:pt idx="514">
                  <c:v>63.567731999999999</c:v>
                </c:pt>
                <c:pt idx="515">
                  <c:v>63.544801999999997</c:v>
                </c:pt>
                <c:pt idx="516">
                  <c:v>63.527464000000002</c:v>
                </c:pt>
                <c:pt idx="517">
                  <c:v>63.509287</c:v>
                </c:pt>
                <c:pt idx="518">
                  <c:v>63.482885000000003</c:v>
                </c:pt>
                <c:pt idx="519">
                  <c:v>63.468063999999998</c:v>
                </c:pt>
                <c:pt idx="520">
                  <c:v>63.441215999999997</c:v>
                </c:pt>
                <c:pt idx="521">
                  <c:v>63.422758999999999</c:v>
                </c:pt>
                <c:pt idx="522">
                  <c:v>63.410060000000001</c:v>
                </c:pt>
                <c:pt idx="523">
                  <c:v>63.378290999999997</c:v>
                </c:pt>
                <c:pt idx="524">
                  <c:v>63.357596000000001</c:v>
                </c:pt>
                <c:pt idx="525">
                  <c:v>63.341819000000001</c:v>
                </c:pt>
                <c:pt idx="526">
                  <c:v>63.326272000000003</c:v>
                </c:pt>
                <c:pt idx="527">
                  <c:v>63.302384000000004</c:v>
                </c:pt>
                <c:pt idx="528">
                  <c:v>63.283925000000004</c:v>
                </c:pt>
                <c:pt idx="529">
                  <c:v>63.256515</c:v>
                </c:pt>
                <c:pt idx="530">
                  <c:v>63.248289999999997</c:v>
                </c:pt>
                <c:pt idx="531">
                  <c:v>63.220878999999996</c:v>
                </c:pt>
                <c:pt idx="532">
                  <c:v>63.195819999999998</c:v>
                </c:pt>
                <c:pt idx="533">
                  <c:v>63.165612000000003</c:v>
                </c:pt>
                <c:pt idx="534">
                  <c:v>63.150393000000001</c:v>
                </c:pt>
                <c:pt idx="535">
                  <c:v>63.121862</c:v>
                </c:pt>
                <c:pt idx="536">
                  <c:v>63.101163</c:v>
                </c:pt>
                <c:pt idx="537">
                  <c:v>63.088016000000003</c:v>
                </c:pt>
                <c:pt idx="538">
                  <c:v>63.057805000000002</c:v>
                </c:pt>
                <c:pt idx="539">
                  <c:v>63.036546000000001</c:v>
                </c:pt>
                <c:pt idx="540">
                  <c:v>63.011090000000003</c:v>
                </c:pt>
                <c:pt idx="541">
                  <c:v>62.996263999999996</c:v>
                </c:pt>
                <c:pt idx="542">
                  <c:v>62.974164000000002</c:v>
                </c:pt>
                <c:pt idx="543">
                  <c:v>62.948033000000002</c:v>
                </c:pt>
                <c:pt idx="544">
                  <c:v>62.931528</c:v>
                </c:pt>
                <c:pt idx="545">
                  <c:v>62.914462999999998</c:v>
                </c:pt>
                <c:pt idx="546">
                  <c:v>62.893202000000002</c:v>
                </c:pt>
                <c:pt idx="547">
                  <c:v>62.874178000000001</c:v>
                </c:pt>
                <c:pt idx="548">
                  <c:v>62.852075999999997</c:v>
                </c:pt>
                <c:pt idx="549">
                  <c:v>62.828856000000002</c:v>
                </c:pt>
                <c:pt idx="550">
                  <c:v>62.803116000000003</c:v>
                </c:pt>
                <c:pt idx="551">
                  <c:v>62.788733999999998</c:v>
                </c:pt>
                <c:pt idx="552">
                  <c:v>62.769987999999998</c:v>
                </c:pt>
                <c:pt idx="553">
                  <c:v>62.742849</c:v>
                </c:pt>
                <c:pt idx="554">
                  <c:v>62.721865000000001</c:v>
                </c:pt>
                <c:pt idx="555">
                  <c:v>62.702838999999997</c:v>
                </c:pt>
                <c:pt idx="556">
                  <c:v>62.682974000000002</c:v>
                </c:pt>
                <c:pt idx="557">
                  <c:v>62.661875000000002</c:v>
                </c:pt>
                <c:pt idx="558">
                  <c:v>62.641449000000001</c:v>
                </c:pt>
                <c:pt idx="559">
                  <c:v>62.618670999999999</c:v>
                </c:pt>
                <c:pt idx="560">
                  <c:v>62.601323000000001</c:v>
                </c:pt>
                <c:pt idx="561">
                  <c:v>62.568863999999998</c:v>
                </c:pt>
                <c:pt idx="562">
                  <c:v>62.551070000000003</c:v>
                </c:pt>
                <c:pt idx="563">
                  <c:v>62.531087999999997</c:v>
                </c:pt>
                <c:pt idx="564">
                  <c:v>62.513458999999997</c:v>
                </c:pt>
                <c:pt idx="565">
                  <c:v>62.486874999999998</c:v>
                </c:pt>
                <c:pt idx="566">
                  <c:v>62.471764</c:v>
                </c:pt>
                <c:pt idx="567">
                  <c:v>62.446465000000003</c:v>
                </c:pt>
                <c:pt idx="568">
                  <c:v>62.428108999999999</c:v>
                </c:pt>
                <c:pt idx="569">
                  <c:v>62.403368999999998</c:v>
                </c:pt>
                <c:pt idx="570">
                  <c:v>62.381821000000002</c:v>
                </c:pt>
                <c:pt idx="571">
                  <c:v>62.359152000000002</c:v>
                </c:pt>
                <c:pt idx="572">
                  <c:v>62.325009999999999</c:v>
                </c:pt>
                <c:pt idx="573">
                  <c:v>62.310457</c:v>
                </c:pt>
                <c:pt idx="574">
                  <c:v>62.29439</c:v>
                </c:pt>
                <c:pt idx="575">
                  <c:v>62.284481</c:v>
                </c:pt>
                <c:pt idx="576">
                  <c:v>62.251289999999997</c:v>
                </c:pt>
                <c:pt idx="577">
                  <c:v>62.223582</c:v>
                </c:pt>
                <c:pt idx="578">
                  <c:v>62.202030999999998</c:v>
                </c:pt>
                <c:pt idx="579">
                  <c:v>62.192794999999997</c:v>
                </c:pt>
                <c:pt idx="580">
                  <c:v>62.165531999999999</c:v>
                </c:pt>
                <c:pt idx="581">
                  <c:v>62.149411999999998</c:v>
                </c:pt>
                <c:pt idx="582">
                  <c:v>62.123828000000003</c:v>
                </c:pt>
                <c:pt idx="583">
                  <c:v>62.109158999999998</c:v>
                </c:pt>
                <c:pt idx="584">
                  <c:v>62.084808000000002</c:v>
                </c:pt>
                <c:pt idx="585">
                  <c:v>62.063254999999998</c:v>
                </c:pt>
                <c:pt idx="586">
                  <c:v>62.038621999999997</c:v>
                </c:pt>
                <c:pt idx="587">
                  <c:v>62.024906999999999</c:v>
                </c:pt>
                <c:pt idx="588">
                  <c:v>61.997641000000002</c:v>
                </c:pt>
                <c:pt idx="589">
                  <c:v>61.971608000000003</c:v>
                </c:pt>
                <c:pt idx="590">
                  <c:v>61.953246</c:v>
                </c:pt>
                <c:pt idx="591">
                  <c:v>61.932251000000001</c:v>
                </c:pt>
                <c:pt idx="592">
                  <c:v>61.915900999999998</c:v>
                </c:pt>
                <c:pt idx="593">
                  <c:v>61.891547000000003</c:v>
                </c:pt>
                <c:pt idx="594">
                  <c:v>61.866632000000003</c:v>
                </c:pt>
                <c:pt idx="595">
                  <c:v>61.848714999999999</c:v>
                </c:pt>
                <c:pt idx="596">
                  <c:v>61.832923999999998</c:v>
                </c:pt>
                <c:pt idx="597">
                  <c:v>61.804648999999998</c:v>
                </c:pt>
                <c:pt idx="598">
                  <c:v>61.787851000000003</c:v>
                </c:pt>
                <c:pt idx="599">
                  <c:v>61.765734000000002</c:v>
                </c:pt>
                <c:pt idx="600">
                  <c:v>61.744177000000001</c:v>
                </c:pt>
                <c:pt idx="601">
                  <c:v>61.724299000000002</c:v>
                </c:pt>
                <c:pt idx="602">
                  <c:v>61.699660999999999</c:v>
                </c:pt>
                <c:pt idx="603">
                  <c:v>61.679389</c:v>
                </c:pt>
                <c:pt idx="604">
                  <c:v>61.657831000000002</c:v>
                </c:pt>
                <c:pt idx="605">
                  <c:v>61.646352</c:v>
                </c:pt>
                <c:pt idx="606">
                  <c:v>61.615158999999998</c:v>
                </c:pt>
                <c:pt idx="607">
                  <c:v>61.591752999999997</c:v>
                </c:pt>
                <c:pt idx="608">
                  <c:v>61.567954</c:v>
                </c:pt>
                <c:pt idx="609">
                  <c:v>61.545160000000003</c:v>
                </c:pt>
                <c:pt idx="610">
                  <c:v>61.53396</c:v>
                </c:pt>
                <c:pt idx="611">
                  <c:v>61.517439000000003</c:v>
                </c:pt>
                <c:pt idx="612">
                  <c:v>61.494312000000001</c:v>
                </c:pt>
                <c:pt idx="613">
                  <c:v>61.476837000000003</c:v>
                </c:pt>
                <c:pt idx="614">
                  <c:v>61.443235000000001</c:v>
                </c:pt>
                <c:pt idx="615">
                  <c:v>61.429679999999998</c:v>
                </c:pt>
                <c:pt idx="616">
                  <c:v>61.415792000000003</c:v>
                </c:pt>
                <c:pt idx="617">
                  <c:v>61.394956999999998</c:v>
                </c:pt>
                <c:pt idx="618">
                  <c:v>61.376474000000002</c:v>
                </c:pt>
                <c:pt idx="619">
                  <c:v>61.344270000000002</c:v>
                </c:pt>
                <c:pt idx="620">
                  <c:v>61.338669000000003</c:v>
                </c:pt>
                <c:pt idx="621">
                  <c:v>61.315705999999999</c:v>
                </c:pt>
                <c:pt idx="622">
                  <c:v>61.2821</c:v>
                </c:pt>
                <c:pt idx="623">
                  <c:v>61.265462999999997</c:v>
                </c:pt>
                <c:pt idx="624">
                  <c:v>61.248493000000003</c:v>
                </c:pt>
                <c:pt idx="625">
                  <c:v>61.230176</c:v>
                </c:pt>
                <c:pt idx="626">
                  <c:v>61.202168999999998</c:v>
                </c:pt>
                <c:pt idx="627">
                  <c:v>61.191972999999997</c:v>
                </c:pt>
                <c:pt idx="628">
                  <c:v>61.162565999999998</c:v>
                </c:pt>
                <c:pt idx="629">
                  <c:v>61.147722000000002</c:v>
                </c:pt>
                <c:pt idx="630">
                  <c:v>61.123635</c:v>
                </c:pt>
                <c:pt idx="631">
                  <c:v>61.117359999999998</c:v>
                </c:pt>
                <c:pt idx="632">
                  <c:v>61.091591999999999</c:v>
                </c:pt>
                <c:pt idx="633">
                  <c:v>61.074787000000001</c:v>
                </c:pt>
                <c:pt idx="634">
                  <c:v>61.056860999999998</c:v>
                </c:pt>
                <c:pt idx="635">
                  <c:v>61.023249</c:v>
                </c:pt>
                <c:pt idx="636">
                  <c:v>61.007004000000002</c:v>
                </c:pt>
                <c:pt idx="637">
                  <c:v>60.992325000000001</c:v>
                </c:pt>
                <c:pt idx="638">
                  <c:v>60.969076000000001</c:v>
                </c:pt>
                <c:pt idx="639">
                  <c:v>60.947226999999998</c:v>
                </c:pt>
                <c:pt idx="640">
                  <c:v>60.927059</c:v>
                </c:pt>
                <c:pt idx="641">
                  <c:v>60.914340000000003</c:v>
                </c:pt>
                <c:pt idx="642">
                  <c:v>60.890642999999997</c:v>
                </c:pt>
                <c:pt idx="643">
                  <c:v>60.875683000000002</c:v>
                </c:pt>
                <c:pt idx="644">
                  <c:v>60.853833000000002</c:v>
                </c:pt>
                <c:pt idx="645">
                  <c:v>60.834223999999999</c:v>
                </c:pt>
                <c:pt idx="646">
                  <c:v>60.809572000000003</c:v>
                </c:pt>
                <c:pt idx="647">
                  <c:v>60.791643000000001</c:v>
                </c:pt>
                <c:pt idx="648">
                  <c:v>60.771472000000003</c:v>
                </c:pt>
                <c:pt idx="649">
                  <c:v>60.755110999999999</c:v>
                </c:pt>
                <c:pt idx="650">
                  <c:v>60.732137999999999</c:v>
                </c:pt>
                <c:pt idx="651">
                  <c:v>60.727936</c:v>
                </c:pt>
                <c:pt idx="652">
                  <c:v>60.694597000000002</c:v>
                </c:pt>
                <c:pt idx="653">
                  <c:v>60.683391</c:v>
                </c:pt>
                <c:pt idx="654">
                  <c:v>60.658175999999997</c:v>
                </c:pt>
                <c:pt idx="655">
                  <c:v>60.644894999999998</c:v>
                </c:pt>
                <c:pt idx="656">
                  <c:v>60.620240000000003</c:v>
                </c:pt>
                <c:pt idx="657">
                  <c:v>60.609313</c:v>
                </c:pt>
                <c:pt idx="658">
                  <c:v>60.588859999999997</c:v>
                </c:pt>
                <c:pt idx="659">
                  <c:v>60.564763999999997</c:v>
                </c:pt>
                <c:pt idx="660">
                  <c:v>60.543750000000003</c:v>
                </c:pt>
                <c:pt idx="661">
                  <c:v>60.519933999999999</c:v>
                </c:pt>
                <c:pt idx="662">
                  <c:v>60.497405999999998</c:v>
                </c:pt>
                <c:pt idx="663">
                  <c:v>60.482554999999998</c:v>
                </c:pt>
                <c:pt idx="664">
                  <c:v>60.465463</c:v>
                </c:pt>
                <c:pt idx="665">
                  <c:v>60.443326999999996</c:v>
                </c:pt>
                <c:pt idx="666">
                  <c:v>60.423712000000002</c:v>
                </c:pt>
                <c:pt idx="667">
                  <c:v>60.394289999999998</c:v>
                </c:pt>
                <c:pt idx="668">
                  <c:v>60.378317000000003</c:v>
                </c:pt>
                <c:pt idx="669">
                  <c:v>60.350575999999997</c:v>
                </c:pt>
                <c:pt idx="670">
                  <c:v>60.337964999999997</c:v>
                </c:pt>
                <c:pt idx="671">
                  <c:v>60.301141999999999</c:v>
                </c:pt>
                <c:pt idx="672">
                  <c:v>60.286123000000003</c:v>
                </c:pt>
                <c:pt idx="673">
                  <c:v>60.258659000000002</c:v>
                </c:pt>
                <c:pt idx="674">
                  <c:v>60.236407</c:v>
                </c:pt>
                <c:pt idx="675">
                  <c:v>60.207541999999997</c:v>
                </c:pt>
                <c:pt idx="676">
                  <c:v>60.195377999999998</c:v>
                </c:pt>
                <c:pt idx="677">
                  <c:v>60.168866999999999</c:v>
                </c:pt>
                <c:pt idx="678">
                  <c:v>60.155020999999998</c:v>
                </c:pt>
                <c:pt idx="679">
                  <c:v>60.138038000000002</c:v>
                </c:pt>
                <c:pt idx="680">
                  <c:v>60.114102000000003</c:v>
                </c:pt>
                <c:pt idx="681">
                  <c:v>60.089998999999999</c:v>
                </c:pt>
                <c:pt idx="682">
                  <c:v>60.076993999999999</c:v>
                </c:pt>
                <c:pt idx="683">
                  <c:v>60.056252999999998</c:v>
                </c:pt>
                <c:pt idx="684">
                  <c:v>60.038595999999998</c:v>
                </c:pt>
                <c:pt idx="685">
                  <c:v>60.013930999999999</c:v>
                </c:pt>
                <c:pt idx="686">
                  <c:v>59.997112999999999</c:v>
                </c:pt>
                <c:pt idx="687">
                  <c:v>59.971606999999999</c:v>
                </c:pt>
                <c:pt idx="688">
                  <c:v>59.961796999999997</c:v>
                </c:pt>
                <c:pt idx="689">
                  <c:v>59.949630999999997</c:v>
                </c:pt>
                <c:pt idx="690">
                  <c:v>59.925358000000003</c:v>
                </c:pt>
                <c:pt idx="691">
                  <c:v>59.906576999999999</c:v>
                </c:pt>
                <c:pt idx="692">
                  <c:v>59.888077000000003</c:v>
                </c:pt>
                <c:pt idx="693">
                  <c:v>59.876584000000001</c:v>
                </c:pt>
                <c:pt idx="694">
                  <c:v>59.857242999999997</c:v>
                </c:pt>
                <c:pt idx="695">
                  <c:v>59.834536999999997</c:v>
                </c:pt>
                <c:pt idx="696">
                  <c:v>59.824725999999998</c:v>
                </c:pt>
                <c:pt idx="697">
                  <c:v>59.805830999999998</c:v>
                </c:pt>
                <c:pt idx="698">
                  <c:v>59.778640000000003</c:v>
                </c:pt>
                <c:pt idx="699">
                  <c:v>59.760697999999998</c:v>
                </c:pt>
                <c:pt idx="700">
                  <c:v>59.739113000000003</c:v>
                </c:pt>
                <c:pt idx="701">
                  <c:v>59.728740000000002</c:v>
                </c:pt>
                <c:pt idx="702">
                  <c:v>59.705190999999999</c:v>
                </c:pt>
                <c:pt idx="703">
                  <c:v>59.690613999999997</c:v>
                </c:pt>
                <c:pt idx="704">
                  <c:v>59.677717999999999</c:v>
                </c:pt>
                <c:pt idx="705">
                  <c:v>59.653213999999998</c:v>
                </c:pt>
                <c:pt idx="706">
                  <c:v>59.628543000000001</c:v>
                </c:pt>
                <c:pt idx="707">
                  <c:v>59.617047999999997</c:v>
                </c:pt>
                <c:pt idx="708">
                  <c:v>59.590693999999999</c:v>
                </c:pt>
                <c:pt idx="709">
                  <c:v>59.574432999999999</c:v>
                </c:pt>
                <c:pt idx="710">
                  <c:v>59.546956999999999</c:v>
                </c:pt>
                <c:pt idx="711">
                  <c:v>59.542751000000003</c:v>
                </c:pt>
                <c:pt idx="712">
                  <c:v>59.520321000000003</c:v>
                </c:pt>
                <c:pt idx="713">
                  <c:v>59.499012</c:v>
                </c:pt>
                <c:pt idx="714">
                  <c:v>59.481347999999997</c:v>
                </c:pt>
                <c:pt idx="715">
                  <c:v>59.466487999999998</c:v>
                </c:pt>
                <c:pt idx="716">
                  <c:v>59.442653999999997</c:v>
                </c:pt>
                <c:pt idx="717">
                  <c:v>59.409568</c:v>
                </c:pt>
                <c:pt idx="718">
                  <c:v>59.405081000000003</c:v>
                </c:pt>
                <c:pt idx="719">
                  <c:v>59.388986000000003</c:v>
                </c:pt>
                <c:pt idx="720">
                  <c:v>59.36459</c:v>
                </c:pt>
                <c:pt idx="721">
                  <c:v>59.345802999999997</c:v>
                </c:pt>
                <c:pt idx="722">
                  <c:v>59.332903999999999</c:v>
                </c:pt>
                <c:pt idx="723">
                  <c:v>59.314844999999998</c:v>
                </c:pt>
                <c:pt idx="724">
                  <c:v>59.293925999999999</c:v>
                </c:pt>
                <c:pt idx="725">
                  <c:v>59.282597000000003</c:v>
                </c:pt>
                <c:pt idx="726">
                  <c:v>59.261958</c:v>
                </c:pt>
                <c:pt idx="727">
                  <c:v>59.246983</c:v>
                </c:pt>
                <c:pt idx="728">
                  <c:v>59.224268000000002</c:v>
                </c:pt>
                <c:pt idx="729">
                  <c:v>59.202955000000003</c:v>
                </c:pt>
                <c:pt idx="730">
                  <c:v>59.183884999999997</c:v>
                </c:pt>
                <c:pt idx="731">
                  <c:v>59.165376000000002</c:v>
                </c:pt>
                <c:pt idx="732">
                  <c:v>59.147033999999998</c:v>
                </c:pt>
                <c:pt idx="733">
                  <c:v>59.124710999999998</c:v>
                </c:pt>
                <c:pt idx="734">
                  <c:v>59.098629000000003</c:v>
                </c:pt>
                <c:pt idx="735">
                  <c:v>59.087857999999997</c:v>
                </c:pt>
                <c:pt idx="736">
                  <c:v>59.072432999999997</c:v>
                </c:pt>
                <c:pt idx="737">
                  <c:v>59.047752000000003</c:v>
                </c:pt>
                <c:pt idx="738">
                  <c:v>59.032046000000001</c:v>
                </c:pt>
                <c:pt idx="739">
                  <c:v>59.014938000000001</c:v>
                </c:pt>
                <c:pt idx="740">
                  <c:v>58.999510999999998</c:v>
                </c:pt>
                <c:pt idx="741">
                  <c:v>58.979598000000003</c:v>
                </c:pt>
                <c:pt idx="742">
                  <c:v>58.960973000000003</c:v>
                </c:pt>
                <c:pt idx="743">
                  <c:v>58.952278</c:v>
                </c:pt>
                <c:pt idx="744">
                  <c:v>58.933765999999999</c:v>
                </c:pt>
                <c:pt idx="745">
                  <c:v>58.916094999999999</c:v>
                </c:pt>
                <c:pt idx="746">
                  <c:v>58.894778000000002</c:v>
                </c:pt>
                <c:pt idx="747">
                  <c:v>58.871215999999997</c:v>
                </c:pt>
                <c:pt idx="748">
                  <c:v>58.857751999999998</c:v>
                </c:pt>
                <c:pt idx="749">
                  <c:v>58.825493999999999</c:v>
                </c:pt>
                <c:pt idx="750">
                  <c:v>58.828299000000001</c:v>
                </c:pt>
                <c:pt idx="751">
                  <c:v>58.805745999999999</c:v>
                </c:pt>
                <c:pt idx="752">
                  <c:v>58.780332000000001</c:v>
                </c:pt>
                <c:pt idx="753">
                  <c:v>58.767428000000002</c:v>
                </c:pt>
                <c:pt idx="754">
                  <c:v>58.749755</c:v>
                </c:pt>
                <c:pt idx="755">
                  <c:v>58.730846999999997</c:v>
                </c:pt>
                <c:pt idx="756">
                  <c:v>58.709246999999998</c:v>
                </c:pt>
                <c:pt idx="757">
                  <c:v>58.687646000000001</c:v>
                </c:pt>
                <c:pt idx="758">
                  <c:v>58.669131</c:v>
                </c:pt>
                <c:pt idx="759">
                  <c:v>58.649211999999999</c:v>
                </c:pt>
                <c:pt idx="760">
                  <c:v>58.626207999999998</c:v>
                </c:pt>
                <c:pt idx="761">
                  <c:v>58.598433999999997</c:v>
                </c:pt>
                <c:pt idx="762">
                  <c:v>58.584966999999999</c:v>
                </c:pt>
                <c:pt idx="763">
                  <c:v>58.574306</c:v>
                </c:pt>
                <c:pt idx="764">
                  <c:v>58.553545</c:v>
                </c:pt>
                <c:pt idx="765">
                  <c:v>58.539124000000001</c:v>
                </c:pt>
                <c:pt idx="766">
                  <c:v>58.520887000000002</c:v>
                </c:pt>
                <c:pt idx="767">
                  <c:v>58.505456000000002</c:v>
                </c:pt>
                <c:pt idx="768">
                  <c:v>58.479923999999997</c:v>
                </c:pt>
                <c:pt idx="769">
                  <c:v>58.468420999999999</c:v>
                </c:pt>
                <c:pt idx="770">
                  <c:v>58.449902999999999</c:v>
                </c:pt>
                <c:pt idx="771">
                  <c:v>58.430543</c:v>
                </c:pt>
                <c:pt idx="772">
                  <c:v>58.411462999999998</c:v>
                </c:pt>
                <c:pt idx="773">
                  <c:v>58.397433999999997</c:v>
                </c:pt>
                <c:pt idx="774">
                  <c:v>58.380318000000003</c:v>
                </c:pt>
                <c:pt idx="775">
                  <c:v>58.351697000000001</c:v>
                </c:pt>
                <c:pt idx="776">
                  <c:v>58.331775</c:v>
                </c:pt>
                <c:pt idx="777">
                  <c:v>58.337667000000003</c:v>
                </c:pt>
                <c:pt idx="778">
                  <c:v>58.307923000000002</c:v>
                </c:pt>
                <c:pt idx="779">
                  <c:v>58.294454000000002</c:v>
                </c:pt>
                <c:pt idx="780">
                  <c:v>58.270209000000001</c:v>
                </c:pt>
                <c:pt idx="781">
                  <c:v>58.254607999999998</c:v>
                </c:pt>
                <c:pt idx="782">
                  <c:v>58.242708999999998</c:v>
                </c:pt>
                <c:pt idx="783">
                  <c:v>58.225310999999998</c:v>
                </c:pt>
                <c:pt idx="784">
                  <c:v>58.201008999999999</c:v>
                </c:pt>
                <c:pt idx="785">
                  <c:v>58.176875000000003</c:v>
                </c:pt>
                <c:pt idx="786">
                  <c:v>58.169297999999998</c:v>
                </c:pt>
                <c:pt idx="787">
                  <c:v>58.147576999999998</c:v>
                </c:pt>
                <c:pt idx="788">
                  <c:v>58.131300000000003</c:v>
                </c:pt>
                <c:pt idx="789">
                  <c:v>58.120074000000002</c:v>
                </c:pt>
                <c:pt idx="790">
                  <c:v>58.096499999999999</c:v>
                </c:pt>
                <c:pt idx="791">
                  <c:v>58.080784000000001</c:v>
                </c:pt>
                <c:pt idx="792">
                  <c:v>58.055413000000001</c:v>
                </c:pt>
                <c:pt idx="793">
                  <c:v>58.043906</c:v>
                </c:pt>
                <c:pt idx="794">
                  <c:v>58.028190000000002</c:v>
                </c:pt>
                <c:pt idx="795">
                  <c:v>58.010900999999997</c:v>
                </c:pt>
                <c:pt idx="796">
                  <c:v>57.991816</c:v>
                </c:pt>
                <c:pt idx="797">
                  <c:v>57.970654000000003</c:v>
                </c:pt>
                <c:pt idx="798">
                  <c:v>57.954935999999996</c:v>
                </c:pt>
                <c:pt idx="799">
                  <c:v>57.941464000000003</c:v>
                </c:pt>
                <c:pt idx="800">
                  <c:v>57.916203000000003</c:v>
                </c:pt>
                <c:pt idx="801">
                  <c:v>57.901327000000002</c:v>
                </c:pt>
                <c:pt idx="802">
                  <c:v>57.883363000000003</c:v>
                </c:pt>
                <c:pt idx="803">
                  <c:v>57.851646000000002</c:v>
                </c:pt>
                <c:pt idx="804">
                  <c:v>57.839576000000001</c:v>
                </c:pt>
                <c:pt idx="805">
                  <c:v>57.827674000000002</c:v>
                </c:pt>
                <c:pt idx="806">
                  <c:v>57.809821999999997</c:v>
                </c:pt>
                <c:pt idx="807">
                  <c:v>57.788096000000003</c:v>
                </c:pt>
                <c:pt idx="808">
                  <c:v>57.774172999999998</c:v>
                </c:pt>
                <c:pt idx="809">
                  <c:v>57.751716000000002</c:v>
                </c:pt>
                <c:pt idx="810">
                  <c:v>57.742621</c:v>
                </c:pt>
                <c:pt idx="811">
                  <c:v>57.72269</c:v>
                </c:pt>
                <c:pt idx="812">
                  <c:v>57.697144999999999</c:v>
                </c:pt>
                <c:pt idx="813">
                  <c:v>57.689846000000003</c:v>
                </c:pt>
                <c:pt idx="814">
                  <c:v>57.661493</c:v>
                </c:pt>
                <c:pt idx="815">
                  <c:v>57.650824999999998</c:v>
                </c:pt>
                <c:pt idx="816">
                  <c:v>57.629489999999997</c:v>
                </c:pt>
                <c:pt idx="817">
                  <c:v>57.612645999999998</c:v>
                </c:pt>
                <c:pt idx="818">
                  <c:v>57.587941000000001</c:v>
                </c:pt>
                <c:pt idx="819">
                  <c:v>57.575755999999998</c:v>
                </c:pt>
                <c:pt idx="820">
                  <c:v>57.559753999999998</c:v>
                </c:pt>
                <c:pt idx="821">
                  <c:v>57.538136000000002</c:v>
                </c:pt>
                <c:pt idx="822">
                  <c:v>57.516798999999999</c:v>
                </c:pt>
                <c:pt idx="823">
                  <c:v>57.504165</c:v>
                </c:pt>
                <c:pt idx="824">
                  <c:v>57.483389000000003</c:v>
                </c:pt>
                <c:pt idx="825">
                  <c:v>57.461041000000002</c:v>
                </c:pt>
                <c:pt idx="826">
                  <c:v>57.456435999999997</c:v>
                </c:pt>
                <c:pt idx="827">
                  <c:v>57.437344000000003</c:v>
                </c:pt>
                <c:pt idx="828">
                  <c:v>57.408816999999999</c:v>
                </c:pt>
                <c:pt idx="829">
                  <c:v>57.397193000000001</c:v>
                </c:pt>
                <c:pt idx="830">
                  <c:v>57.382030999999998</c:v>
                </c:pt>
                <c:pt idx="831">
                  <c:v>57.365465</c:v>
                </c:pt>
                <c:pt idx="832">
                  <c:v>57.346370999999998</c:v>
                </c:pt>
                <c:pt idx="833">
                  <c:v>57.329523999999999</c:v>
                </c:pt>
                <c:pt idx="834">
                  <c:v>57.318179999999998</c:v>
                </c:pt>
                <c:pt idx="835">
                  <c:v>57.294986999999999</c:v>
                </c:pt>
                <c:pt idx="836">
                  <c:v>57.282069999999997</c:v>
                </c:pt>
                <c:pt idx="837">
                  <c:v>57.264547999999998</c:v>
                </c:pt>
                <c:pt idx="838">
                  <c:v>57.246296000000001</c:v>
                </c:pt>
                <c:pt idx="839">
                  <c:v>57.226357999999998</c:v>
                </c:pt>
                <c:pt idx="840">
                  <c:v>57.219619000000002</c:v>
                </c:pt>
                <c:pt idx="841">
                  <c:v>57.190413999999997</c:v>
                </c:pt>
                <c:pt idx="842">
                  <c:v>57.183394</c:v>
                </c:pt>
                <c:pt idx="843">
                  <c:v>57.160366000000003</c:v>
                </c:pt>
                <c:pt idx="844">
                  <c:v>57.147728999999998</c:v>
                </c:pt>
                <c:pt idx="845">
                  <c:v>57.128352</c:v>
                </c:pt>
                <c:pt idx="846">
                  <c:v>57.111783000000003</c:v>
                </c:pt>
                <c:pt idx="847">
                  <c:v>57.097461000000003</c:v>
                </c:pt>
                <c:pt idx="848">
                  <c:v>57.078364000000001</c:v>
                </c:pt>
                <c:pt idx="849">
                  <c:v>57.062918000000003</c:v>
                </c:pt>
                <c:pt idx="850">
                  <c:v>57.042416000000003</c:v>
                </c:pt>
                <c:pt idx="851">
                  <c:v>57.034272000000001</c:v>
                </c:pt>
                <c:pt idx="852">
                  <c:v>57.013207999999999</c:v>
                </c:pt>
                <c:pt idx="853">
                  <c:v>56.998604</c:v>
                </c:pt>
                <c:pt idx="854">
                  <c:v>56.973776000000001</c:v>
                </c:pt>
                <c:pt idx="855">
                  <c:v>56.956643999999997</c:v>
                </c:pt>
                <c:pt idx="856">
                  <c:v>56.941195999999998</c:v>
                </c:pt>
                <c:pt idx="857">
                  <c:v>56.92221</c:v>
                </c:pt>
                <c:pt idx="858">
                  <c:v>56.907212000000001</c:v>
                </c:pt>
                <c:pt idx="859">
                  <c:v>56.897661999999997</c:v>
                </c:pt>
                <c:pt idx="860">
                  <c:v>56.882213999999998</c:v>
                </c:pt>
                <c:pt idx="861">
                  <c:v>56.860585999999998</c:v>
                </c:pt>
                <c:pt idx="862">
                  <c:v>56.845419</c:v>
                </c:pt>
                <c:pt idx="863">
                  <c:v>56.824632999999999</c:v>
                </c:pt>
                <c:pt idx="864">
                  <c:v>56.803286</c:v>
                </c:pt>
                <c:pt idx="865">
                  <c:v>56.797105999999999</c:v>
                </c:pt>
                <c:pt idx="866">
                  <c:v>56.781937999999997</c:v>
                </c:pt>
                <c:pt idx="867">
                  <c:v>56.765645999999997</c:v>
                </c:pt>
                <c:pt idx="868">
                  <c:v>56.738118</c:v>
                </c:pt>
                <c:pt idx="869">
                  <c:v>56.726882000000003</c:v>
                </c:pt>
                <c:pt idx="870">
                  <c:v>56.71396</c:v>
                </c:pt>
                <c:pt idx="871">
                  <c:v>56.702049000000002</c:v>
                </c:pt>
                <c:pt idx="872">
                  <c:v>56.680250999999998</c:v>
                </c:pt>
                <c:pt idx="873">
                  <c:v>56.665643000000003</c:v>
                </c:pt>
                <c:pt idx="874">
                  <c:v>56.643732</c:v>
                </c:pt>
                <c:pt idx="875">
                  <c:v>56.637832000000003</c:v>
                </c:pt>
                <c:pt idx="876">
                  <c:v>56.610863000000002</c:v>
                </c:pt>
                <c:pt idx="877">
                  <c:v>56.595973999999998</c:v>
                </c:pt>
                <c:pt idx="878">
                  <c:v>56.583331999999999</c:v>
                </c:pt>
                <c:pt idx="879">
                  <c:v>56.567599999999999</c:v>
                </c:pt>
                <c:pt idx="880">
                  <c:v>56.550350000000002</c:v>
                </c:pt>
                <c:pt idx="881">
                  <c:v>56.531920999999997</c:v>
                </c:pt>
                <c:pt idx="882">
                  <c:v>56.517592999999998</c:v>
                </c:pt>
                <c:pt idx="883">
                  <c:v>56.499330999999998</c:v>
                </c:pt>
                <c:pt idx="884">
                  <c:v>56.479945999999998</c:v>
                </c:pt>
                <c:pt idx="885">
                  <c:v>56.459155000000003</c:v>
                </c:pt>
                <c:pt idx="886">
                  <c:v>56.445388000000001</c:v>
                </c:pt>
                <c:pt idx="887">
                  <c:v>56.428418000000001</c:v>
                </c:pt>
                <c:pt idx="888">
                  <c:v>56.413527000000002</c:v>
                </c:pt>
                <c:pt idx="889">
                  <c:v>56.404536</c:v>
                </c:pt>
                <c:pt idx="890">
                  <c:v>56.382733000000002</c:v>
                </c:pt>
                <c:pt idx="891">
                  <c:v>56.367728999999997</c:v>
                </c:pt>
                <c:pt idx="892">
                  <c:v>56.347329999999999</c:v>
                </c:pt>
                <c:pt idx="893">
                  <c:v>56.323334000000003</c:v>
                </c:pt>
                <c:pt idx="894">
                  <c:v>56.320075000000003</c:v>
                </c:pt>
                <c:pt idx="895">
                  <c:v>56.294111999999998</c:v>
                </c:pt>
                <c:pt idx="896">
                  <c:v>56.279893999999999</c:v>
                </c:pt>
                <c:pt idx="897">
                  <c:v>56.262360000000001</c:v>
                </c:pt>
                <c:pt idx="898">
                  <c:v>56.246343000000003</c:v>
                </c:pt>
                <c:pt idx="899">
                  <c:v>56.222177000000002</c:v>
                </c:pt>
                <c:pt idx="900">
                  <c:v>56.215432999999997</c:v>
                </c:pt>
                <c:pt idx="901">
                  <c:v>56.198853999999997</c:v>
                </c:pt>
                <c:pt idx="902">
                  <c:v>56.180588999999998</c:v>
                </c:pt>
                <c:pt idx="903">
                  <c:v>56.162604000000002</c:v>
                </c:pt>
                <c:pt idx="904">
                  <c:v>56.143214</c:v>
                </c:pt>
                <c:pt idx="905">
                  <c:v>56.130567999999997</c:v>
                </c:pt>
                <c:pt idx="906">
                  <c:v>56.109772</c:v>
                </c:pt>
                <c:pt idx="907">
                  <c:v>56.095272000000001</c:v>
                </c:pt>
                <c:pt idx="908">
                  <c:v>56.078296999999999</c:v>
                </c:pt>
                <c:pt idx="909">
                  <c:v>56.057220000000001</c:v>
                </c:pt>
                <c:pt idx="910">
                  <c:v>56.047946000000003</c:v>
                </c:pt>
                <c:pt idx="911">
                  <c:v>56.033332000000001</c:v>
                </c:pt>
                <c:pt idx="912">
                  <c:v>56.013378000000003</c:v>
                </c:pt>
                <c:pt idx="913">
                  <c:v>55.994267000000001</c:v>
                </c:pt>
                <c:pt idx="914">
                  <c:v>55.983305999999999</c:v>
                </c:pt>
                <c:pt idx="915">
                  <c:v>55.966161999999997</c:v>
                </c:pt>
                <c:pt idx="916">
                  <c:v>55.944521000000002</c:v>
                </c:pt>
                <c:pt idx="917">
                  <c:v>55.935639999999999</c:v>
                </c:pt>
                <c:pt idx="918">
                  <c:v>55.912199999999999</c:v>
                </c:pt>
                <c:pt idx="919">
                  <c:v>55.902363000000001</c:v>
                </c:pt>
                <c:pt idx="920">
                  <c:v>55.878472000000002</c:v>
                </c:pt>
                <c:pt idx="921">
                  <c:v>55.863013000000002</c:v>
                </c:pt>
                <c:pt idx="922">
                  <c:v>55.850645999999998</c:v>
                </c:pt>
                <c:pt idx="923">
                  <c:v>55.840246</c:v>
                </c:pt>
                <c:pt idx="924">
                  <c:v>55.813656000000002</c:v>
                </c:pt>
                <c:pt idx="925">
                  <c:v>55.798647000000003</c:v>
                </c:pt>
                <c:pt idx="926">
                  <c:v>55.782063000000001</c:v>
                </c:pt>
                <c:pt idx="927">
                  <c:v>55.763792000000002</c:v>
                </c:pt>
                <c:pt idx="928">
                  <c:v>55.754516000000002</c:v>
                </c:pt>
                <c:pt idx="929">
                  <c:v>55.732028</c:v>
                </c:pt>
                <c:pt idx="930">
                  <c:v>55.709372000000002</c:v>
                </c:pt>
                <c:pt idx="931">
                  <c:v>55.697172000000002</c:v>
                </c:pt>
                <c:pt idx="932">
                  <c:v>55.690143999999997</c:v>
                </c:pt>
                <c:pt idx="933">
                  <c:v>55.667937000000002</c:v>
                </c:pt>
                <c:pt idx="934">
                  <c:v>55.646965999999999</c:v>
                </c:pt>
                <c:pt idx="935">
                  <c:v>55.633473000000002</c:v>
                </c:pt>
                <c:pt idx="936">
                  <c:v>55.613681999999997</c:v>
                </c:pt>
                <c:pt idx="937">
                  <c:v>55.592429000000003</c:v>
                </c:pt>
                <c:pt idx="938">
                  <c:v>55.591473999999998</c:v>
                </c:pt>
                <c:pt idx="939">
                  <c:v>55.566172000000002</c:v>
                </c:pt>
                <c:pt idx="940">
                  <c:v>55.550991000000003</c:v>
                </c:pt>
                <c:pt idx="941">
                  <c:v>55.530299999999997</c:v>
                </c:pt>
                <c:pt idx="942">
                  <c:v>55.514163000000003</c:v>
                </c:pt>
                <c:pt idx="943">
                  <c:v>55.493752000000001</c:v>
                </c:pt>
                <c:pt idx="944">
                  <c:v>55.479132</c:v>
                </c:pt>
                <c:pt idx="945">
                  <c:v>55.462713000000001</c:v>
                </c:pt>
                <c:pt idx="946">
                  <c:v>55.452872999999997</c:v>
                </c:pt>
                <c:pt idx="947">
                  <c:v>55.437691000000001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200-9A43-8053-239806961482}"/>
            </c:ext>
          </c:extLst>
        </c:ser>
        <c:ser>
          <c:idx val="2"/>
          <c:order val="2"/>
          <c:tx>
            <c:strRef>
              <c:f>'Part 3 Data'!$D$2</c:f>
              <c:strCache>
                <c:ptCount val="1"/>
                <c:pt idx="0">
                  <c:v>T_infinite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'Part 3 Data'!$A$3:$A$2881</c:f>
              <c:numCache>
                <c:formatCode>0.0</c:formatCode>
                <c:ptCount val="2879"/>
                <c:pt idx="0">
                  <c:v>0</c:v>
                </c:pt>
                <c:pt idx="1">
                  <c:v>0.56399999999999995</c:v>
                </c:pt>
                <c:pt idx="2">
                  <c:v>1.1279999999999999</c:v>
                </c:pt>
                <c:pt idx="3">
                  <c:v>1.6919999999999999</c:v>
                </c:pt>
                <c:pt idx="4">
                  <c:v>2.2559999999999998</c:v>
                </c:pt>
                <c:pt idx="5">
                  <c:v>2.82</c:v>
                </c:pt>
                <c:pt idx="6">
                  <c:v>3.3839999999999999</c:v>
                </c:pt>
                <c:pt idx="7">
                  <c:v>3.948</c:v>
                </c:pt>
                <c:pt idx="8">
                  <c:v>4.5119999999999996</c:v>
                </c:pt>
                <c:pt idx="9">
                  <c:v>5.0759999999999996</c:v>
                </c:pt>
                <c:pt idx="10">
                  <c:v>5.64</c:v>
                </c:pt>
                <c:pt idx="11">
                  <c:v>6.2039999999999997</c:v>
                </c:pt>
                <c:pt idx="12">
                  <c:v>6.7679999999999998</c:v>
                </c:pt>
                <c:pt idx="13">
                  <c:v>7.3319999999999999</c:v>
                </c:pt>
                <c:pt idx="14">
                  <c:v>7.8959999999999999</c:v>
                </c:pt>
                <c:pt idx="15">
                  <c:v>8.4600000000000009</c:v>
                </c:pt>
                <c:pt idx="16">
                  <c:v>9.0239999999999991</c:v>
                </c:pt>
                <c:pt idx="17">
                  <c:v>9.5879999999999992</c:v>
                </c:pt>
                <c:pt idx="18">
                  <c:v>10.151999999999999</c:v>
                </c:pt>
                <c:pt idx="19">
                  <c:v>10.715999999999999</c:v>
                </c:pt>
                <c:pt idx="20">
                  <c:v>11.28</c:v>
                </c:pt>
                <c:pt idx="21">
                  <c:v>11.843999999999999</c:v>
                </c:pt>
                <c:pt idx="22">
                  <c:v>12.407999999999999</c:v>
                </c:pt>
                <c:pt idx="23">
                  <c:v>12.972</c:v>
                </c:pt>
                <c:pt idx="24">
                  <c:v>13.536</c:v>
                </c:pt>
                <c:pt idx="25">
                  <c:v>14.1</c:v>
                </c:pt>
                <c:pt idx="26">
                  <c:v>14.664</c:v>
                </c:pt>
                <c:pt idx="27">
                  <c:v>15.228</c:v>
                </c:pt>
                <c:pt idx="28">
                  <c:v>15.792</c:v>
                </c:pt>
                <c:pt idx="29">
                  <c:v>16.356000000000002</c:v>
                </c:pt>
                <c:pt idx="30">
                  <c:v>16.920000000000002</c:v>
                </c:pt>
                <c:pt idx="31">
                  <c:v>17.484000000000002</c:v>
                </c:pt>
                <c:pt idx="32">
                  <c:v>18.047999999999998</c:v>
                </c:pt>
                <c:pt idx="33">
                  <c:v>18.611999999999998</c:v>
                </c:pt>
                <c:pt idx="34">
                  <c:v>19.175999999999998</c:v>
                </c:pt>
                <c:pt idx="35">
                  <c:v>19.739999999999998</c:v>
                </c:pt>
                <c:pt idx="36">
                  <c:v>20.303999999999998</c:v>
                </c:pt>
                <c:pt idx="37">
                  <c:v>20.867999999999999</c:v>
                </c:pt>
                <c:pt idx="38">
                  <c:v>21.431999999999999</c:v>
                </c:pt>
                <c:pt idx="39">
                  <c:v>21.995999999999999</c:v>
                </c:pt>
                <c:pt idx="40">
                  <c:v>22.56</c:v>
                </c:pt>
                <c:pt idx="41">
                  <c:v>23.123999999999999</c:v>
                </c:pt>
                <c:pt idx="42">
                  <c:v>23.687999999999999</c:v>
                </c:pt>
                <c:pt idx="43">
                  <c:v>24.251999999999999</c:v>
                </c:pt>
                <c:pt idx="44">
                  <c:v>24.815999999999999</c:v>
                </c:pt>
                <c:pt idx="45">
                  <c:v>25.38</c:v>
                </c:pt>
                <c:pt idx="46">
                  <c:v>25.943999999999999</c:v>
                </c:pt>
                <c:pt idx="47">
                  <c:v>26.507999999999999</c:v>
                </c:pt>
                <c:pt idx="48">
                  <c:v>27.071999999999999</c:v>
                </c:pt>
                <c:pt idx="49">
                  <c:v>27.635999999999999</c:v>
                </c:pt>
                <c:pt idx="50">
                  <c:v>28.2</c:v>
                </c:pt>
                <c:pt idx="51">
                  <c:v>28.763999999999999</c:v>
                </c:pt>
                <c:pt idx="52">
                  <c:v>29.327999999999999</c:v>
                </c:pt>
                <c:pt idx="53">
                  <c:v>29.891999999999999</c:v>
                </c:pt>
                <c:pt idx="54">
                  <c:v>30.456</c:v>
                </c:pt>
                <c:pt idx="55">
                  <c:v>31.02</c:v>
                </c:pt>
                <c:pt idx="56">
                  <c:v>31.584</c:v>
                </c:pt>
                <c:pt idx="57">
                  <c:v>32.148000000000003</c:v>
                </c:pt>
                <c:pt idx="58">
                  <c:v>32.712000000000003</c:v>
                </c:pt>
                <c:pt idx="59">
                  <c:v>33.276000000000003</c:v>
                </c:pt>
                <c:pt idx="60">
                  <c:v>33.840000000000003</c:v>
                </c:pt>
                <c:pt idx="61">
                  <c:v>34.404000000000003</c:v>
                </c:pt>
                <c:pt idx="62">
                  <c:v>34.968000000000004</c:v>
                </c:pt>
                <c:pt idx="63">
                  <c:v>35.531999999999996</c:v>
                </c:pt>
                <c:pt idx="64">
                  <c:v>36.095999999999997</c:v>
                </c:pt>
                <c:pt idx="65">
                  <c:v>36.659999999999997</c:v>
                </c:pt>
                <c:pt idx="66">
                  <c:v>37.223999999999997</c:v>
                </c:pt>
                <c:pt idx="67">
                  <c:v>37.787999999999997</c:v>
                </c:pt>
                <c:pt idx="68">
                  <c:v>38.351999999999997</c:v>
                </c:pt>
                <c:pt idx="69">
                  <c:v>38.915999999999997</c:v>
                </c:pt>
                <c:pt idx="70">
                  <c:v>39.479999999999997</c:v>
                </c:pt>
                <c:pt idx="71">
                  <c:v>40.043999999999997</c:v>
                </c:pt>
                <c:pt idx="72">
                  <c:v>40.607999999999997</c:v>
                </c:pt>
                <c:pt idx="73">
                  <c:v>41.171999999999997</c:v>
                </c:pt>
                <c:pt idx="74">
                  <c:v>41.735999999999997</c:v>
                </c:pt>
                <c:pt idx="75">
                  <c:v>42.3</c:v>
                </c:pt>
                <c:pt idx="76">
                  <c:v>42.863999999999997</c:v>
                </c:pt>
                <c:pt idx="77">
                  <c:v>43.427999999999997</c:v>
                </c:pt>
                <c:pt idx="78">
                  <c:v>43.991999999999997</c:v>
                </c:pt>
                <c:pt idx="79">
                  <c:v>44.555999999999997</c:v>
                </c:pt>
                <c:pt idx="80">
                  <c:v>45.12</c:v>
                </c:pt>
                <c:pt idx="81">
                  <c:v>45.683999999999997</c:v>
                </c:pt>
                <c:pt idx="82">
                  <c:v>46.247999999999998</c:v>
                </c:pt>
                <c:pt idx="83">
                  <c:v>46.811999999999998</c:v>
                </c:pt>
                <c:pt idx="84">
                  <c:v>47.375999999999998</c:v>
                </c:pt>
                <c:pt idx="85">
                  <c:v>47.94</c:v>
                </c:pt>
                <c:pt idx="86">
                  <c:v>48.503999999999998</c:v>
                </c:pt>
                <c:pt idx="87">
                  <c:v>49.067999999999998</c:v>
                </c:pt>
                <c:pt idx="88">
                  <c:v>49.631999999999998</c:v>
                </c:pt>
                <c:pt idx="89">
                  <c:v>50.195999999999998</c:v>
                </c:pt>
                <c:pt idx="90">
                  <c:v>50.76</c:v>
                </c:pt>
                <c:pt idx="91">
                  <c:v>51.323999999999998</c:v>
                </c:pt>
                <c:pt idx="92">
                  <c:v>51.887999999999998</c:v>
                </c:pt>
                <c:pt idx="93">
                  <c:v>52.451999999999998</c:v>
                </c:pt>
                <c:pt idx="94">
                  <c:v>53.015999999999998</c:v>
                </c:pt>
                <c:pt idx="95">
                  <c:v>53.58</c:v>
                </c:pt>
                <c:pt idx="96">
                  <c:v>54.143999999999998</c:v>
                </c:pt>
                <c:pt idx="97">
                  <c:v>54.707999999999998</c:v>
                </c:pt>
                <c:pt idx="98">
                  <c:v>55.271999999999998</c:v>
                </c:pt>
                <c:pt idx="99">
                  <c:v>55.835999999999999</c:v>
                </c:pt>
                <c:pt idx="100">
                  <c:v>56.4</c:v>
                </c:pt>
                <c:pt idx="101">
                  <c:v>56.963999999999999</c:v>
                </c:pt>
                <c:pt idx="102">
                  <c:v>57.527999999999999</c:v>
                </c:pt>
                <c:pt idx="103">
                  <c:v>58.091999999999999</c:v>
                </c:pt>
                <c:pt idx="104">
                  <c:v>58.655999999999999</c:v>
                </c:pt>
                <c:pt idx="105">
                  <c:v>59.22</c:v>
                </c:pt>
                <c:pt idx="106">
                  <c:v>59.783999999999999</c:v>
                </c:pt>
                <c:pt idx="107">
                  <c:v>60.347999999999999</c:v>
                </c:pt>
                <c:pt idx="108">
                  <c:v>60.911999999999999</c:v>
                </c:pt>
                <c:pt idx="109">
                  <c:v>61.475999999999999</c:v>
                </c:pt>
                <c:pt idx="110">
                  <c:v>62.04</c:v>
                </c:pt>
                <c:pt idx="111">
                  <c:v>62.603999999999999</c:v>
                </c:pt>
                <c:pt idx="112">
                  <c:v>63.167999999999999</c:v>
                </c:pt>
                <c:pt idx="113">
                  <c:v>63.731999999999999</c:v>
                </c:pt>
                <c:pt idx="114">
                  <c:v>64.296000000000006</c:v>
                </c:pt>
                <c:pt idx="115">
                  <c:v>64.86</c:v>
                </c:pt>
                <c:pt idx="116">
                  <c:v>65.424000000000007</c:v>
                </c:pt>
                <c:pt idx="117">
                  <c:v>65.988</c:v>
                </c:pt>
                <c:pt idx="118">
                  <c:v>66.552000000000007</c:v>
                </c:pt>
                <c:pt idx="119">
                  <c:v>67.116</c:v>
                </c:pt>
                <c:pt idx="120">
                  <c:v>67.680000000000007</c:v>
                </c:pt>
                <c:pt idx="121">
                  <c:v>68.244</c:v>
                </c:pt>
                <c:pt idx="122">
                  <c:v>68.808000000000007</c:v>
                </c:pt>
                <c:pt idx="123">
                  <c:v>69.372</c:v>
                </c:pt>
                <c:pt idx="124">
                  <c:v>69.936000000000007</c:v>
                </c:pt>
                <c:pt idx="125">
                  <c:v>70.5</c:v>
                </c:pt>
                <c:pt idx="126">
                  <c:v>71.063999999999993</c:v>
                </c:pt>
                <c:pt idx="127">
                  <c:v>71.628</c:v>
                </c:pt>
                <c:pt idx="128">
                  <c:v>72.191999999999993</c:v>
                </c:pt>
                <c:pt idx="129">
                  <c:v>72.756</c:v>
                </c:pt>
                <c:pt idx="130">
                  <c:v>73.319999999999993</c:v>
                </c:pt>
                <c:pt idx="131">
                  <c:v>73.884</c:v>
                </c:pt>
                <c:pt idx="132">
                  <c:v>74.447999999999993</c:v>
                </c:pt>
                <c:pt idx="133">
                  <c:v>75.012</c:v>
                </c:pt>
                <c:pt idx="134">
                  <c:v>75.575999999999993</c:v>
                </c:pt>
                <c:pt idx="135">
                  <c:v>76.14</c:v>
                </c:pt>
                <c:pt idx="136">
                  <c:v>76.703999999999994</c:v>
                </c:pt>
                <c:pt idx="137">
                  <c:v>77.268000000000001</c:v>
                </c:pt>
                <c:pt idx="138">
                  <c:v>77.831999999999994</c:v>
                </c:pt>
                <c:pt idx="139">
                  <c:v>78.396000000000001</c:v>
                </c:pt>
                <c:pt idx="140">
                  <c:v>78.959999999999994</c:v>
                </c:pt>
                <c:pt idx="141">
                  <c:v>79.524000000000001</c:v>
                </c:pt>
                <c:pt idx="142">
                  <c:v>80.087999999999994</c:v>
                </c:pt>
                <c:pt idx="143">
                  <c:v>80.652000000000001</c:v>
                </c:pt>
                <c:pt idx="144">
                  <c:v>81.215999999999994</c:v>
                </c:pt>
                <c:pt idx="145">
                  <c:v>81.78</c:v>
                </c:pt>
                <c:pt idx="146">
                  <c:v>82.343999999999994</c:v>
                </c:pt>
                <c:pt idx="147">
                  <c:v>82.908000000000001</c:v>
                </c:pt>
                <c:pt idx="148">
                  <c:v>83.471999999999994</c:v>
                </c:pt>
                <c:pt idx="149">
                  <c:v>84.036000000000001</c:v>
                </c:pt>
                <c:pt idx="150">
                  <c:v>84.6</c:v>
                </c:pt>
                <c:pt idx="151">
                  <c:v>85.164000000000001</c:v>
                </c:pt>
                <c:pt idx="152">
                  <c:v>85.727999999999994</c:v>
                </c:pt>
                <c:pt idx="153">
                  <c:v>86.292000000000002</c:v>
                </c:pt>
                <c:pt idx="154">
                  <c:v>86.855999999999995</c:v>
                </c:pt>
                <c:pt idx="155">
                  <c:v>87.42</c:v>
                </c:pt>
                <c:pt idx="156">
                  <c:v>87.983999999999995</c:v>
                </c:pt>
                <c:pt idx="157">
                  <c:v>88.548000000000002</c:v>
                </c:pt>
                <c:pt idx="158">
                  <c:v>89.111999999999995</c:v>
                </c:pt>
                <c:pt idx="159">
                  <c:v>89.676000000000002</c:v>
                </c:pt>
                <c:pt idx="160">
                  <c:v>90.24</c:v>
                </c:pt>
                <c:pt idx="161">
                  <c:v>90.804000000000002</c:v>
                </c:pt>
                <c:pt idx="162">
                  <c:v>91.367999999999995</c:v>
                </c:pt>
                <c:pt idx="163">
                  <c:v>91.932000000000002</c:v>
                </c:pt>
                <c:pt idx="164">
                  <c:v>92.495999999999995</c:v>
                </c:pt>
                <c:pt idx="165">
                  <c:v>93.06</c:v>
                </c:pt>
                <c:pt idx="166">
                  <c:v>93.623999999999995</c:v>
                </c:pt>
                <c:pt idx="167">
                  <c:v>94.188000000000002</c:v>
                </c:pt>
                <c:pt idx="168">
                  <c:v>94.751999999999995</c:v>
                </c:pt>
                <c:pt idx="169">
                  <c:v>95.316000000000003</c:v>
                </c:pt>
                <c:pt idx="170">
                  <c:v>95.88</c:v>
                </c:pt>
                <c:pt idx="171">
                  <c:v>96.444000000000003</c:v>
                </c:pt>
                <c:pt idx="172">
                  <c:v>97.007999999999996</c:v>
                </c:pt>
                <c:pt idx="173">
                  <c:v>97.572000000000003</c:v>
                </c:pt>
                <c:pt idx="174">
                  <c:v>98.135999999999996</c:v>
                </c:pt>
                <c:pt idx="175">
                  <c:v>98.7</c:v>
                </c:pt>
                <c:pt idx="176">
                  <c:v>99.263999999999996</c:v>
                </c:pt>
                <c:pt idx="177">
                  <c:v>99.828000000000003</c:v>
                </c:pt>
                <c:pt idx="178">
                  <c:v>100.392</c:v>
                </c:pt>
                <c:pt idx="179">
                  <c:v>100.956</c:v>
                </c:pt>
                <c:pt idx="180">
                  <c:v>101.52</c:v>
                </c:pt>
                <c:pt idx="181">
                  <c:v>102.084</c:v>
                </c:pt>
                <c:pt idx="182">
                  <c:v>102.648</c:v>
                </c:pt>
                <c:pt idx="183">
                  <c:v>103.212</c:v>
                </c:pt>
                <c:pt idx="184">
                  <c:v>103.776</c:v>
                </c:pt>
                <c:pt idx="185">
                  <c:v>104.34</c:v>
                </c:pt>
                <c:pt idx="186">
                  <c:v>104.904</c:v>
                </c:pt>
                <c:pt idx="187">
                  <c:v>105.468</c:v>
                </c:pt>
                <c:pt idx="188">
                  <c:v>106.032</c:v>
                </c:pt>
                <c:pt idx="189">
                  <c:v>106.596</c:v>
                </c:pt>
                <c:pt idx="190">
                  <c:v>107.16</c:v>
                </c:pt>
                <c:pt idx="191">
                  <c:v>107.724</c:v>
                </c:pt>
                <c:pt idx="192">
                  <c:v>108.288</c:v>
                </c:pt>
                <c:pt idx="193">
                  <c:v>108.852</c:v>
                </c:pt>
                <c:pt idx="194">
                  <c:v>109.416</c:v>
                </c:pt>
                <c:pt idx="195">
                  <c:v>109.98</c:v>
                </c:pt>
                <c:pt idx="196">
                  <c:v>110.544</c:v>
                </c:pt>
                <c:pt idx="197">
                  <c:v>111.108</c:v>
                </c:pt>
                <c:pt idx="198">
                  <c:v>111.672</c:v>
                </c:pt>
                <c:pt idx="199">
                  <c:v>112.236</c:v>
                </c:pt>
                <c:pt idx="200">
                  <c:v>112.8</c:v>
                </c:pt>
                <c:pt idx="201">
                  <c:v>113.364</c:v>
                </c:pt>
                <c:pt idx="202">
                  <c:v>113.928</c:v>
                </c:pt>
                <c:pt idx="203">
                  <c:v>114.492</c:v>
                </c:pt>
                <c:pt idx="204">
                  <c:v>115.056</c:v>
                </c:pt>
                <c:pt idx="205">
                  <c:v>115.62</c:v>
                </c:pt>
                <c:pt idx="206">
                  <c:v>116.184</c:v>
                </c:pt>
                <c:pt idx="207">
                  <c:v>116.748</c:v>
                </c:pt>
                <c:pt idx="208">
                  <c:v>117.312</c:v>
                </c:pt>
                <c:pt idx="209">
                  <c:v>117.876</c:v>
                </c:pt>
                <c:pt idx="210">
                  <c:v>118.44</c:v>
                </c:pt>
                <c:pt idx="211">
                  <c:v>119.004</c:v>
                </c:pt>
                <c:pt idx="212">
                  <c:v>119.568</c:v>
                </c:pt>
                <c:pt idx="213">
                  <c:v>120.13200000000001</c:v>
                </c:pt>
                <c:pt idx="214">
                  <c:v>120.696</c:v>
                </c:pt>
                <c:pt idx="215">
                  <c:v>121.26</c:v>
                </c:pt>
                <c:pt idx="216">
                  <c:v>121.824</c:v>
                </c:pt>
                <c:pt idx="217">
                  <c:v>122.38800000000001</c:v>
                </c:pt>
                <c:pt idx="218">
                  <c:v>122.952</c:v>
                </c:pt>
                <c:pt idx="219">
                  <c:v>123.51600000000001</c:v>
                </c:pt>
                <c:pt idx="220">
                  <c:v>124.08</c:v>
                </c:pt>
                <c:pt idx="221">
                  <c:v>124.64400000000001</c:v>
                </c:pt>
                <c:pt idx="222">
                  <c:v>125.208</c:v>
                </c:pt>
                <c:pt idx="223">
                  <c:v>125.77200000000001</c:v>
                </c:pt>
                <c:pt idx="224">
                  <c:v>126.336</c:v>
                </c:pt>
                <c:pt idx="225">
                  <c:v>126.9</c:v>
                </c:pt>
                <c:pt idx="226">
                  <c:v>127.464</c:v>
                </c:pt>
                <c:pt idx="227">
                  <c:v>128.02799999999999</c:v>
                </c:pt>
                <c:pt idx="228">
                  <c:v>128.59200000000001</c:v>
                </c:pt>
                <c:pt idx="229">
                  <c:v>129.15600000000001</c:v>
                </c:pt>
                <c:pt idx="230">
                  <c:v>129.72</c:v>
                </c:pt>
                <c:pt idx="231">
                  <c:v>130.28399999999999</c:v>
                </c:pt>
                <c:pt idx="232">
                  <c:v>130.84800000000001</c:v>
                </c:pt>
                <c:pt idx="233">
                  <c:v>131.41200000000001</c:v>
                </c:pt>
                <c:pt idx="234">
                  <c:v>131.976</c:v>
                </c:pt>
                <c:pt idx="235">
                  <c:v>132.54</c:v>
                </c:pt>
                <c:pt idx="236">
                  <c:v>133.10400000000001</c:v>
                </c:pt>
                <c:pt idx="237">
                  <c:v>133.66800000000001</c:v>
                </c:pt>
                <c:pt idx="238">
                  <c:v>134.232</c:v>
                </c:pt>
                <c:pt idx="239">
                  <c:v>134.79599999999999</c:v>
                </c:pt>
                <c:pt idx="240">
                  <c:v>135.36000000000001</c:v>
                </c:pt>
                <c:pt idx="241">
                  <c:v>135.92400000000001</c:v>
                </c:pt>
                <c:pt idx="242">
                  <c:v>136.488</c:v>
                </c:pt>
                <c:pt idx="243">
                  <c:v>137.05199999999999</c:v>
                </c:pt>
                <c:pt idx="244">
                  <c:v>137.61600000000001</c:v>
                </c:pt>
                <c:pt idx="245">
                  <c:v>138.18</c:v>
                </c:pt>
                <c:pt idx="246">
                  <c:v>138.744</c:v>
                </c:pt>
                <c:pt idx="247">
                  <c:v>139.30799999999999</c:v>
                </c:pt>
                <c:pt idx="248">
                  <c:v>139.87200000000001</c:v>
                </c:pt>
                <c:pt idx="249">
                  <c:v>140.43600000000001</c:v>
                </c:pt>
                <c:pt idx="250">
                  <c:v>141</c:v>
                </c:pt>
                <c:pt idx="251">
                  <c:v>141.56399999999999</c:v>
                </c:pt>
                <c:pt idx="252">
                  <c:v>142.12799999999999</c:v>
                </c:pt>
                <c:pt idx="253">
                  <c:v>142.69200000000001</c:v>
                </c:pt>
                <c:pt idx="254">
                  <c:v>143.256</c:v>
                </c:pt>
                <c:pt idx="255">
                  <c:v>143.82</c:v>
                </c:pt>
                <c:pt idx="256">
                  <c:v>144.38399999999999</c:v>
                </c:pt>
                <c:pt idx="257">
                  <c:v>144.94800000000001</c:v>
                </c:pt>
                <c:pt idx="258">
                  <c:v>145.512</c:v>
                </c:pt>
                <c:pt idx="259">
                  <c:v>146.07599999999999</c:v>
                </c:pt>
                <c:pt idx="260">
                  <c:v>146.63999999999999</c:v>
                </c:pt>
                <c:pt idx="261">
                  <c:v>147.20400000000001</c:v>
                </c:pt>
                <c:pt idx="262">
                  <c:v>147.768</c:v>
                </c:pt>
                <c:pt idx="263">
                  <c:v>148.33199999999999</c:v>
                </c:pt>
                <c:pt idx="264">
                  <c:v>148.89599999999999</c:v>
                </c:pt>
                <c:pt idx="265">
                  <c:v>149.46</c:v>
                </c:pt>
                <c:pt idx="266">
                  <c:v>150.024</c:v>
                </c:pt>
                <c:pt idx="267">
                  <c:v>150.58799999999999</c:v>
                </c:pt>
                <c:pt idx="268">
                  <c:v>151.15199999999999</c:v>
                </c:pt>
                <c:pt idx="269">
                  <c:v>151.71600000000001</c:v>
                </c:pt>
                <c:pt idx="270">
                  <c:v>152.28</c:v>
                </c:pt>
                <c:pt idx="271">
                  <c:v>152.84399999999999</c:v>
                </c:pt>
                <c:pt idx="272">
                  <c:v>153.40799999999999</c:v>
                </c:pt>
                <c:pt idx="273">
                  <c:v>153.97200000000001</c:v>
                </c:pt>
                <c:pt idx="274">
                  <c:v>154.536</c:v>
                </c:pt>
                <c:pt idx="275">
                  <c:v>155.1</c:v>
                </c:pt>
                <c:pt idx="276">
                  <c:v>155.66399999999999</c:v>
                </c:pt>
                <c:pt idx="277">
                  <c:v>156.22800000000001</c:v>
                </c:pt>
                <c:pt idx="278">
                  <c:v>156.792</c:v>
                </c:pt>
                <c:pt idx="279">
                  <c:v>157.35599999999999</c:v>
                </c:pt>
                <c:pt idx="280">
                  <c:v>157.91999999999999</c:v>
                </c:pt>
                <c:pt idx="281">
                  <c:v>158.48400000000001</c:v>
                </c:pt>
                <c:pt idx="282">
                  <c:v>159.048</c:v>
                </c:pt>
                <c:pt idx="283">
                  <c:v>159.61199999999999</c:v>
                </c:pt>
                <c:pt idx="284">
                  <c:v>160.17599999999999</c:v>
                </c:pt>
                <c:pt idx="285">
                  <c:v>160.74</c:v>
                </c:pt>
                <c:pt idx="286">
                  <c:v>161.304</c:v>
                </c:pt>
                <c:pt idx="287">
                  <c:v>161.86799999999999</c:v>
                </c:pt>
                <c:pt idx="288">
                  <c:v>162.43199999999999</c:v>
                </c:pt>
                <c:pt idx="289">
                  <c:v>162.99600000000001</c:v>
                </c:pt>
                <c:pt idx="290">
                  <c:v>163.56</c:v>
                </c:pt>
                <c:pt idx="291">
                  <c:v>164.124</c:v>
                </c:pt>
                <c:pt idx="292">
                  <c:v>164.68799999999999</c:v>
                </c:pt>
                <c:pt idx="293">
                  <c:v>165.25200000000001</c:v>
                </c:pt>
                <c:pt idx="294">
                  <c:v>165.816</c:v>
                </c:pt>
                <c:pt idx="295">
                  <c:v>166.38</c:v>
                </c:pt>
                <c:pt idx="296">
                  <c:v>166.94399999999999</c:v>
                </c:pt>
                <c:pt idx="297">
                  <c:v>167.50800000000001</c:v>
                </c:pt>
                <c:pt idx="298">
                  <c:v>168.072</c:v>
                </c:pt>
                <c:pt idx="299">
                  <c:v>168.636</c:v>
                </c:pt>
                <c:pt idx="300">
                  <c:v>169.2</c:v>
                </c:pt>
                <c:pt idx="301">
                  <c:v>169.76400000000001</c:v>
                </c:pt>
                <c:pt idx="302">
                  <c:v>170.328</c:v>
                </c:pt>
                <c:pt idx="303">
                  <c:v>170.892</c:v>
                </c:pt>
                <c:pt idx="304">
                  <c:v>171.45599999999999</c:v>
                </c:pt>
                <c:pt idx="305">
                  <c:v>172.02</c:v>
                </c:pt>
                <c:pt idx="306">
                  <c:v>172.584</c:v>
                </c:pt>
                <c:pt idx="307">
                  <c:v>173.148</c:v>
                </c:pt>
                <c:pt idx="308">
                  <c:v>173.71199999999999</c:v>
                </c:pt>
                <c:pt idx="309">
                  <c:v>174.27600000000001</c:v>
                </c:pt>
                <c:pt idx="310">
                  <c:v>174.84</c:v>
                </c:pt>
                <c:pt idx="311">
                  <c:v>175.404</c:v>
                </c:pt>
                <c:pt idx="312">
                  <c:v>175.96799999999999</c:v>
                </c:pt>
                <c:pt idx="313">
                  <c:v>176.53200000000001</c:v>
                </c:pt>
                <c:pt idx="314">
                  <c:v>177.096</c:v>
                </c:pt>
                <c:pt idx="315">
                  <c:v>177.66</c:v>
                </c:pt>
                <c:pt idx="316">
                  <c:v>178.22399999999999</c:v>
                </c:pt>
                <c:pt idx="317">
                  <c:v>178.78800000000001</c:v>
                </c:pt>
                <c:pt idx="318">
                  <c:v>179.352</c:v>
                </c:pt>
                <c:pt idx="319">
                  <c:v>179.916</c:v>
                </c:pt>
                <c:pt idx="320">
                  <c:v>180.48</c:v>
                </c:pt>
                <c:pt idx="321">
                  <c:v>181.04400000000001</c:v>
                </c:pt>
                <c:pt idx="322">
                  <c:v>181.608</c:v>
                </c:pt>
                <c:pt idx="323">
                  <c:v>182.172</c:v>
                </c:pt>
                <c:pt idx="324">
                  <c:v>182.73599999999999</c:v>
                </c:pt>
                <c:pt idx="325">
                  <c:v>183.3</c:v>
                </c:pt>
                <c:pt idx="326">
                  <c:v>183.864</c:v>
                </c:pt>
                <c:pt idx="327">
                  <c:v>184.428</c:v>
                </c:pt>
                <c:pt idx="328">
                  <c:v>184.99199999999999</c:v>
                </c:pt>
                <c:pt idx="329">
                  <c:v>185.55600000000001</c:v>
                </c:pt>
                <c:pt idx="330">
                  <c:v>186.12</c:v>
                </c:pt>
                <c:pt idx="331">
                  <c:v>186.684</c:v>
                </c:pt>
                <c:pt idx="332">
                  <c:v>187.24799999999999</c:v>
                </c:pt>
                <c:pt idx="333">
                  <c:v>187.81200000000001</c:v>
                </c:pt>
                <c:pt idx="334">
                  <c:v>188.376</c:v>
                </c:pt>
                <c:pt idx="335">
                  <c:v>188.94</c:v>
                </c:pt>
                <c:pt idx="336">
                  <c:v>189.50399999999999</c:v>
                </c:pt>
                <c:pt idx="337">
                  <c:v>190.06800000000001</c:v>
                </c:pt>
                <c:pt idx="338">
                  <c:v>190.63200000000001</c:v>
                </c:pt>
                <c:pt idx="339">
                  <c:v>191.196</c:v>
                </c:pt>
                <c:pt idx="340">
                  <c:v>191.76</c:v>
                </c:pt>
                <c:pt idx="341">
                  <c:v>192.32400000000001</c:v>
                </c:pt>
                <c:pt idx="342">
                  <c:v>192.88800000000001</c:v>
                </c:pt>
                <c:pt idx="343">
                  <c:v>193.452</c:v>
                </c:pt>
                <c:pt idx="344">
                  <c:v>194.01599999999999</c:v>
                </c:pt>
                <c:pt idx="345">
                  <c:v>194.58</c:v>
                </c:pt>
                <c:pt idx="346">
                  <c:v>195.14400000000001</c:v>
                </c:pt>
                <c:pt idx="347">
                  <c:v>195.708</c:v>
                </c:pt>
                <c:pt idx="348">
                  <c:v>196.27199999999999</c:v>
                </c:pt>
                <c:pt idx="349">
                  <c:v>196.83600000000001</c:v>
                </c:pt>
                <c:pt idx="350">
                  <c:v>197.4</c:v>
                </c:pt>
                <c:pt idx="351">
                  <c:v>197.964</c:v>
                </c:pt>
                <c:pt idx="352">
                  <c:v>198.52799999999999</c:v>
                </c:pt>
                <c:pt idx="353">
                  <c:v>199.09200000000001</c:v>
                </c:pt>
                <c:pt idx="354">
                  <c:v>199.65600000000001</c:v>
                </c:pt>
                <c:pt idx="355">
                  <c:v>200.22</c:v>
                </c:pt>
                <c:pt idx="356">
                  <c:v>200.78399999999999</c:v>
                </c:pt>
                <c:pt idx="357">
                  <c:v>201.34800000000001</c:v>
                </c:pt>
                <c:pt idx="358">
                  <c:v>201.91200000000001</c:v>
                </c:pt>
                <c:pt idx="359">
                  <c:v>202.476</c:v>
                </c:pt>
                <c:pt idx="360">
                  <c:v>203.04</c:v>
                </c:pt>
                <c:pt idx="361">
                  <c:v>203.60400000000001</c:v>
                </c:pt>
                <c:pt idx="362">
                  <c:v>204.16800000000001</c:v>
                </c:pt>
                <c:pt idx="363">
                  <c:v>204.732</c:v>
                </c:pt>
                <c:pt idx="364">
                  <c:v>205.29599999999999</c:v>
                </c:pt>
                <c:pt idx="365">
                  <c:v>205.86</c:v>
                </c:pt>
                <c:pt idx="366">
                  <c:v>206.42400000000001</c:v>
                </c:pt>
                <c:pt idx="367">
                  <c:v>206.988</c:v>
                </c:pt>
                <c:pt idx="368">
                  <c:v>207.55199999999999</c:v>
                </c:pt>
                <c:pt idx="369">
                  <c:v>208.11600000000001</c:v>
                </c:pt>
                <c:pt idx="370">
                  <c:v>208.68</c:v>
                </c:pt>
                <c:pt idx="371">
                  <c:v>209.244</c:v>
                </c:pt>
                <c:pt idx="372">
                  <c:v>209.80799999999999</c:v>
                </c:pt>
                <c:pt idx="373">
                  <c:v>210.37200000000001</c:v>
                </c:pt>
                <c:pt idx="374">
                  <c:v>210.93600000000001</c:v>
                </c:pt>
                <c:pt idx="375">
                  <c:v>211.5</c:v>
                </c:pt>
                <c:pt idx="376">
                  <c:v>212.06399999999999</c:v>
                </c:pt>
                <c:pt idx="377">
                  <c:v>212.62799999999999</c:v>
                </c:pt>
                <c:pt idx="378">
                  <c:v>213.19200000000001</c:v>
                </c:pt>
                <c:pt idx="379">
                  <c:v>213.756</c:v>
                </c:pt>
                <c:pt idx="380">
                  <c:v>214.32</c:v>
                </c:pt>
                <c:pt idx="381">
                  <c:v>214.88399999999999</c:v>
                </c:pt>
                <c:pt idx="382">
                  <c:v>215.44800000000001</c:v>
                </c:pt>
                <c:pt idx="383">
                  <c:v>216.012</c:v>
                </c:pt>
                <c:pt idx="384">
                  <c:v>216.57599999999999</c:v>
                </c:pt>
                <c:pt idx="385">
                  <c:v>217.14</c:v>
                </c:pt>
                <c:pt idx="386">
                  <c:v>217.70400000000001</c:v>
                </c:pt>
                <c:pt idx="387">
                  <c:v>218.268</c:v>
                </c:pt>
                <c:pt idx="388">
                  <c:v>218.83199999999999</c:v>
                </c:pt>
                <c:pt idx="389">
                  <c:v>219.39599999999999</c:v>
                </c:pt>
                <c:pt idx="390">
                  <c:v>219.96</c:v>
                </c:pt>
                <c:pt idx="391">
                  <c:v>220.524</c:v>
                </c:pt>
                <c:pt idx="392">
                  <c:v>221.08799999999999</c:v>
                </c:pt>
                <c:pt idx="393">
                  <c:v>221.65199999999999</c:v>
                </c:pt>
                <c:pt idx="394">
                  <c:v>222.21600000000001</c:v>
                </c:pt>
                <c:pt idx="395">
                  <c:v>222.78</c:v>
                </c:pt>
                <c:pt idx="396">
                  <c:v>223.34399999999999</c:v>
                </c:pt>
                <c:pt idx="397">
                  <c:v>223.90799999999999</c:v>
                </c:pt>
                <c:pt idx="398">
                  <c:v>224.47200000000001</c:v>
                </c:pt>
                <c:pt idx="399">
                  <c:v>225.036</c:v>
                </c:pt>
                <c:pt idx="400">
                  <c:v>225.6</c:v>
                </c:pt>
                <c:pt idx="401">
                  <c:v>226.16399999999999</c:v>
                </c:pt>
                <c:pt idx="402">
                  <c:v>226.72800000000001</c:v>
                </c:pt>
                <c:pt idx="403">
                  <c:v>227.292</c:v>
                </c:pt>
                <c:pt idx="404">
                  <c:v>227.85599999999999</c:v>
                </c:pt>
                <c:pt idx="405">
                  <c:v>228.42</c:v>
                </c:pt>
                <c:pt idx="406">
                  <c:v>228.98400000000001</c:v>
                </c:pt>
                <c:pt idx="407">
                  <c:v>229.548</c:v>
                </c:pt>
                <c:pt idx="408">
                  <c:v>230.11199999999999</c:v>
                </c:pt>
                <c:pt idx="409">
                  <c:v>230.67599999999999</c:v>
                </c:pt>
                <c:pt idx="410">
                  <c:v>231.24</c:v>
                </c:pt>
                <c:pt idx="411">
                  <c:v>231.804</c:v>
                </c:pt>
                <c:pt idx="412">
                  <c:v>232.36799999999999</c:v>
                </c:pt>
                <c:pt idx="413">
                  <c:v>232.93199999999999</c:v>
                </c:pt>
                <c:pt idx="414">
                  <c:v>233.49600000000001</c:v>
                </c:pt>
                <c:pt idx="415">
                  <c:v>234.06</c:v>
                </c:pt>
                <c:pt idx="416">
                  <c:v>234.624</c:v>
                </c:pt>
                <c:pt idx="417">
                  <c:v>235.18799999999999</c:v>
                </c:pt>
                <c:pt idx="418">
                  <c:v>235.75200000000001</c:v>
                </c:pt>
                <c:pt idx="419">
                  <c:v>236.316</c:v>
                </c:pt>
                <c:pt idx="420">
                  <c:v>236.88</c:v>
                </c:pt>
                <c:pt idx="421">
                  <c:v>237.44399999999999</c:v>
                </c:pt>
                <c:pt idx="422">
                  <c:v>238.00800000000001</c:v>
                </c:pt>
                <c:pt idx="423">
                  <c:v>238.572</c:v>
                </c:pt>
                <c:pt idx="424">
                  <c:v>239.136</c:v>
                </c:pt>
                <c:pt idx="425">
                  <c:v>239.7</c:v>
                </c:pt>
                <c:pt idx="426">
                  <c:v>240.26400000000001</c:v>
                </c:pt>
                <c:pt idx="427">
                  <c:v>240.828</c:v>
                </c:pt>
                <c:pt idx="428">
                  <c:v>241.392</c:v>
                </c:pt>
                <c:pt idx="429">
                  <c:v>241.95599999999999</c:v>
                </c:pt>
                <c:pt idx="430">
                  <c:v>242.52</c:v>
                </c:pt>
                <c:pt idx="431">
                  <c:v>243.084</c:v>
                </c:pt>
                <c:pt idx="432">
                  <c:v>243.648</c:v>
                </c:pt>
                <c:pt idx="433">
                  <c:v>244.21199999999999</c:v>
                </c:pt>
                <c:pt idx="434">
                  <c:v>244.77600000000001</c:v>
                </c:pt>
                <c:pt idx="435">
                  <c:v>245.34</c:v>
                </c:pt>
                <c:pt idx="436">
                  <c:v>245.904</c:v>
                </c:pt>
                <c:pt idx="437">
                  <c:v>246.46799999999999</c:v>
                </c:pt>
                <c:pt idx="438">
                  <c:v>247.03200000000001</c:v>
                </c:pt>
                <c:pt idx="439">
                  <c:v>247.596</c:v>
                </c:pt>
                <c:pt idx="440">
                  <c:v>248.16</c:v>
                </c:pt>
                <c:pt idx="441">
                  <c:v>248.72399999999999</c:v>
                </c:pt>
                <c:pt idx="442">
                  <c:v>249.28800000000001</c:v>
                </c:pt>
                <c:pt idx="443">
                  <c:v>249.852</c:v>
                </c:pt>
                <c:pt idx="444">
                  <c:v>250.416</c:v>
                </c:pt>
                <c:pt idx="445">
                  <c:v>250.98</c:v>
                </c:pt>
                <c:pt idx="446">
                  <c:v>251.54400000000001</c:v>
                </c:pt>
                <c:pt idx="447">
                  <c:v>252.108</c:v>
                </c:pt>
                <c:pt idx="448">
                  <c:v>252.672</c:v>
                </c:pt>
                <c:pt idx="449">
                  <c:v>253.23599999999999</c:v>
                </c:pt>
                <c:pt idx="450">
                  <c:v>253.8</c:v>
                </c:pt>
                <c:pt idx="451">
                  <c:v>254.364</c:v>
                </c:pt>
                <c:pt idx="452">
                  <c:v>254.928</c:v>
                </c:pt>
                <c:pt idx="453">
                  <c:v>255.49199999999999</c:v>
                </c:pt>
                <c:pt idx="454">
                  <c:v>256.05599999999998</c:v>
                </c:pt>
                <c:pt idx="455">
                  <c:v>256.62</c:v>
                </c:pt>
                <c:pt idx="456">
                  <c:v>257.18400000000003</c:v>
                </c:pt>
                <c:pt idx="457">
                  <c:v>257.74799999999999</c:v>
                </c:pt>
                <c:pt idx="458">
                  <c:v>258.31200000000001</c:v>
                </c:pt>
                <c:pt idx="459">
                  <c:v>258.87599999999998</c:v>
                </c:pt>
                <c:pt idx="460">
                  <c:v>259.44</c:v>
                </c:pt>
                <c:pt idx="461">
                  <c:v>260.00400000000002</c:v>
                </c:pt>
                <c:pt idx="462">
                  <c:v>260.56799999999998</c:v>
                </c:pt>
                <c:pt idx="463">
                  <c:v>261.13200000000001</c:v>
                </c:pt>
                <c:pt idx="464">
                  <c:v>261.69600000000003</c:v>
                </c:pt>
                <c:pt idx="465">
                  <c:v>262.26</c:v>
                </c:pt>
                <c:pt idx="466">
                  <c:v>262.82400000000001</c:v>
                </c:pt>
                <c:pt idx="467">
                  <c:v>263.38799999999998</c:v>
                </c:pt>
                <c:pt idx="468">
                  <c:v>263.952</c:v>
                </c:pt>
                <c:pt idx="469">
                  <c:v>264.51600000000002</c:v>
                </c:pt>
                <c:pt idx="470">
                  <c:v>265.08</c:v>
                </c:pt>
                <c:pt idx="471">
                  <c:v>265.64400000000001</c:v>
                </c:pt>
                <c:pt idx="472">
                  <c:v>266.20800000000003</c:v>
                </c:pt>
                <c:pt idx="473">
                  <c:v>266.77199999999999</c:v>
                </c:pt>
                <c:pt idx="474">
                  <c:v>267.33600000000001</c:v>
                </c:pt>
                <c:pt idx="475">
                  <c:v>267.89999999999998</c:v>
                </c:pt>
                <c:pt idx="476">
                  <c:v>268.464</c:v>
                </c:pt>
                <c:pt idx="477">
                  <c:v>269.02800000000002</c:v>
                </c:pt>
                <c:pt idx="478">
                  <c:v>269.59199999999998</c:v>
                </c:pt>
                <c:pt idx="479">
                  <c:v>270.15600000000001</c:v>
                </c:pt>
                <c:pt idx="480">
                  <c:v>270.72000000000003</c:v>
                </c:pt>
                <c:pt idx="481">
                  <c:v>271.28399999999999</c:v>
                </c:pt>
                <c:pt idx="482">
                  <c:v>271.84800000000001</c:v>
                </c:pt>
                <c:pt idx="483">
                  <c:v>272.41199999999998</c:v>
                </c:pt>
                <c:pt idx="484">
                  <c:v>272.976</c:v>
                </c:pt>
                <c:pt idx="485">
                  <c:v>273.54000000000002</c:v>
                </c:pt>
                <c:pt idx="486">
                  <c:v>274.10399999999998</c:v>
                </c:pt>
                <c:pt idx="487">
                  <c:v>274.66800000000001</c:v>
                </c:pt>
                <c:pt idx="488">
                  <c:v>275.23200000000003</c:v>
                </c:pt>
                <c:pt idx="489">
                  <c:v>275.79599999999999</c:v>
                </c:pt>
                <c:pt idx="490">
                  <c:v>276.36</c:v>
                </c:pt>
                <c:pt idx="491">
                  <c:v>276.92399999999998</c:v>
                </c:pt>
                <c:pt idx="492">
                  <c:v>277.488</c:v>
                </c:pt>
                <c:pt idx="493">
                  <c:v>278.05200000000002</c:v>
                </c:pt>
                <c:pt idx="494">
                  <c:v>278.61599999999999</c:v>
                </c:pt>
                <c:pt idx="495">
                  <c:v>279.18</c:v>
                </c:pt>
                <c:pt idx="496">
                  <c:v>279.74400000000003</c:v>
                </c:pt>
                <c:pt idx="497">
                  <c:v>280.30799999999999</c:v>
                </c:pt>
                <c:pt idx="498">
                  <c:v>280.87200000000001</c:v>
                </c:pt>
                <c:pt idx="499">
                  <c:v>281.43599999999998</c:v>
                </c:pt>
                <c:pt idx="500">
                  <c:v>282</c:v>
                </c:pt>
                <c:pt idx="501">
                  <c:v>282.56400000000002</c:v>
                </c:pt>
                <c:pt idx="502">
                  <c:v>283.12799999999999</c:v>
                </c:pt>
                <c:pt idx="503">
                  <c:v>283.69200000000001</c:v>
                </c:pt>
                <c:pt idx="504">
                  <c:v>284.25599999999997</c:v>
                </c:pt>
                <c:pt idx="505">
                  <c:v>284.82</c:v>
                </c:pt>
                <c:pt idx="506">
                  <c:v>285.38400000000001</c:v>
                </c:pt>
                <c:pt idx="507">
                  <c:v>285.94799999999998</c:v>
                </c:pt>
                <c:pt idx="508">
                  <c:v>286.512</c:v>
                </c:pt>
                <c:pt idx="509">
                  <c:v>287.07600000000002</c:v>
                </c:pt>
                <c:pt idx="510">
                  <c:v>287.64</c:v>
                </c:pt>
                <c:pt idx="511">
                  <c:v>288.20400000000001</c:v>
                </c:pt>
                <c:pt idx="512">
                  <c:v>288.76799999999997</c:v>
                </c:pt>
                <c:pt idx="513">
                  <c:v>289.33199999999999</c:v>
                </c:pt>
                <c:pt idx="514">
                  <c:v>289.89600000000002</c:v>
                </c:pt>
                <c:pt idx="515">
                  <c:v>290.45999999999998</c:v>
                </c:pt>
                <c:pt idx="516">
                  <c:v>291.024</c:v>
                </c:pt>
                <c:pt idx="517">
                  <c:v>291.58800000000002</c:v>
                </c:pt>
                <c:pt idx="518">
                  <c:v>292.15199999999999</c:v>
                </c:pt>
                <c:pt idx="519">
                  <c:v>292.71600000000001</c:v>
                </c:pt>
                <c:pt idx="520">
                  <c:v>293.27999999999997</c:v>
                </c:pt>
                <c:pt idx="521">
                  <c:v>293.84399999999999</c:v>
                </c:pt>
                <c:pt idx="522">
                  <c:v>294.40800000000002</c:v>
                </c:pt>
                <c:pt idx="523">
                  <c:v>294.97199999999998</c:v>
                </c:pt>
                <c:pt idx="524">
                  <c:v>295.536</c:v>
                </c:pt>
                <c:pt idx="525">
                  <c:v>296.10000000000002</c:v>
                </c:pt>
                <c:pt idx="526">
                  <c:v>296.66399999999999</c:v>
                </c:pt>
                <c:pt idx="527">
                  <c:v>297.22800000000001</c:v>
                </c:pt>
                <c:pt idx="528">
                  <c:v>297.79199999999997</c:v>
                </c:pt>
                <c:pt idx="529">
                  <c:v>298.35599999999999</c:v>
                </c:pt>
                <c:pt idx="530">
                  <c:v>298.92</c:v>
                </c:pt>
                <c:pt idx="531">
                  <c:v>299.48399999999998</c:v>
                </c:pt>
                <c:pt idx="532">
                  <c:v>300.048</c:v>
                </c:pt>
                <c:pt idx="533">
                  <c:v>300.61200000000002</c:v>
                </c:pt>
                <c:pt idx="534">
                  <c:v>301.17599999999999</c:v>
                </c:pt>
                <c:pt idx="535">
                  <c:v>301.74</c:v>
                </c:pt>
                <c:pt idx="536">
                  <c:v>302.30399999999997</c:v>
                </c:pt>
                <c:pt idx="537">
                  <c:v>302.86799999999999</c:v>
                </c:pt>
                <c:pt idx="538">
                  <c:v>303.43200000000002</c:v>
                </c:pt>
                <c:pt idx="539">
                  <c:v>303.99599999999998</c:v>
                </c:pt>
                <c:pt idx="540">
                  <c:v>304.56</c:v>
                </c:pt>
                <c:pt idx="541">
                  <c:v>305.12400000000002</c:v>
                </c:pt>
                <c:pt idx="542">
                  <c:v>305.68799999999999</c:v>
                </c:pt>
                <c:pt idx="543">
                  <c:v>306.25200000000001</c:v>
                </c:pt>
                <c:pt idx="544">
                  <c:v>306.81599999999997</c:v>
                </c:pt>
                <c:pt idx="545">
                  <c:v>307.38</c:v>
                </c:pt>
                <c:pt idx="546">
                  <c:v>307.94400000000002</c:v>
                </c:pt>
                <c:pt idx="547">
                  <c:v>308.50799999999998</c:v>
                </c:pt>
                <c:pt idx="548">
                  <c:v>309.072</c:v>
                </c:pt>
                <c:pt idx="549">
                  <c:v>309.63600000000002</c:v>
                </c:pt>
                <c:pt idx="550">
                  <c:v>310.2</c:v>
                </c:pt>
                <c:pt idx="551">
                  <c:v>310.76400000000001</c:v>
                </c:pt>
                <c:pt idx="552">
                  <c:v>311.32799999999997</c:v>
                </c:pt>
                <c:pt idx="553">
                  <c:v>311.892</c:v>
                </c:pt>
                <c:pt idx="554">
                  <c:v>312.45600000000002</c:v>
                </c:pt>
                <c:pt idx="555">
                  <c:v>313.02</c:v>
                </c:pt>
                <c:pt idx="556">
                  <c:v>313.584</c:v>
                </c:pt>
                <c:pt idx="557">
                  <c:v>314.14800000000002</c:v>
                </c:pt>
                <c:pt idx="558">
                  <c:v>314.71199999999999</c:v>
                </c:pt>
                <c:pt idx="559">
                  <c:v>315.27600000000001</c:v>
                </c:pt>
                <c:pt idx="560">
                  <c:v>315.83999999999997</c:v>
                </c:pt>
                <c:pt idx="561">
                  <c:v>316.404</c:v>
                </c:pt>
                <c:pt idx="562">
                  <c:v>316.96800000000002</c:v>
                </c:pt>
                <c:pt idx="563">
                  <c:v>317.53199999999998</c:v>
                </c:pt>
                <c:pt idx="564">
                  <c:v>318.096</c:v>
                </c:pt>
                <c:pt idx="565">
                  <c:v>318.66000000000003</c:v>
                </c:pt>
                <c:pt idx="566">
                  <c:v>319.22399999999999</c:v>
                </c:pt>
                <c:pt idx="567">
                  <c:v>319.78800000000001</c:v>
                </c:pt>
                <c:pt idx="568">
                  <c:v>320.35199999999998</c:v>
                </c:pt>
                <c:pt idx="569">
                  <c:v>320.916</c:v>
                </c:pt>
                <c:pt idx="570">
                  <c:v>321.48</c:v>
                </c:pt>
                <c:pt idx="571">
                  <c:v>322.04399999999998</c:v>
                </c:pt>
                <c:pt idx="572">
                  <c:v>322.608</c:v>
                </c:pt>
                <c:pt idx="573">
                  <c:v>323.17200000000003</c:v>
                </c:pt>
                <c:pt idx="574">
                  <c:v>323.73599999999999</c:v>
                </c:pt>
                <c:pt idx="575">
                  <c:v>324.3</c:v>
                </c:pt>
                <c:pt idx="576">
                  <c:v>324.86399999999998</c:v>
                </c:pt>
                <c:pt idx="577">
                  <c:v>325.428</c:v>
                </c:pt>
                <c:pt idx="578">
                  <c:v>325.99200000000002</c:v>
                </c:pt>
                <c:pt idx="579">
                  <c:v>326.55599999999998</c:v>
                </c:pt>
                <c:pt idx="580">
                  <c:v>327.12</c:v>
                </c:pt>
                <c:pt idx="581">
                  <c:v>327.68400000000003</c:v>
                </c:pt>
                <c:pt idx="582">
                  <c:v>328.24799999999999</c:v>
                </c:pt>
                <c:pt idx="583">
                  <c:v>328.81200000000001</c:v>
                </c:pt>
                <c:pt idx="584">
                  <c:v>329.37599999999998</c:v>
                </c:pt>
                <c:pt idx="585">
                  <c:v>329.94</c:v>
                </c:pt>
                <c:pt idx="586">
                  <c:v>330.50400000000002</c:v>
                </c:pt>
                <c:pt idx="587">
                  <c:v>331.06799999999998</c:v>
                </c:pt>
                <c:pt idx="588">
                  <c:v>331.63200000000001</c:v>
                </c:pt>
                <c:pt idx="589">
                  <c:v>332.19600000000003</c:v>
                </c:pt>
                <c:pt idx="590">
                  <c:v>332.76</c:v>
                </c:pt>
                <c:pt idx="591">
                  <c:v>333.32400000000001</c:v>
                </c:pt>
                <c:pt idx="592">
                  <c:v>333.88799999999998</c:v>
                </c:pt>
                <c:pt idx="593">
                  <c:v>334.452</c:v>
                </c:pt>
                <c:pt idx="594">
                  <c:v>335.01600000000002</c:v>
                </c:pt>
                <c:pt idx="595">
                  <c:v>335.58</c:v>
                </c:pt>
                <c:pt idx="596">
                  <c:v>336.14400000000001</c:v>
                </c:pt>
                <c:pt idx="597">
                  <c:v>336.70800000000003</c:v>
                </c:pt>
                <c:pt idx="598">
                  <c:v>337.27199999999999</c:v>
                </c:pt>
                <c:pt idx="599">
                  <c:v>337.83600000000001</c:v>
                </c:pt>
                <c:pt idx="600">
                  <c:v>338.4</c:v>
                </c:pt>
                <c:pt idx="601">
                  <c:v>338.964</c:v>
                </c:pt>
                <c:pt idx="602">
                  <c:v>339.52800000000002</c:v>
                </c:pt>
                <c:pt idx="603">
                  <c:v>340.09199999999998</c:v>
                </c:pt>
                <c:pt idx="604">
                  <c:v>340.65600000000001</c:v>
                </c:pt>
                <c:pt idx="605">
                  <c:v>341.22</c:v>
                </c:pt>
                <c:pt idx="606">
                  <c:v>341.78399999999999</c:v>
                </c:pt>
                <c:pt idx="607">
                  <c:v>342.34800000000001</c:v>
                </c:pt>
                <c:pt idx="608">
                  <c:v>342.91199999999998</c:v>
                </c:pt>
                <c:pt idx="609">
                  <c:v>343.476</c:v>
                </c:pt>
                <c:pt idx="610">
                  <c:v>344.04</c:v>
                </c:pt>
                <c:pt idx="611">
                  <c:v>344.60399999999998</c:v>
                </c:pt>
                <c:pt idx="612">
                  <c:v>345.16800000000001</c:v>
                </c:pt>
                <c:pt idx="613">
                  <c:v>345.73200000000003</c:v>
                </c:pt>
                <c:pt idx="614">
                  <c:v>346.29599999999999</c:v>
                </c:pt>
                <c:pt idx="615">
                  <c:v>346.86</c:v>
                </c:pt>
                <c:pt idx="616">
                  <c:v>347.42399999999998</c:v>
                </c:pt>
                <c:pt idx="617">
                  <c:v>347.988</c:v>
                </c:pt>
                <c:pt idx="618">
                  <c:v>348.55200000000002</c:v>
                </c:pt>
                <c:pt idx="619">
                  <c:v>349.11599999999999</c:v>
                </c:pt>
                <c:pt idx="620">
                  <c:v>349.68</c:v>
                </c:pt>
                <c:pt idx="621">
                  <c:v>350.24400000000003</c:v>
                </c:pt>
                <c:pt idx="622">
                  <c:v>350.80799999999999</c:v>
                </c:pt>
                <c:pt idx="623">
                  <c:v>351.37200000000001</c:v>
                </c:pt>
                <c:pt idx="624">
                  <c:v>351.93599999999998</c:v>
                </c:pt>
                <c:pt idx="625">
                  <c:v>352.5</c:v>
                </c:pt>
                <c:pt idx="626">
                  <c:v>353.06400000000002</c:v>
                </c:pt>
                <c:pt idx="627">
                  <c:v>353.62799999999999</c:v>
                </c:pt>
                <c:pt idx="628">
                  <c:v>354.19200000000001</c:v>
                </c:pt>
                <c:pt idx="629">
                  <c:v>354.75599999999997</c:v>
                </c:pt>
                <c:pt idx="630">
                  <c:v>355.32</c:v>
                </c:pt>
                <c:pt idx="631">
                  <c:v>355.88400000000001</c:v>
                </c:pt>
                <c:pt idx="632">
                  <c:v>356.44799999999998</c:v>
                </c:pt>
                <c:pt idx="633">
                  <c:v>357.012</c:v>
                </c:pt>
                <c:pt idx="634">
                  <c:v>357.57600000000002</c:v>
                </c:pt>
                <c:pt idx="635">
                  <c:v>358.14</c:v>
                </c:pt>
                <c:pt idx="636">
                  <c:v>358.70400000000001</c:v>
                </c:pt>
                <c:pt idx="637">
                  <c:v>359.26799999999997</c:v>
                </c:pt>
                <c:pt idx="638">
                  <c:v>359.83199999999999</c:v>
                </c:pt>
                <c:pt idx="639">
                  <c:v>360.39600000000002</c:v>
                </c:pt>
                <c:pt idx="640">
                  <c:v>360.96</c:v>
                </c:pt>
                <c:pt idx="641">
                  <c:v>361.524</c:v>
                </c:pt>
                <c:pt idx="642">
                  <c:v>362.08800000000002</c:v>
                </c:pt>
                <c:pt idx="643">
                  <c:v>362.65199999999999</c:v>
                </c:pt>
                <c:pt idx="644">
                  <c:v>363.21600000000001</c:v>
                </c:pt>
                <c:pt idx="645">
                  <c:v>363.78</c:v>
                </c:pt>
                <c:pt idx="646">
                  <c:v>364.34399999999999</c:v>
                </c:pt>
                <c:pt idx="647">
                  <c:v>364.90800000000002</c:v>
                </c:pt>
                <c:pt idx="648">
                  <c:v>365.47199999999998</c:v>
                </c:pt>
                <c:pt idx="649">
                  <c:v>366.036</c:v>
                </c:pt>
                <c:pt idx="650">
                  <c:v>366.6</c:v>
                </c:pt>
                <c:pt idx="651">
                  <c:v>367.16399999999999</c:v>
                </c:pt>
                <c:pt idx="652">
                  <c:v>367.72800000000001</c:v>
                </c:pt>
                <c:pt idx="653">
                  <c:v>368.29199999999997</c:v>
                </c:pt>
                <c:pt idx="654">
                  <c:v>368.85599999999999</c:v>
                </c:pt>
                <c:pt idx="655">
                  <c:v>369.42</c:v>
                </c:pt>
                <c:pt idx="656">
                  <c:v>369.98399999999998</c:v>
                </c:pt>
                <c:pt idx="657">
                  <c:v>370.548</c:v>
                </c:pt>
                <c:pt idx="658">
                  <c:v>371.11200000000002</c:v>
                </c:pt>
                <c:pt idx="659">
                  <c:v>371.67599999999999</c:v>
                </c:pt>
                <c:pt idx="660">
                  <c:v>372.24</c:v>
                </c:pt>
                <c:pt idx="661">
                  <c:v>372.80399999999997</c:v>
                </c:pt>
                <c:pt idx="662">
                  <c:v>373.36799999999999</c:v>
                </c:pt>
                <c:pt idx="663">
                  <c:v>373.93200000000002</c:v>
                </c:pt>
                <c:pt idx="664">
                  <c:v>374.49599999999998</c:v>
                </c:pt>
                <c:pt idx="665">
                  <c:v>375.06</c:v>
                </c:pt>
                <c:pt idx="666">
                  <c:v>375.62400000000002</c:v>
                </c:pt>
                <c:pt idx="667">
                  <c:v>376.18799999999999</c:v>
                </c:pt>
                <c:pt idx="668">
                  <c:v>376.75200000000001</c:v>
                </c:pt>
                <c:pt idx="669">
                  <c:v>377.31599999999997</c:v>
                </c:pt>
                <c:pt idx="670">
                  <c:v>377.88</c:v>
                </c:pt>
                <c:pt idx="671">
                  <c:v>378.44400000000002</c:v>
                </c:pt>
                <c:pt idx="672">
                  <c:v>379.00799999999998</c:v>
                </c:pt>
                <c:pt idx="673">
                  <c:v>379.572</c:v>
                </c:pt>
                <c:pt idx="674">
                  <c:v>380.13600000000002</c:v>
                </c:pt>
                <c:pt idx="675">
                  <c:v>380.7</c:v>
                </c:pt>
                <c:pt idx="676">
                  <c:v>381.26400000000001</c:v>
                </c:pt>
                <c:pt idx="677">
                  <c:v>381.82799999999997</c:v>
                </c:pt>
                <c:pt idx="678">
                  <c:v>382.392</c:v>
                </c:pt>
                <c:pt idx="679">
                  <c:v>382.95600000000002</c:v>
                </c:pt>
                <c:pt idx="680">
                  <c:v>383.52</c:v>
                </c:pt>
                <c:pt idx="681">
                  <c:v>384.084</c:v>
                </c:pt>
                <c:pt idx="682">
                  <c:v>384.64800000000002</c:v>
                </c:pt>
                <c:pt idx="683">
                  <c:v>385.21199999999999</c:v>
                </c:pt>
                <c:pt idx="684">
                  <c:v>385.77600000000001</c:v>
                </c:pt>
                <c:pt idx="685">
                  <c:v>386.34</c:v>
                </c:pt>
                <c:pt idx="686">
                  <c:v>386.904</c:v>
                </c:pt>
                <c:pt idx="687">
                  <c:v>387.46800000000002</c:v>
                </c:pt>
                <c:pt idx="688">
                  <c:v>388.03199999999998</c:v>
                </c:pt>
                <c:pt idx="689">
                  <c:v>388.596</c:v>
                </c:pt>
                <c:pt idx="690">
                  <c:v>389.16</c:v>
                </c:pt>
                <c:pt idx="691">
                  <c:v>389.72399999999999</c:v>
                </c:pt>
                <c:pt idx="692">
                  <c:v>390.28800000000001</c:v>
                </c:pt>
                <c:pt idx="693">
                  <c:v>390.85199999999998</c:v>
                </c:pt>
                <c:pt idx="694">
                  <c:v>391.416</c:v>
                </c:pt>
                <c:pt idx="695">
                  <c:v>391.98</c:v>
                </c:pt>
                <c:pt idx="696">
                  <c:v>392.54399999999998</c:v>
                </c:pt>
                <c:pt idx="697">
                  <c:v>393.108</c:v>
                </c:pt>
                <c:pt idx="698">
                  <c:v>393.67200000000003</c:v>
                </c:pt>
                <c:pt idx="699">
                  <c:v>394.23599999999999</c:v>
                </c:pt>
                <c:pt idx="700">
                  <c:v>394.8</c:v>
                </c:pt>
                <c:pt idx="701">
                  <c:v>395.36399999999998</c:v>
                </c:pt>
                <c:pt idx="702">
                  <c:v>395.928</c:v>
                </c:pt>
                <c:pt idx="703">
                  <c:v>396.49200000000002</c:v>
                </c:pt>
                <c:pt idx="704">
                  <c:v>397.05599999999998</c:v>
                </c:pt>
                <c:pt idx="705">
                  <c:v>397.62</c:v>
                </c:pt>
                <c:pt idx="706">
                  <c:v>398.18400000000003</c:v>
                </c:pt>
                <c:pt idx="707">
                  <c:v>398.74799999999999</c:v>
                </c:pt>
                <c:pt idx="708">
                  <c:v>399.31200000000001</c:v>
                </c:pt>
                <c:pt idx="709">
                  <c:v>399.87599999999998</c:v>
                </c:pt>
                <c:pt idx="710">
                  <c:v>400.44</c:v>
                </c:pt>
                <c:pt idx="711">
                  <c:v>401.00400000000002</c:v>
                </c:pt>
                <c:pt idx="712">
                  <c:v>401.56799999999998</c:v>
                </c:pt>
                <c:pt idx="713">
                  <c:v>402.13200000000001</c:v>
                </c:pt>
                <c:pt idx="714">
                  <c:v>402.69600000000003</c:v>
                </c:pt>
                <c:pt idx="715">
                  <c:v>403.26</c:v>
                </c:pt>
                <c:pt idx="716">
                  <c:v>403.82400000000001</c:v>
                </c:pt>
                <c:pt idx="717">
                  <c:v>404.38799999999998</c:v>
                </c:pt>
                <c:pt idx="718">
                  <c:v>404.952</c:v>
                </c:pt>
                <c:pt idx="719">
                  <c:v>405.51600000000002</c:v>
                </c:pt>
                <c:pt idx="720">
                  <c:v>406.08</c:v>
                </c:pt>
                <c:pt idx="721">
                  <c:v>406.64400000000001</c:v>
                </c:pt>
                <c:pt idx="722">
                  <c:v>407.20800000000003</c:v>
                </c:pt>
                <c:pt idx="723">
                  <c:v>407.77199999999999</c:v>
                </c:pt>
                <c:pt idx="724">
                  <c:v>408.33600000000001</c:v>
                </c:pt>
                <c:pt idx="725">
                  <c:v>408.9</c:v>
                </c:pt>
                <c:pt idx="726">
                  <c:v>409.464</c:v>
                </c:pt>
                <c:pt idx="727">
                  <c:v>410.02800000000002</c:v>
                </c:pt>
                <c:pt idx="728">
                  <c:v>410.59199999999998</c:v>
                </c:pt>
                <c:pt idx="729">
                  <c:v>411.15600000000001</c:v>
                </c:pt>
                <c:pt idx="730">
                  <c:v>411.72</c:v>
                </c:pt>
                <c:pt idx="731">
                  <c:v>412.28399999999999</c:v>
                </c:pt>
                <c:pt idx="732">
                  <c:v>412.84800000000001</c:v>
                </c:pt>
                <c:pt idx="733">
                  <c:v>413.41199999999998</c:v>
                </c:pt>
                <c:pt idx="734">
                  <c:v>413.976</c:v>
                </c:pt>
                <c:pt idx="735">
                  <c:v>414.54</c:v>
                </c:pt>
                <c:pt idx="736">
                  <c:v>415.10399999999998</c:v>
                </c:pt>
                <c:pt idx="737">
                  <c:v>415.66800000000001</c:v>
                </c:pt>
                <c:pt idx="738">
                  <c:v>416.23200000000003</c:v>
                </c:pt>
                <c:pt idx="739">
                  <c:v>416.79599999999999</c:v>
                </c:pt>
                <c:pt idx="740">
                  <c:v>417.36</c:v>
                </c:pt>
                <c:pt idx="741">
                  <c:v>417.92399999999998</c:v>
                </c:pt>
                <c:pt idx="742">
                  <c:v>418.488</c:v>
                </c:pt>
                <c:pt idx="743">
                  <c:v>419.05200000000002</c:v>
                </c:pt>
                <c:pt idx="744">
                  <c:v>419.61599999999999</c:v>
                </c:pt>
                <c:pt idx="745">
                  <c:v>420.18</c:v>
                </c:pt>
                <c:pt idx="746">
                  <c:v>420.74400000000003</c:v>
                </c:pt>
                <c:pt idx="747">
                  <c:v>421.30799999999999</c:v>
                </c:pt>
                <c:pt idx="748">
                  <c:v>421.87200000000001</c:v>
                </c:pt>
                <c:pt idx="749">
                  <c:v>422.43599999999998</c:v>
                </c:pt>
                <c:pt idx="750">
                  <c:v>423</c:v>
                </c:pt>
                <c:pt idx="751">
                  <c:v>423.56400000000002</c:v>
                </c:pt>
                <c:pt idx="752">
                  <c:v>424.12799999999999</c:v>
                </c:pt>
                <c:pt idx="753">
                  <c:v>424.69200000000001</c:v>
                </c:pt>
                <c:pt idx="754">
                  <c:v>425.25599999999997</c:v>
                </c:pt>
                <c:pt idx="755">
                  <c:v>425.82</c:v>
                </c:pt>
                <c:pt idx="756">
                  <c:v>426.38400000000001</c:v>
                </c:pt>
                <c:pt idx="757">
                  <c:v>426.94799999999998</c:v>
                </c:pt>
                <c:pt idx="758">
                  <c:v>427.512</c:v>
                </c:pt>
                <c:pt idx="759">
                  <c:v>428.07600000000002</c:v>
                </c:pt>
                <c:pt idx="760">
                  <c:v>428.64</c:v>
                </c:pt>
                <c:pt idx="761">
                  <c:v>429.20400000000001</c:v>
                </c:pt>
                <c:pt idx="762">
                  <c:v>429.76799999999997</c:v>
                </c:pt>
                <c:pt idx="763">
                  <c:v>430.33199999999999</c:v>
                </c:pt>
                <c:pt idx="764">
                  <c:v>430.89600000000002</c:v>
                </c:pt>
                <c:pt idx="765">
                  <c:v>431.46</c:v>
                </c:pt>
                <c:pt idx="766">
                  <c:v>432.024</c:v>
                </c:pt>
                <c:pt idx="767">
                  <c:v>432.58800000000002</c:v>
                </c:pt>
                <c:pt idx="768">
                  <c:v>433.15199999999999</c:v>
                </c:pt>
                <c:pt idx="769">
                  <c:v>433.71600000000001</c:v>
                </c:pt>
                <c:pt idx="770">
                  <c:v>434.28</c:v>
                </c:pt>
                <c:pt idx="771">
                  <c:v>434.84399999999999</c:v>
                </c:pt>
                <c:pt idx="772">
                  <c:v>435.40800000000002</c:v>
                </c:pt>
                <c:pt idx="773">
                  <c:v>435.97199999999998</c:v>
                </c:pt>
                <c:pt idx="774">
                  <c:v>436.536</c:v>
                </c:pt>
                <c:pt idx="775">
                  <c:v>437.1</c:v>
                </c:pt>
                <c:pt idx="776">
                  <c:v>437.66399999999999</c:v>
                </c:pt>
                <c:pt idx="777">
                  <c:v>438.22800000000001</c:v>
                </c:pt>
                <c:pt idx="778">
                  <c:v>438.79199999999997</c:v>
                </c:pt>
                <c:pt idx="779">
                  <c:v>439.35599999999999</c:v>
                </c:pt>
                <c:pt idx="780">
                  <c:v>439.92</c:v>
                </c:pt>
                <c:pt idx="781">
                  <c:v>440.48399999999998</c:v>
                </c:pt>
                <c:pt idx="782">
                  <c:v>441.048</c:v>
                </c:pt>
                <c:pt idx="783">
                  <c:v>441.61200000000002</c:v>
                </c:pt>
                <c:pt idx="784">
                  <c:v>442.17599999999999</c:v>
                </c:pt>
                <c:pt idx="785">
                  <c:v>442.74</c:v>
                </c:pt>
                <c:pt idx="786">
                  <c:v>443.30399999999997</c:v>
                </c:pt>
                <c:pt idx="787">
                  <c:v>443.86799999999999</c:v>
                </c:pt>
                <c:pt idx="788">
                  <c:v>444.43200000000002</c:v>
                </c:pt>
                <c:pt idx="789">
                  <c:v>444.99599999999998</c:v>
                </c:pt>
                <c:pt idx="790">
                  <c:v>445.56</c:v>
                </c:pt>
                <c:pt idx="791">
                  <c:v>446.12400000000002</c:v>
                </c:pt>
                <c:pt idx="792">
                  <c:v>446.68799999999999</c:v>
                </c:pt>
                <c:pt idx="793">
                  <c:v>447.25200000000001</c:v>
                </c:pt>
                <c:pt idx="794">
                  <c:v>447.81599999999997</c:v>
                </c:pt>
                <c:pt idx="795">
                  <c:v>448.38</c:v>
                </c:pt>
                <c:pt idx="796">
                  <c:v>448.94400000000002</c:v>
                </c:pt>
                <c:pt idx="797">
                  <c:v>449.50799999999998</c:v>
                </c:pt>
                <c:pt idx="798">
                  <c:v>450.072</c:v>
                </c:pt>
                <c:pt idx="799">
                  <c:v>450.63600000000002</c:v>
                </c:pt>
                <c:pt idx="800">
                  <c:v>451.2</c:v>
                </c:pt>
                <c:pt idx="801">
                  <c:v>451.76400000000001</c:v>
                </c:pt>
                <c:pt idx="802">
                  <c:v>452.32799999999997</c:v>
                </c:pt>
                <c:pt idx="803">
                  <c:v>452.892</c:v>
                </c:pt>
                <c:pt idx="804">
                  <c:v>453.45600000000002</c:v>
                </c:pt>
                <c:pt idx="805">
                  <c:v>454.02</c:v>
                </c:pt>
                <c:pt idx="806">
                  <c:v>454.584</c:v>
                </c:pt>
                <c:pt idx="807">
                  <c:v>455.14800000000002</c:v>
                </c:pt>
                <c:pt idx="808">
                  <c:v>455.71199999999999</c:v>
                </c:pt>
                <c:pt idx="809">
                  <c:v>456.27600000000001</c:v>
                </c:pt>
                <c:pt idx="810">
                  <c:v>456.84</c:v>
                </c:pt>
                <c:pt idx="811">
                  <c:v>457.404</c:v>
                </c:pt>
                <c:pt idx="812">
                  <c:v>457.96800000000002</c:v>
                </c:pt>
                <c:pt idx="813">
                  <c:v>458.53199999999998</c:v>
                </c:pt>
                <c:pt idx="814">
                  <c:v>459.096</c:v>
                </c:pt>
                <c:pt idx="815">
                  <c:v>459.66</c:v>
                </c:pt>
                <c:pt idx="816">
                  <c:v>460.22399999999999</c:v>
                </c:pt>
                <c:pt idx="817">
                  <c:v>460.78800000000001</c:v>
                </c:pt>
                <c:pt idx="818">
                  <c:v>461.35199999999998</c:v>
                </c:pt>
                <c:pt idx="819">
                  <c:v>461.916</c:v>
                </c:pt>
                <c:pt idx="820">
                  <c:v>462.48</c:v>
                </c:pt>
                <c:pt idx="821">
                  <c:v>463.04399999999998</c:v>
                </c:pt>
                <c:pt idx="822">
                  <c:v>463.608</c:v>
                </c:pt>
                <c:pt idx="823">
                  <c:v>464.17200000000003</c:v>
                </c:pt>
                <c:pt idx="824">
                  <c:v>464.73599999999999</c:v>
                </c:pt>
                <c:pt idx="825">
                  <c:v>465.3</c:v>
                </c:pt>
                <c:pt idx="826">
                  <c:v>465.86399999999998</c:v>
                </c:pt>
                <c:pt idx="827">
                  <c:v>466.428</c:v>
                </c:pt>
                <c:pt idx="828">
                  <c:v>466.99200000000002</c:v>
                </c:pt>
                <c:pt idx="829">
                  <c:v>467.55599999999998</c:v>
                </c:pt>
                <c:pt idx="830">
                  <c:v>468.12</c:v>
                </c:pt>
                <c:pt idx="831">
                  <c:v>468.68400000000003</c:v>
                </c:pt>
                <c:pt idx="832">
                  <c:v>469.24799999999999</c:v>
                </c:pt>
                <c:pt idx="833">
                  <c:v>469.81200000000001</c:v>
                </c:pt>
                <c:pt idx="834">
                  <c:v>470.37599999999998</c:v>
                </c:pt>
                <c:pt idx="835">
                  <c:v>470.94</c:v>
                </c:pt>
                <c:pt idx="836">
                  <c:v>471.50400000000002</c:v>
                </c:pt>
                <c:pt idx="837">
                  <c:v>472.06799999999998</c:v>
                </c:pt>
                <c:pt idx="838">
                  <c:v>472.63200000000001</c:v>
                </c:pt>
                <c:pt idx="839">
                  <c:v>473.19600000000003</c:v>
                </c:pt>
                <c:pt idx="840">
                  <c:v>473.76</c:v>
                </c:pt>
                <c:pt idx="841">
                  <c:v>474.32400000000001</c:v>
                </c:pt>
                <c:pt idx="842">
                  <c:v>474.88799999999998</c:v>
                </c:pt>
                <c:pt idx="843">
                  <c:v>475.452</c:v>
                </c:pt>
                <c:pt idx="844">
                  <c:v>476.01600000000002</c:v>
                </c:pt>
                <c:pt idx="845">
                  <c:v>476.58</c:v>
                </c:pt>
                <c:pt idx="846">
                  <c:v>477.14400000000001</c:v>
                </c:pt>
                <c:pt idx="847">
                  <c:v>477.70800000000003</c:v>
                </c:pt>
                <c:pt idx="848">
                  <c:v>478.27199999999999</c:v>
                </c:pt>
                <c:pt idx="849">
                  <c:v>478.83600000000001</c:v>
                </c:pt>
                <c:pt idx="850">
                  <c:v>479.4</c:v>
                </c:pt>
                <c:pt idx="851">
                  <c:v>479.964</c:v>
                </c:pt>
                <c:pt idx="852">
                  <c:v>480.52800000000002</c:v>
                </c:pt>
                <c:pt idx="853">
                  <c:v>481.09199999999998</c:v>
                </c:pt>
                <c:pt idx="854">
                  <c:v>481.65600000000001</c:v>
                </c:pt>
                <c:pt idx="855">
                  <c:v>482.22</c:v>
                </c:pt>
                <c:pt idx="856">
                  <c:v>482.78399999999999</c:v>
                </c:pt>
                <c:pt idx="857">
                  <c:v>483.34800000000001</c:v>
                </c:pt>
                <c:pt idx="858">
                  <c:v>483.91199999999998</c:v>
                </c:pt>
                <c:pt idx="859">
                  <c:v>484.476</c:v>
                </c:pt>
                <c:pt idx="860">
                  <c:v>485.04</c:v>
                </c:pt>
                <c:pt idx="861">
                  <c:v>485.60399999999998</c:v>
                </c:pt>
                <c:pt idx="862">
                  <c:v>486.16800000000001</c:v>
                </c:pt>
                <c:pt idx="863">
                  <c:v>486.73200000000003</c:v>
                </c:pt>
                <c:pt idx="864">
                  <c:v>487.29599999999999</c:v>
                </c:pt>
                <c:pt idx="865">
                  <c:v>487.86</c:v>
                </c:pt>
                <c:pt idx="866">
                  <c:v>488.42399999999998</c:v>
                </c:pt>
                <c:pt idx="867">
                  <c:v>488.988</c:v>
                </c:pt>
                <c:pt idx="868">
                  <c:v>489.55200000000002</c:v>
                </c:pt>
                <c:pt idx="869">
                  <c:v>490.11599999999999</c:v>
                </c:pt>
                <c:pt idx="870">
                  <c:v>490.68</c:v>
                </c:pt>
                <c:pt idx="871">
                  <c:v>491.24400000000003</c:v>
                </c:pt>
                <c:pt idx="872">
                  <c:v>491.80799999999999</c:v>
                </c:pt>
                <c:pt idx="873">
                  <c:v>492.37200000000001</c:v>
                </c:pt>
                <c:pt idx="874">
                  <c:v>492.93599999999998</c:v>
                </c:pt>
                <c:pt idx="875">
                  <c:v>493.5</c:v>
                </c:pt>
                <c:pt idx="876">
                  <c:v>494.06400000000002</c:v>
                </c:pt>
                <c:pt idx="877">
                  <c:v>494.62799999999999</c:v>
                </c:pt>
                <c:pt idx="878">
                  <c:v>495.19200000000001</c:v>
                </c:pt>
                <c:pt idx="879">
                  <c:v>495.75599999999997</c:v>
                </c:pt>
                <c:pt idx="880">
                  <c:v>496.32</c:v>
                </c:pt>
                <c:pt idx="881">
                  <c:v>496.88400000000001</c:v>
                </c:pt>
                <c:pt idx="882">
                  <c:v>497.44799999999998</c:v>
                </c:pt>
                <c:pt idx="883">
                  <c:v>498.012</c:v>
                </c:pt>
                <c:pt idx="884">
                  <c:v>498.57600000000002</c:v>
                </c:pt>
                <c:pt idx="885">
                  <c:v>499.14</c:v>
                </c:pt>
                <c:pt idx="886">
                  <c:v>499.70400000000001</c:v>
                </c:pt>
                <c:pt idx="887">
                  <c:v>500.26799999999997</c:v>
                </c:pt>
                <c:pt idx="888">
                  <c:v>500.83199999999999</c:v>
                </c:pt>
                <c:pt idx="889">
                  <c:v>501.39600000000002</c:v>
                </c:pt>
                <c:pt idx="890">
                  <c:v>501.96</c:v>
                </c:pt>
                <c:pt idx="891">
                  <c:v>502.524</c:v>
                </c:pt>
                <c:pt idx="892">
                  <c:v>503.08800000000002</c:v>
                </c:pt>
                <c:pt idx="893">
                  <c:v>503.65199999999999</c:v>
                </c:pt>
                <c:pt idx="894">
                  <c:v>504.21600000000001</c:v>
                </c:pt>
                <c:pt idx="895">
                  <c:v>504.78</c:v>
                </c:pt>
                <c:pt idx="896">
                  <c:v>505.34399999999999</c:v>
                </c:pt>
                <c:pt idx="897">
                  <c:v>505.90800000000002</c:v>
                </c:pt>
                <c:pt idx="898">
                  <c:v>506.47199999999998</c:v>
                </c:pt>
                <c:pt idx="899">
                  <c:v>507.036</c:v>
                </c:pt>
                <c:pt idx="900">
                  <c:v>507.6</c:v>
                </c:pt>
                <c:pt idx="901">
                  <c:v>508.16399999999999</c:v>
                </c:pt>
                <c:pt idx="902">
                  <c:v>508.72800000000001</c:v>
                </c:pt>
                <c:pt idx="903">
                  <c:v>509.29199999999997</c:v>
                </c:pt>
                <c:pt idx="904">
                  <c:v>509.85599999999999</c:v>
                </c:pt>
                <c:pt idx="905">
                  <c:v>510.42</c:v>
                </c:pt>
                <c:pt idx="906">
                  <c:v>510.98399999999998</c:v>
                </c:pt>
                <c:pt idx="907">
                  <c:v>511.548</c:v>
                </c:pt>
                <c:pt idx="908">
                  <c:v>512.11199999999997</c:v>
                </c:pt>
                <c:pt idx="909">
                  <c:v>512.67600000000004</c:v>
                </c:pt>
                <c:pt idx="910">
                  <c:v>513.24</c:v>
                </c:pt>
                <c:pt idx="911">
                  <c:v>513.80399999999997</c:v>
                </c:pt>
                <c:pt idx="912">
                  <c:v>514.36800000000005</c:v>
                </c:pt>
                <c:pt idx="913">
                  <c:v>514.93200000000002</c:v>
                </c:pt>
                <c:pt idx="914">
                  <c:v>515.49599999999998</c:v>
                </c:pt>
                <c:pt idx="915">
                  <c:v>516.05999999999995</c:v>
                </c:pt>
                <c:pt idx="916">
                  <c:v>516.62400000000002</c:v>
                </c:pt>
                <c:pt idx="917">
                  <c:v>517.18799999999999</c:v>
                </c:pt>
                <c:pt idx="918">
                  <c:v>517.75199999999995</c:v>
                </c:pt>
                <c:pt idx="919">
                  <c:v>518.31600000000003</c:v>
                </c:pt>
                <c:pt idx="920">
                  <c:v>518.88</c:v>
                </c:pt>
                <c:pt idx="921">
                  <c:v>519.44399999999996</c:v>
                </c:pt>
                <c:pt idx="922">
                  <c:v>520.00800000000004</c:v>
                </c:pt>
                <c:pt idx="923">
                  <c:v>520.572</c:v>
                </c:pt>
                <c:pt idx="924">
                  <c:v>521.13599999999997</c:v>
                </c:pt>
                <c:pt idx="925">
                  <c:v>521.70000000000005</c:v>
                </c:pt>
                <c:pt idx="926">
                  <c:v>522.26400000000001</c:v>
                </c:pt>
                <c:pt idx="927">
                  <c:v>522.82799999999997</c:v>
                </c:pt>
                <c:pt idx="928">
                  <c:v>523.39200000000005</c:v>
                </c:pt>
                <c:pt idx="929">
                  <c:v>523.95600000000002</c:v>
                </c:pt>
                <c:pt idx="930">
                  <c:v>524.52</c:v>
                </c:pt>
                <c:pt idx="931">
                  <c:v>525.08399999999995</c:v>
                </c:pt>
                <c:pt idx="932">
                  <c:v>525.64800000000002</c:v>
                </c:pt>
                <c:pt idx="933">
                  <c:v>526.21199999999999</c:v>
                </c:pt>
                <c:pt idx="934">
                  <c:v>526.77599999999995</c:v>
                </c:pt>
                <c:pt idx="935">
                  <c:v>527.34</c:v>
                </c:pt>
                <c:pt idx="936">
                  <c:v>527.904</c:v>
                </c:pt>
                <c:pt idx="937">
                  <c:v>528.46799999999996</c:v>
                </c:pt>
                <c:pt idx="938">
                  <c:v>529.03200000000004</c:v>
                </c:pt>
                <c:pt idx="939">
                  <c:v>529.596</c:v>
                </c:pt>
                <c:pt idx="940">
                  <c:v>530.16</c:v>
                </c:pt>
                <c:pt idx="941">
                  <c:v>530.72400000000005</c:v>
                </c:pt>
                <c:pt idx="942">
                  <c:v>531.28800000000001</c:v>
                </c:pt>
                <c:pt idx="943">
                  <c:v>531.85199999999998</c:v>
                </c:pt>
                <c:pt idx="944">
                  <c:v>532.41600000000005</c:v>
                </c:pt>
                <c:pt idx="945">
                  <c:v>532.98</c:v>
                </c:pt>
                <c:pt idx="946">
                  <c:v>533.54399999999998</c:v>
                </c:pt>
                <c:pt idx="947">
                  <c:v>534.10799999999995</c:v>
                </c:pt>
              </c:numCache>
            </c:numRef>
          </c:cat>
          <c:val>
            <c:numRef>
              <c:f>'Part 3 Data'!$D$3:$D$950</c:f>
              <c:numCache>
                <c:formatCode>0.00</c:formatCode>
                <c:ptCount val="948"/>
                <c:pt idx="0">
                  <c:v>22.220573999999999</c:v>
                </c:pt>
                <c:pt idx="1">
                  <c:v>22.223215</c:v>
                </c:pt>
                <c:pt idx="2">
                  <c:v>22.216698999999998</c:v>
                </c:pt>
                <c:pt idx="3">
                  <c:v>22.218308</c:v>
                </c:pt>
                <c:pt idx="4">
                  <c:v>22.218596999999999</c:v>
                </c:pt>
                <c:pt idx="5">
                  <c:v>22.220617000000001</c:v>
                </c:pt>
                <c:pt idx="6">
                  <c:v>22.225401000000002</c:v>
                </c:pt>
                <c:pt idx="7">
                  <c:v>22.232039</c:v>
                </c:pt>
                <c:pt idx="8">
                  <c:v>22.221071999999999</c:v>
                </c:pt>
                <c:pt idx="9">
                  <c:v>22.223092000000001</c:v>
                </c:pt>
                <c:pt idx="10">
                  <c:v>22.229153</c:v>
                </c:pt>
                <c:pt idx="11">
                  <c:v>22.234635999999998</c:v>
                </c:pt>
                <c:pt idx="12">
                  <c:v>22.232205</c:v>
                </c:pt>
                <c:pt idx="13">
                  <c:v>22.226433</c:v>
                </c:pt>
                <c:pt idx="14">
                  <c:v>22.225856</c:v>
                </c:pt>
                <c:pt idx="15">
                  <c:v>22.235545999999999</c:v>
                </c:pt>
                <c:pt idx="16">
                  <c:v>22.229485</c:v>
                </c:pt>
                <c:pt idx="17">
                  <c:v>22.230350999999999</c:v>
                </c:pt>
                <c:pt idx="18">
                  <c:v>22.233526000000001</c:v>
                </c:pt>
                <c:pt idx="19">
                  <c:v>22.237855</c:v>
                </c:pt>
                <c:pt idx="20">
                  <c:v>22.236001000000002</c:v>
                </c:pt>
                <c:pt idx="21">
                  <c:v>22.243793</c:v>
                </c:pt>
                <c:pt idx="22">
                  <c:v>22.238475999999999</c:v>
                </c:pt>
                <c:pt idx="23">
                  <c:v>22.231838</c:v>
                </c:pt>
                <c:pt idx="24">
                  <c:v>22.229528999999999</c:v>
                </c:pt>
                <c:pt idx="25">
                  <c:v>22.223756999999999</c:v>
                </c:pt>
                <c:pt idx="26">
                  <c:v>22.219138999999998</c:v>
                </c:pt>
                <c:pt idx="27">
                  <c:v>22.225076999999999</c:v>
                </c:pt>
                <c:pt idx="28">
                  <c:v>22.218150999999999</c:v>
                </c:pt>
                <c:pt idx="29">
                  <c:v>22.225655</c:v>
                </c:pt>
                <c:pt idx="30">
                  <c:v>22.217862</c:v>
                </c:pt>
                <c:pt idx="31">
                  <c:v>22.217451000000001</c:v>
                </c:pt>
                <c:pt idx="32">
                  <c:v>22.213411000000001</c:v>
                </c:pt>
                <c:pt idx="33">
                  <c:v>22.210813000000002</c:v>
                </c:pt>
                <c:pt idx="34">
                  <c:v>22.211967000000001</c:v>
                </c:pt>
                <c:pt idx="35">
                  <c:v>22.208214999999999</c:v>
                </c:pt>
                <c:pt idx="36">
                  <c:v>22.203187</c:v>
                </c:pt>
                <c:pt idx="37">
                  <c:v>22.187601000000001</c:v>
                </c:pt>
                <c:pt idx="38">
                  <c:v>22.177211</c:v>
                </c:pt>
                <c:pt idx="39">
                  <c:v>22.180385999999999</c:v>
                </c:pt>
                <c:pt idx="40">
                  <c:v>22.182283999999999</c:v>
                </c:pt>
                <c:pt idx="41">
                  <c:v>22.159483000000002</c:v>
                </c:pt>
                <c:pt idx="42">
                  <c:v>22.151112000000001</c:v>
                </c:pt>
                <c:pt idx="43">
                  <c:v>22.155442000000001</c:v>
                </c:pt>
                <c:pt idx="44">
                  <c:v>22.159483000000002</c:v>
                </c:pt>
                <c:pt idx="45">
                  <c:v>22.148803000000001</c:v>
                </c:pt>
                <c:pt idx="46">
                  <c:v>22.137302999999999</c:v>
                </c:pt>
                <c:pt idx="47">
                  <c:v>22.143197000000001</c:v>
                </c:pt>
                <c:pt idx="48">
                  <c:v>22.129054</c:v>
                </c:pt>
                <c:pt idx="49">
                  <c:v>22.127489000000001</c:v>
                </c:pt>
                <c:pt idx="50">
                  <c:v>22.116809</c:v>
                </c:pt>
                <c:pt idx="51">
                  <c:v>22.121715999999999</c:v>
                </c:pt>
                <c:pt idx="52">
                  <c:v>22.113057000000001</c:v>
                </c:pt>
                <c:pt idx="53">
                  <c:v>22.098624999999998</c:v>
                </c:pt>
                <c:pt idx="54">
                  <c:v>22.102255</c:v>
                </c:pt>
                <c:pt idx="55">
                  <c:v>22.093885</c:v>
                </c:pt>
                <c:pt idx="56">
                  <c:v>22.084648000000001</c:v>
                </c:pt>
                <c:pt idx="57">
                  <c:v>22.080484999999999</c:v>
                </c:pt>
                <c:pt idx="58">
                  <c:v>22.079619000000001</c:v>
                </c:pt>
                <c:pt idx="59">
                  <c:v>22.072113999999999</c:v>
                </c:pt>
                <c:pt idx="60">
                  <c:v>22.058835999999999</c:v>
                </c:pt>
                <c:pt idx="61">
                  <c:v>22.065353000000002</c:v>
                </c:pt>
                <c:pt idx="62">
                  <c:v>22.060158000000001</c:v>
                </c:pt>
                <c:pt idx="63">
                  <c:v>22.059457999999999</c:v>
                </c:pt>
                <c:pt idx="64">
                  <c:v>22.052652999999999</c:v>
                </c:pt>
                <c:pt idx="65">
                  <c:v>22.049067000000001</c:v>
                </c:pt>
                <c:pt idx="66">
                  <c:v>22.038098000000002</c:v>
                </c:pt>
                <c:pt idx="67">
                  <c:v>22.042306</c:v>
                </c:pt>
                <c:pt idx="68">
                  <c:v>22.044737000000001</c:v>
                </c:pt>
                <c:pt idx="69">
                  <c:v>22.034801000000002</c:v>
                </c:pt>
                <c:pt idx="70">
                  <c:v>22.026430000000001</c:v>
                </c:pt>
                <c:pt idx="71">
                  <c:v>22.032492000000001</c:v>
                </c:pt>
                <c:pt idx="72">
                  <c:v>22.025731</c:v>
                </c:pt>
                <c:pt idx="73">
                  <c:v>22.032081000000002</c:v>
                </c:pt>
                <c:pt idx="74">
                  <c:v>22.021401000000001</c:v>
                </c:pt>
                <c:pt idx="75">
                  <c:v>22.029938999999999</c:v>
                </c:pt>
                <c:pt idx="76">
                  <c:v>22.014184</c:v>
                </c:pt>
                <c:pt idx="77">
                  <c:v>22.019546999999999</c:v>
                </c:pt>
                <c:pt idx="78">
                  <c:v>22.012329999999999</c:v>
                </c:pt>
                <c:pt idx="79">
                  <c:v>22.010187999999999</c:v>
                </c:pt>
                <c:pt idx="80">
                  <c:v>22.011175999999999</c:v>
                </c:pt>
                <c:pt idx="81">
                  <c:v>22.018559</c:v>
                </c:pt>
                <c:pt idx="82">
                  <c:v>22.007300999999998</c:v>
                </c:pt>
                <c:pt idx="83">
                  <c:v>22.006146999999999</c:v>
                </c:pt>
                <c:pt idx="84">
                  <c:v>22.009201000000001</c:v>
                </c:pt>
                <c:pt idx="85">
                  <c:v>22.010933000000001</c:v>
                </c:pt>
                <c:pt idx="86">
                  <c:v>22.008046</c:v>
                </c:pt>
                <c:pt idx="87">
                  <c:v>22.012087000000001</c:v>
                </c:pt>
                <c:pt idx="88">
                  <c:v>22.013242000000002</c:v>
                </c:pt>
                <c:pt idx="89">
                  <c:v>22.017282999999999</c:v>
                </c:pt>
                <c:pt idx="90">
                  <c:v>22.003882999999998</c:v>
                </c:pt>
                <c:pt idx="91">
                  <c:v>22.005904000000001</c:v>
                </c:pt>
                <c:pt idx="92">
                  <c:v>22.006481000000001</c:v>
                </c:pt>
                <c:pt idx="93">
                  <c:v>22.003594</c:v>
                </c:pt>
                <c:pt idx="94">
                  <c:v>22.016006999999998</c:v>
                </c:pt>
                <c:pt idx="95">
                  <c:v>22.007636000000002</c:v>
                </c:pt>
                <c:pt idx="96">
                  <c:v>22.016752</c:v>
                </c:pt>
                <c:pt idx="97">
                  <c:v>22.019926999999999</c:v>
                </c:pt>
                <c:pt idx="98">
                  <c:v>22.023968</c:v>
                </c:pt>
                <c:pt idx="99">
                  <c:v>22.015597</c:v>
                </c:pt>
                <c:pt idx="100">
                  <c:v>22.009246000000001</c:v>
                </c:pt>
                <c:pt idx="101">
                  <c:v>22.015476</c:v>
                </c:pt>
                <c:pt idx="102">
                  <c:v>22.013455</c:v>
                </c:pt>
                <c:pt idx="103">
                  <c:v>22.006816000000001</c:v>
                </c:pt>
                <c:pt idx="104">
                  <c:v>22.00797</c:v>
                </c:pt>
                <c:pt idx="105">
                  <c:v>22.010857000000001</c:v>
                </c:pt>
                <c:pt idx="106">
                  <c:v>22.014320999999999</c:v>
                </c:pt>
                <c:pt idx="107">
                  <c:v>22.001331</c:v>
                </c:pt>
                <c:pt idx="108">
                  <c:v>22.001787</c:v>
                </c:pt>
                <c:pt idx="109">
                  <c:v>22.000510999999999</c:v>
                </c:pt>
                <c:pt idx="110">
                  <c:v>21.992260999999999</c:v>
                </c:pt>
                <c:pt idx="111">
                  <c:v>21.991561999999998</c:v>
                </c:pt>
                <c:pt idx="112">
                  <c:v>21.979437999999998</c:v>
                </c:pt>
                <c:pt idx="113">
                  <c:v>21.987521000000001</c:v>
                </c:pt>
                <c:pt idx="114">
                  <c:v>21.985212000000001</c:v>
                </c:pt>
                <c:pt idx="115">
                  <c:v>21.986077999999999</c:v>
                </c:pt>
                <c:pt idx="116">
                  <c:v>21.985789</c:v>
                </c:pt>
                <c:pt idx="117">
                  <c:v>21.989830000000001</c:v>
                </c:pt>
                <c:pt idx="118">
                  <c:v>21.983768000000001</c:v>
                </c:pt>
                <c:pt idx="119">
                  <c:v>21.985378999999998</c:v>
                </c:pt>
                <c:pt idx="120">
                  <c:v>21.98076</c:v>
                </c:pt>
                <c:pt idx="121">
                  <c:v>21.977874</c:v>
                </c:pt>
                <c:pt idx="122">
                  <c:v>21.982780999999999</c:v>
                </c:pt>
                <c:pt idx="123">
                  <c:v>21.971810999999999</c:v>
                </c:pt>
                <c:pt idx="124">
                  <c:v>21.973542999999999</c:v>
                </c:pt>
                <c:pt idx="125">
                  <c:v>21.969092</c:v>
                </c:pt>
                <c:pt idx="126">
                  <c:v>21.967936999999999</c:v>
                </c:pt>
                <c:pt idx="127">
                  <c:v>21.974</c:v>
                </c:pt>
                <c:pt idx="128">
                  <c:v>21.975732000000001</c:v>
                </c:pt>
                <c:pt idx="129">
                  <c:v>21.966494000000001</c:v>
                </c:pt>
                <c:pt idx="130">
                  <c:v>21.984103000000001</c:v>
                </c:pt>
                <c:pt idx="131">
                  <c:v>21.970824</c:v>
                </c:pt>
                <c:pt idx="132">
                  <c:v>21.974167000000001</c:v>
                </c:pt>
                <c:pt idx="133">
                  <c:v>21.962909</c:v>
                </c:pt>
                <c:pt idx="134">
                  <c:v>21.960888000000001</c:v>
                </c:pt>
                <c:pt idx="135">
                  <c:v>21.968971</c:v>
                </c:pt>
                <c:pt idx="136">
                  <c:v>21.955282</c:v>
                </c:pt>
                <c:pt idx="137">
                  <c:v>21.958000999999999</c:v>
                </c:pt>
                <c:pt idx="138">
                  <c:v>21.955282</c:v>
                </c:pt>
                <c:pt idx="139">
                  <c:v>21.964352000000002</c:v>
                </c:pt>
                <c:pt idx="140">
                  <c:v>21.954415999999998</c:v>
                </c:pt>
                <c:pt idx="141">
                  <c:v>21.954993000000002</c:v>
                </c:pt>
                <c:pt idx="142">
                  <c:v>21.945634999999999</c:v>
                </c:pt>
                <c:pt idx="143">
                  <c:v>21.956437000000001</c:v>
                </c:pt>
                <c:pt idx="144">
                  <c:v>21.954006</c:v>
                </c:pt>
                <c:pt idx="145">
                  <c:v>21.961511999999999</c:v>
                </c:pt>
                <c:pt idx="146">
                  <c:v>21.950662999999999</c:v>
                </c:pt>
                <c:pt idx="147">
                  <c:v>21.956316000000001</c:v>
                </c:pt>
                <c:pt idx="148">
                  <c:v>21.956316000000001</c:v>
                </c:pt>
                <c:pt idx="149">
                  <c:v>21.964110000000002</c:v>
                </c:pt>
                <c:pt idx="150">
                  <c:v>21.964278</c:v>
                </c:pt>
                <c:pt idx="151">
                  <c:v>21.968319000000001</c:v>
                </c:pt>
                <c:pt idx="152">
                  <c:v>21.962546</c:v>
                </c:pt>
                <c:pt idx="153">
                  <c:v>21.965554000000001</c:v>
                </c:pt>
                <c:pt idx="154">
                  <c:v>21.971495000000001</c:v>
                </c:pt>
                <c:pt idx="155">
                  <c:v>21.978712000000002</c:v>
                </c:pt>
                <c:pt idx="156">
                  <c:v>21.976690999999999</c:v>
                </c:pt>
                <c:pt idx="157">
                  <c:v>21.986795000000001</c:v>
                </c:pt>
                <c:pt idx="158">
                  <c:v>21.995045000000001</c:v>
                </c:pt>
                <c:pt idx="159">
                  <c:v>22.003826</c:v>
                </c:pt>
                <c:pt idx="160">
                  <c:v>22.013808999999998</c:v>
                </c:pt>
                <c:pt idx="161">
                  <c:v>22.026918999999999</c:v>
                </c:pt>
                <c:pt idx="162">
                  <c:v>22.020737</c:v>
                </c:pt>
                <c:pt idx="163">
                  <c:v>22.023911999999999</c:v>
                </c:pt>
                <c:pt idx="164">
                  <c:v>22.027664999999999</c:v>
                </c:pt>
                <c:pt idx="165">
                  <c:v>22.027953</c:v>
                </c:pt>
                <c:pt idx="166">
                  <c:v>22.044695000000001</c:v>
                </c:pt>
                <c:pt idx="167">
                  <c:v>22.032859999999999</c:v>
                </c:pt>
                <c:pt idx="168">
                  <c:v>22.041809000000001</c:v>
                </c:pt>
                <c:pt idx="169">
                  <c:v>22.044118000000001</c:v>
                </c:pt>
                <c:pt idx="170">
                  <c:v>22.042674999999999</c:v>
                </c:pt>
                <c:pt idx="171">
                  <c:v>22.046018</c:v>
                </c:pt>
                <c:pt idx="172">
                  <c:v>22.051501999999999</c:v>
                </c:pt>
                <c:pt idx="173">
                  <c:v>22.045729000000001</c:v>
                </c:pt>
                <c:pt idx="174">
                  <c:v>22.041398999999998</c:v>
                </c:pt>
                <c:pt idx="175">
                  <c:v>22.039090000000002</c:v>
                </c:pt>
                <c:pt idx="176">
                  <c:v>22.032450999999998</c:v>
                </c:pt>
                <c:pt idx="177">
                  <c:v>22.033605999999999</c:v>
                </c:pt>
                <c:pt idx="178">
                  <c:v>22.035506000000002</c:v>
                </c:pt>
                <c:pt idx="179">
                  <c:v>22.033196</c:v>
                </c:pt>
                <c:pt idx="180">
                  <c:v>22.037526</c:v>
                </c:pt>
                <c:pt idx="181">
                  <c:v>22.042432999999999</c:v>
                </c:pt>
                <c:pt idx="182">
                  <c:v>22.035506000000002</c:v>
                </c:pt>
                <c:pt idx="183">
                  <c:v>22.037526</c:v>
                </c:pt>
                <c:pt idx="184">
                  <c:v>22.048086000000001</c:v>
                </c:pt>
                <c:pt idx="185">
                  <c:v>22.032619</c:v>
                </c:pt>
                <c:pt idx="186">
                  <c:v>22.032378000000001</c:v>
                </c:pt>
                <c:pt idx="187">
                  <c:v>22.031054999999999</c:v>
                </c:pt>
                <c:pt idx="188">
                  <c:v>22.032209999999999</c:v>
                </c:pt>
                <c:pt idx="189">
                  <c:v>22.030189</c:v>
                </c:pt>
                <c:pt idx="190">
                  <c:v>22.033532000000001</c:v>
                </c:pt>
                <c:pt idx="191">
                  <c:v>22.030356999999999</c:v>
                </c:pt>
                <c:pt idx="192">
                  <c:v>22.027926999999998</c:v>
                </c:pt>
                <c:pt idx="193">
                  <c:v>22.031967999999999</c:v>
                </c:pt>
                <c:pt idx="194">
                  <c:v>22.031102000000001</c:v>
                </c:pt>
                <c:pt idx="195">
                  <c:v>22.024175</c:v>
                </c:pt>
                <c:pt idx="196">
                  <c:v>22.025041000000002</c:v>
                </c:pt>
                <c:pt idx="197">
                  <c:v>22.032257000000001</c:v>
                </c:pt>
                <c:pt idx="198">
                  <c:v>22.024920000000002</c:v>
                </c:pt>
                <c:pt idx="199">
                  <c:v>22.033580000000001</c:v>
                </c:pt>
                <c:pt idx="200">
                  <c:v>22.035889000000001</c:v>
                </c:pt>
                <c:pt idx="201">
                  <c:v>22.043106000000002</c:v>
                </c:pt>
                <c:pt idx="202">
                  <c:v>22.051933999999999</c:v>
                </c:pt>
                <c:pt idx="203">
                  <c:v>22.050611</c:v>
                </c:pt>
                <c:pt idx="204">
                  <c:v>22.042697</c:v>
                </c:pt>
                <c:pt idx="205">
                  <c:v>22.043562999999999</c:v>
                </c:pt>
                <c:pt idx="206">
                  <c:v>22.050201999999999</c:v>
                </c:pt>
                <c:pt idx="207">
                  <c:v>22.047025999999999</c:v>
                </c:pt>
                <c:pt idx="208">
                  <c:v>22.039978000000001</c:v>
                </c:pt>
                <c:pt idx="209">
                  <c:v>22.033628</c:v>
                </c:pt>
                <c:pt idx="210">
                  <c:v>22.040267</c:v>
                </c:pt>
                <c:pt idx="211">
                  <c:v>22.037092000000001</c:v>
                </c:pt>
                <c:pt idx="212">
                  <c:v>22.033339000000002</c:v>
                </c:pt>
                <c:pt idx="213">
                  <c:v>22.030332000000001</c:v>
                </c:pt>
                <c:pt idx="214">
                  <c:v>22.019074</c:v>
                </c:pt>
                <c:pt idx="215">
                  <c:v>22.015322000000001</c:v>
                </c:pt>
                <c:pt idx="216">
                  <c:v>22.023693000000002</c:v>
                </c:pt>
                <c:pt idx="217">
                  <c:v>22.01792</c:v>
                </c:pt>
                <c:pt idx="218">
                  <c:v>22.024559</c:v>
                </c:pt>
                <c:pt idx="219">
                  <c:v>22.012315000000001</c:v>
                </c:pt>
                <c:pt idx="220">
                  <c:v>22.012315000000001</c:v>
                </c:pt>
                <c:pt idx="221">
                  <c:v>22.011737</c:v>
                </c:pt>
                <c:pt idx="222">
                  <c:v>22.008851</c:v>
                </c:pt>
                <c:pt idx="223">
                  <c:v>22.010583</c:v>
                </c:pt>
                <c:pt idx="224">
                  <c:v>21.999782</c:v>
                </c:pt>
                <c:pt idx="225">
                  <c:v>22.003534999999999</c:v>
                </c:pt>
                <c:pt idx="226">
                  <c:v>22.002956999999999</c:v>
                </c:pt>
                <c:pt idx="227">
                  <c:v>22.009018999999999</c:v>
                </c:pt>
                <c:pt idx="228">
                  <c:v>22.011496999999999</c:v>
                </c:pt>
                <c:pt idx="229">
                  <c:v>22.000816</c:v>
                </c:pt>
                <c:pt idx="230">
                  <c:v>22.000239000000001</c:v>
                </c:pt>
                <c:pt idx="231">
                  <c:v>21.997351999999999</c:v>
                </c:pt>
                <c:pt idx="232">
                  <c:v>22.002548000000001</c:v>
                </c:pt>
                <c:pt idx="233">
                  <c:v>21.997232</c:v>
                </c:pt>
                <c:pt idx="234">
                  <c:v>21.984819000000002</c:v>
                </c:pt>
                <c:pt idx="235">
                  <c:v>21.990593000000001</c:v>
                </c:pt>
                <c:pt idx="236">
                  <c:v>21.995958000000002</c:v>
                </c:pt>
                <c:pt idx="237">
                  <c:v>22.003174000000001</c:v>
                </c:pt>
                <c:pt idx="238">
                  <c:v>22.000288000000001</c:v>
                </c:pt>
                <c:pt idx="239">
                  <c:v>22.002020000000002</c:v>
                </c:pt>
                <c:pt idx="240">
                  <c:v>21.996991999999999</c:v>
                </c:pt>
                <c:pt idx="241">
                  <c:v>21.997281000000001</c:v>
                </c:pt>
                <c:pt idx="242">
                  <c:v>21.998146999999999</c:v>
                </c:pt>
                <c:pt idx="243">
                  <c:v>22.000744999999998</c:v>
                </c:pt>
                <c:pt idx="244">
                  <c:v>21.988909</c:v>
                </c:pt>
                <c:pt idx="245">
                  <c:v>21.991098999999998</c:v>
                </c:pt>
                <c:pt idx="246">
                  <c:v>21.991098999999998</c:v>
                </c:pt>
                <c:pt idx="247">
                  <c:v>21.993120000000001</c:v>
                </c:pt>
                <c:pt idx="248">
                  <c:v>21.994731999999999</c:v>
                </c:pt>
                <c:pt idx="249">
                  <c:v>21.987514999999998</c:v>
                </c:pt>
                <c:pt idx="250">
                  <c:v>21.992591000000001</c:v>
                </c:pt>
                <c:pt idx="251">
                  <c:v>21.992303</c:v>
                </c:pt>
                <c:pt idx="252">
                  <c:v>21.998653000000001</c:v>
                </c:pt>
                <c:pt idx="253">
                  <c:v>21.998365</c:v>
                </c:pt>
                <c:pt idx="254">
                  <c:v>21.989705000000001</c:v>
                </c:pt>
                <c:pt idx="255">
                  <c:v>21.993048999999999</c:v>
                </c:pt>
                <c:pt idx="256">
                  <c:v>21.999110999999999</c:v>
                </c:pt>
                <c:pt idx="257">
                  <c:v>21.994204</c:v>
                </c:pt>
                <c:pt idx="258">
                  <c:v>21.988309999999998</c:v>
                </c:pt>
                <c:pt idx="259">
                  <c:v>22.007363000000002</c:v>
                </c:pt>
                <c:pt idx="260">
                  <c:v>22.003609999999998</c:v>
                </c:pt>
                <c:pt idx="261">
                  <c:v>22.011403999999999</c:v>
                </c:pt>
                <c:pt idx="262">
                  <c:v>22.011284</c:v>
                </c:pt>
                <c:pt idx="263">
                  <c:v>22.008398</c:v>
                </c:pt>
                <c:pt idx="264">
                  <c:v>22.005800000000001</c:v>
                </c:pt>
                <c:pt idx="265">
                  <c:v>21.999738000000001</c:v>
                </c:pt>
                <c:pt idx="266">
                  <c:v>22.002047000000001</c:v>
                </c:pt>
                <c:pt idx="267">
                  <c:v>22.009433000000001</c:v>
                </c:pt>
                <c:pt idx="268">
                  <c:v>22.002793</c:v>
                </c:pt>
                <c:pt idx="269">
                  <c:v>21.992978999999998</c:v>
                </c:pt>
                <c:pt idx="270">
                  <c:v>21.987086000000001</c:v>
                </c:pt>
                <c:pt idx="271">
                  <c:v>21.984776</c:v>
                </c:pt>
                <c:pt idx="272">
                  <c:v>21.987663000000001</c:v>
                </c:pt>
                <c:pt idx="273">
                  <c:v>21.978306</c:v>
                </c:pt>
                <c:pt idx="274">
                  <c:v>21.969068</c:v>
                </c:pt>
                <c:pt idx="275">
                  <c:v>21.977150999999999</c:v>
                </c:pt>
                <c:pt idx="276">
                  <c:v>21.972821</c:v>
                </c:pt>
                <c:pt idx="277">
                  <c:v>21.974433999999999</c:v>
                </c:pt>
                <c:pt idx="278">
                  <c:v>21.980785000000001</c:v>
                </c:pt>
                <c:pt idx="279">
                  <c:v>21.970103999999999</c:v>
                </c:pt>
                <c:pt idx="280">
                  <c:v>21.96866</c:v>
                </c:pt>
                <c:pt idx="281">
                  <c:v>21.968540999999998</c:v>
                </c:pt>
                <c:pt idx="282">
                  <c:v>21.962768000000001</c:v>
                </c:pt>
                <c:pt idx="283">
                  <c:v>21.957283</c:v>
                </c:pt>
                <c:pt idx="284">
                  <c:v>21.959472999999999</c:v>
                </c:pt>
                <c:pt idx="285">
                  <c:v>21.959184</c:v>
                </c:pt>
                <c:pt idx="286">
                  <c:v>21.948214</c:v>
                </c:pt>
                <c:pt idx="287">
                  <c:v>21.950811999999999</c:v>
                </c:pt>
                <c:pt idx="288">
                  <c:v>21.953579999999999</c:v>
                </c:pt>
                <c:pt idx="289">
                  <c:v>21.954277000000001</c:v>
                </c:pt>
                <c:pt idx="290">
                  <c:v>21.949826999999999</c:v>
                </c:pt>
                <c:pt idx="291">
                  <c:v>21.950693000000001</c:v>
                </c:pt>
                <c:pt idx="292">
                  <c:v>21.952883</c:v>
                </c:pt>
                <c:pt idx="293">
                  <c:v>21.951150999999999</c:v>
                </c:pt>
                <c:pt idx="294">
                  <c:v>21.942202000000002</c:v>
                </c:pt>
                <c:pt idx="295">
                  <c:v>21.947686999999998</c:v>
                </c:pt>
                <c:pt idx="296">
                  <c:v>21.937583</c:v>
                </c:pt>
                <c:pt idx="297">
                  <c:v>21.946124999999999</c:v>
                </c:pt>
                <c:pt idx="298">
                  <c:v>21.940928</c:v>
                </c:pt>
                <c:pt idx="299">
                  <c:v>21.940062000000001</c:v>
                </c:pt>
                <c:pt idx="300">
                  <c:v>21.935442999999999</c:v>
                </c:pt>
                <c:pt idx="301">
                  <c:v>21.943407000000001</c:v>
                </c:pt>
                <c:pt idx="302">
                  <c:v>21.939654999999998</c:v>
                </c:pt>
                <c:pt idx="303">
                  <c:v>21.939654999999998</c:v>
                </c:pt>
                <c:pt idx="304">
                  <c:v>21.933302999999999</c:v>
                </c:pt>
                <c:pt idx="305">
                  <c:v>21.929839000000001</c:v>
                </c:pt>
                <c:pt idx="306">
                  <c:v>21.934051</c:v>
                </c:pt>
                <c:pt idx="307">
                  <c:v>21.931452</c:v>
                </c:pt>
                <c:pt idx="308">
                  <c:v>21.927122000000001</c:v>
                </c:pt>
                <c:pt idx="309">
                  <c:v>21.921925999999999</c:v>
                </c:pt>
                <c:pt idx="310">
                  <c:v>21.930586000000002</c:v>
                </c:pt>
                <c:pt idx="311">
                  <c:v>21.92539</c:v>
                </c:pt>
                <c:pt idx="312">
                  <c:v>21.935952</c:v>
                </c:pt>
                <c:pt idx="313">
                  <c:v>21.932199000000001</c:v>
                </c:pt>
                <c:pt idx="314">
                  <c:v>21.924982</c:v>
                </c:pt>
                <c:pt idx="315">
                  <c:v>21.932081</c:v>
                </c:pt>
                <c:pt idx="316">
                  <c:v>21.929770999999999</c:v>
                </c:pt>
                <c:pt idx="317">
                  <c:v>21.926017999999999</c:v>
                </c:pt>
                <c:pt idx="318">
                  <c:v>21.921976999999998</c:v>
                </c:pt>
                <c:pt idx="319">
                  <c:v>21.924285999999999</c:v>
                </c:pt>
                <c:pt idx="320">
                  <c:v>21.915047999999999</c:v>
                </c:pt>
                <c:pt idx="321">
                  <c:v>21.927631000000002</c:v>
                </c:pt>
                <c:pt idx="322">
                  <c:v>21.927053999999998</c:v>
                </c:pt>
                <c:pt idx="323">
                  <c:v>21.930517999999999</c:v>
                </c:pt>
                <c:pt idx="324">
                  <c:v>21.928090000000001</c:v>
                </c:pt>
                <c:pt idx="325">
                  <c:v>21.928498000000001</c:v>
                </c:pt>
                <c:pt idx="326">
                  <c:v>21.929822000000001</c:v>
                </c:pt>
                <c:pt idx="327">
                  <c:v>21.929245000000002</c:v>
                </c:pt>
                <c:pt idx="328">
                  <c:v>21.924047999999999</c:v>
                </c:pt>
                <c:pt idx="329">
                  <c:v>21.931146999999999</c:v>
                </c:pt>
                <c:pt idx="330">
                  <c:v>21.932302</c:v>
                </c:pt>
                <c:pt idx="331">
                  <c:v>21.915268999999999</c:v>
                </c:pt>
                <c:pt idx="332">
                  <c:v>21.929414999999999</c:v>
                </c:pt>
                <c:pt idx="333">
                  <c:v>21.931723999999999</c:v>
                </c:pt>
                <c:pt idx="334">
                  <c:v>21.927682999999998</c:v>
                </c:pt>
                <c:pt idx="335">
                  <c:v>21.921502</c:v>
                </c:pt>
                <c:pt idx="336">
                  <c:v>21.926409</c:v>
                </c:pt>
                <c:pt idx="337">
                  <c:v>21.922367999999999</c:v>
                </c:pt>
                <c:pt idx="338">
                  <c:v>21.927564</c:v>
                </c:pt>
                <c:pt idx="339">
                  <c:v>21.926867999999999</c:v>
                </c:pt>
                <c:pt idx="340">
                  <c:v>21.910820000000001</c:v>
                </c:pt>
                <c:pt idx="341">
                  <c:v>21.909547</c:v>
                </c:pt>
                <c:pt idx="342">
                  <c:v>21.919073999999998</c:v>
                </c:pt>
                <c:pt idx="343">
                  <c:v>21.921382999999999</c:v>
                </c:pt>
                <c:pt idx="344">
                  <c:v>21.915897999999999</c:v>
                </c:pt>
                <c:pt idx="345">
                  <c:v>21.911856</c:v>
                </c:pt>
                <c:pt idx="346">
                  <c:v>21.922537999999999</c:v>
                </c:pt>
                <c:pt idx="347">
                  <c:v>21.915779000000001</c:v>
                </c:pt>
                <c:pt idx="348">
                  <c:v>21.915490999999999</c:v>
                </c:pt>
                <c:pt idx="349">
                  <c:v>21.919243999999999</c:v>
                </c:pt>
                <c:pt idx="350">
                  <c:v>21.913181000000002</c:v>
                </c:pt>
                <c:pt idx="351">
                  <c:v>21.907865999999999</c:v>
                </c:pt>
                <c:pt idx="352">
                  <c:v>21.918548000000001</c:v>
                </c:pt>
                <c:pt idx="353">
                  <c:v>21.918955</c:v>
                </c:pt>
                <c:pt idx="354">
                  <c:v>21.915084</c:v>
                </c:pt>
                <c:pt idx="355">
                  <c:v>21.922588999999999</c:v>
                </c:pt>
                <c:pt idx="356">
                  <c:v>21.932694000000001</c:v>
                </c:pt>
                <c:pt idx="357">
                  <c:v>21.937483</c:v>
                </c:pt>
                <c:pt idx="358">
                  <c:v>21.926801000000001</c:v>
                </c:pt>
                <c:pt idx="359">
                  <c:v>21.932286000000001</c:v>
                </c:pt>
                <c:pt idx="360">
                  <c:v>21.930266</c:v>
                </c:pt>
                <c:pt idx="361">
                  <c:v>21.924202999999999</c:v>
                </c:pt>
                <c:pt idx="362">
                  <c:v>21.924085000000002</c:v>
                </c:pt>
                <c:pt idx="363">
                  <c:v>21.924662000000001</c:v>
                </c:pt>
                <c:pt idx="364">
                  <c:v>21.924085000000002</c:v>
                </c:pt>
                <c:pt idx="365">
                  <c:v>21.926971999999999</c:v>
                </c:pt>
                <c:pt idx="366">
                  <c:v>21.93205</c:v>
                </c:pt>
                <c:pt idx="367">
                  <c:v>21.935514000000001</c:v>
                </c:pt>
                <c:pt idx="368">
                  <c:v>21.934647999999999</c:v>
                </c:pt>
                <c:pt idx="369">
                  <c:v>21.933205000000001</c:v>
                </c:pt>
                <c:pt idx="370">
                  <c:v>21.927430999999999</c:v>
                </c:pt>
                <c:pt idx="371">
                  <c:v>21.927023999999999</c:v>
                </c:pt>
                <c:pt idx="372">
                  <c:v>21.919229000000001</c:v>
                </c:pt>
                <c:pt idx="373">
                  <c:v>21.919229000000001</c:v>
                </c:pt>
                <c:pt idx="374">
                  <c:v>21.917379</c:v>
                </c:pt>
                <c:pt idx="375">
                  <c:v>21.919111000000001</c:v>
                </c:pt>
                <c:pt idx="376">
                  <c:v>21.913336999999999</c:v>
                </c:pt>
                <c:pt idx="377">
                  <c:v>21.908429999999999</c:v>
                </c:pt>
                <c:pt idx="378">
                  <c:v>21.916972000000001</c:v>
                </c:pt>
                <c:pt idx="379">
                  <c:v>21.907851999999998</c:v>
                </c:pt>
                <c:pt idx="380">
                  <c:v>21.899650999999999</c:v>
                </c:pt>
                <c:pt idx="381">
                  <c:v>21.900804999999998</c:v>
                </c:pt>
                <c:pt idx="382">
                  <c:v>21.896764000000001</c:v>
                </c:pt>
                <c:pt idx="383">
                  <c:v>21.900687000000001</c:v>
                </c:pt>
                <c:pt idx="384">
                  <c:v>21.891159999999999</c:v>
                </c:pt>
                <c:pt idx="385">
                  <c:v>21.892603999999999</c:v>
                </c:pt>
                <c:pt idx="386">
                  <c:v>21.890754000000001</c:v>
                </c:pt>
                <c:pt idx="387">
                  <c:v>21.886251999999999</c:v>
                </c:pt>
                <c:pt idx="388">
                  <c:v>21.880361000000001</c:v>
                </c:pt>
                <c:pt idx="389">
                  <c:v>21.882959</c:v>
                </c:pt>
                <c:pt idx="390">
                  <c:v>21.884691</c:v>
                </c:pt>
                <c:pt idx="391">
                  <c:v>21.882670000000001</c:v>
                </c:pt>
                <c:pt idx="392">
                  <c:v>21.877932999999999</c:v>
                </c:pt>
                <c:pt idx="393">
                  <c:v>21.879664999999999</c:v>
                </c:pt>
                <c:pt idx="394">
                  <c:v>21.878799000000001</c:v>
                </c:pt>
                <c:pt idx="395">
                  <c:v>21.880243</c:v>
                </c:pt>
                <c:pt idx="396">
                  <c:v>21.881685999999998</c:v>
                </c:pt>
                <c:pt idx="397">
                  <c:v>21.871870000000001</c:v>
                </c:pt>
                <c:pt idx="398">
                  <c:v>21.884744000000001</c:v>
                </c:pt>
                <c:pt idx="399">
                  <c:v>21.873773</c:v>
                </c:pt>
                <c:pt idx="400">
                  <c:v>21.876660000000001</c:v>
                </c:pt>
                <c:pt idx="401">
                  <c:v>21.865400999999999</c:v>
                </c:pt>
                <c:pt idx="402">
                  <c:v>21.875505</c:v>
                </c:pt>
                <c:pt idx="403">
                  <c:v>21.879546999999999</c:v>
                </c:pt>
                <c:pt idx="404">
                  <c:v>21.870598000000001</c:v>
                </c:pt>
                <c:pt idx="405">
                  <c:v>21.865860000000001</c:v>
                </c:pt>
                <c:pt idx="406">
                  <c:v>21.873078</c:v>
                </c:pt>
                <c:pt idx="407">
                  <c:v>21.880873000000001</c:v>
                </c:pt>
                <c:pt idx="408">
                  <c:v>21.878563</c:v>
                </c:pt>
                <c:pt idx="409">
                  <c:v>21.870480000000001</c:v>
                </c:pt>
                <c:pt idx="410">
                  <c:v>21.869613999999999</c:v>
                </c:pt>
                <c:pt idx="411">
                  <c:v>21.873826000000001</c:v>
                </c:pt>
                <c:pt idx="412">
                  <c:v>21.867474999999999</c:v>
                </c:pt>
                <c:pt idx="413">
                  <c:v>21.873709000000002</c:v>
                </c:pt>
                <c:pt idx="414">
                  <c:v>21.864758999999999</c:v>
                </c:pt>
                <c:pt idx="415">
                  <c:v>21.858985000000001</c:v>
                </c:pt>
                <c:pt idx="416">
                  <c:v>21.862449000000002</c:v>
                </c:pt>
                <c:pt idx="417">
                  <c:v>21.856097999999999</c:v>
                </c:pt>
                <c:pt idx="418">
                  <c:v>21.850901</c:v>
                </c:pt>
                <c:pt idx="419">
                  <c:v>21.855232000000001</c:v>
                </c:pt>
                <c:pt idx="420">
                  <c:v>21.852922</c:v>
                </c:pt>
                <c:pt idx="421">
                  <c:v>21.848762000000001</c:v>
                </c:pt>
                <c:pt idx="422">
                  <c:v>21.846164000000002</c:v>
                </c:pt>
                <c:pt idx="423">
                  <c:v>21.852803999999999</c:v>
                </c:pt>
                <c:pt idx="424">
                  <c:v>21.845298</c:v>
                </c:pt>
                <c:pt idx="425">
                  <c:v>21.845009000000001</c:v>
                </c:pt>
                <c:pt idx="426">
                  <c:v>21.845469000000001</c:v>
                </c:pt>
                <c:pt idx="427">
                  <c:v>21.838946</c:v>
                </c:pt>
                <c:pt idx="428">
                  <c:v>21.834498</c:v>
                </c:pt>
                <c:pt idx="429">
                  <c:v>21.841138000000001</c:v>
                </c:pt>
                <c:pt idx="430">
                  <c:v>21.820927999999999</c:v>
                </c:pt>
                <c:pt idx="431">
                  <c:v>21.827857999999999</c:v>
                </c:pt>
                <c:pt idx="432">
                  <c:v>21.829301000000001</c:v>
                </c:pt>
                <c:pt idx="433">
                  <c:v>21.815732000000001</c:v>
                </c:pt>
                <c:pt idx="434">
                  <c:v>21.828146</c:v>
                </c:pt>
                <c:pt idx="435">
                  <c:v>21.815732000000001</c:v>
                </c:pt>
                <c:pt idx="436">
                  <c:v>21.829471999999999</c:v>
                </c:pt>
                <c:pt idx="437">
                  <c:v>21.831322</c:v>
                </c:pt>
                <c:pt idx="438">
                  <c:v>21.830627</c:v>
                </c:pt>
                <c:pt idx="439">
                  <c:v>21.825718999999999</c:v>
                </c:pt>
                <c:pt idx="440">
                  <c:v>21.824853000000001</c:v>
                </c:pt>
                <c:pt idx="441">
                  <c:v>21.829761000000001</c:v>
                </c:pt>
                <c:pt idx="442">
                  <c:v>21.823868999999998</c:v>
                </c:pt>
                <c:pt idx="443">
                  <c:v>21.815902999999999</c:v>
                </c:pt>
                <c:pt idx="444">
                  <c:v>21.821847999999999</c:v>
                </c:pt>
                <c:pt idx="445">
                  <c:v>21.828489000000001</c:v>
                </c:pt>
                <c:pt idx="446">
                  <c:v>21.822019999999998</c:v>
                </c:pt>
                <c:pt idx="447">
                  <c:v>21.820405000000001</c:v>
                </c:pt>
                <c:pt idx="448">
                  <c:v>21.816362999999999</c:v>
                </c:pt>
                <c:pt idx="449">
                  <c:v>21.824328999999999</c:v>
                </c:pt>
                <c:pt idx="450">
                  <c:v>21.826639</c:v>
                </c:pt>
                <c:pt idx="451">
                  <c:v>21.822019999999998</c:v>
                </c:pt>
                <c:pt idx="452">
                  <c:v>21.810182000000001</c:v>
                </c:pt>
                <c:pt idx="453">
                  <c:v>21.821442000000001</c:v>
                </c:pt>
                <c:pt idx="454">
                  <c:v>21.819420999999998</c:v>
                </c:pt>
                <c:pt idx="455">
                  <c:v>21.81786</c:v>
                </c:pt>
                <c:pt idx="456">
                  <c:v>21.820170000000001</c:v>
                </c:pt>
                <c:pt idx="457">
                  <c:v>21.811914999999999</c:v>
                </c:pt>
                <c:pt idx="458">
                  <c:v>21.821035999999999</c:v>
                </c:pt>
                <c:pt idx="459">
                  <c:v>21.817283</c:v>
                </c:pt>
                <c:pt idx="460">
                  <c:v>21.816704999999999</c:v>
                </c:pt>
                <c:pt idx="461">
                  <c:v>21.810354</c:v>
                </c:pt>
                <c:pt idx="462">
                  <c:v>21.812491999999999</c:v>
                </c:pt>
                <c:pt idx="463">
                  <c:v>21.817283</c:v>
                </c:pt>
                <c:pt idx="464">
                  <c:v>21.809659</c:v>
                </c:pt>
                <c:pt idx="465">
                  <c:v>21.818608999999999</c:v>
                </c:pt>
                <c:pt idx="466">
                  <c:v>21.816877000000002</c:v>
                </c:pt>
                <c:pt idx="467">
                  <c:v>21.814855999999999</c:v>
                </c:pt>
                <c:pt idx="468">
                  <c:v>21.816299000000001</c:v>
                </c:pt>
                <c:pt idx="469">
                  <c:v>21.813700999999998</c:v>
                </c:pt>
                <c:pt idx="470">
                  <c:v>21.80706</c:v>
                </c:pt>
                <c:pt idx="471">
                  <c:v>21.810524999999998</c:v>
                </c:pt>
                <c:pt idx="472">
                  <c:v>21.813700999999998</c:v>
                </c:pt>
                <c:pt idx="473">
                  <c:v>21.812835</c:v>
                </c:pt>
                <c:pt idx="474">
                  <c:v>21.814160999999999</c:v>
                </c:pt>
                <c:pt idx="475">
                  <c:v>21.808387</c:v>
                </c:pt>
                <c:pt idx="476">
                  <c:v>21.815892999999999</c:v>
                </c:pt>
                <c:pt idx="477">
                  <c:v>21.820224</c:v>
                </c:pt>
                <c:pt idx="478">
                  <c:v>21.813006000000001</c:v>
                </c:pt>
                <c:pt idx="479">
                  <c:v>21.816471</c:v>
                </c:pt>
                <c:pt idx="480">
                  <c:v>21.806943</c:v>
                </c:pt>
                <c:pt idx="481">
                  <c:v>21.803767000000001</c:v>
                </c:pt>
                <c:pt idx="482">
                  <c:v>21.807981000000002</c:v>
                </c:pt>
                <c:pt idx="483">
                  <c:v>21.813178000000001</c:v>
                </c:pt>
                <c:pt idx="484">
                  <c:v>21.805671</c:v>
                </c:pt>
                <c:pt idx="485">
                  <c:v>21.800474000000001</c:v>
                </c:pt>
                <c:pt idx="486">
                  <c:v>21.80134</c:v>
                </c:pt>
                <c:pt idx="487">
                  <c:v>21.803243999999999</c:v>
                </c:pt>
                <c:pt idx="488">
                  <c:v>21.815487000000001</c:v>
                </c:pt>
                <c:pt idx="489">
                  <c:v>21.819528999999999</c:v>
                </c:pt>
                <c:pt idx="490">
                  <c:v>21.812771999999999</c:v>
                </c:pt>
                <c:pt idx="491">
                  <c:v>21.813755</c:v>
                </c:pt>
                <c:pt idx="492">
                  <c:v>21.818546000000001</c:v>
                </c:pt>
                <c:pt idx="493">
                  <c:v>21.806419999999999</c:v>
                </c:pt>
                <c:pt idx="494">
                  <c:v>21.809018999999999</c:v>
                </c:pt>
                <c:pt idx="495">
                  <c:v>21.804399</c:v>
                </c:pt>
                <c:pt idx="496">
                  <c:v>21.798912999999999</c:v>
                </c:pt>
                <c:pt idx="497">
                  <c:v>21.813927</c:v>
                </c:pt>
                <c:pt idx="498">
                  <c:v>21.809307</c:v>
                </c:pt>
                <c:pt idx="499">
                  <c:v>21.804687999999999</c:v>
                </c:pt>
                <c:pt idx="500">
                  <c:v>21.805554000000001</c:v>
                </c:pt>
                <c:pt idx="501">
                  <c:v>21.807458</c:v>
                </c:pt>
                <c:pt idx="502">
                  <c:v>21.803415999999999</c:v>
                </c:pt>
                <c:pt idx="503">
                  <c:v>21.803127</c:v>
                </c:pt>
                <c:pt idx="504">
                  <c:v>21.80763</c:v>
                </c:pt>
                <c:pt idx="505">
                  <c:v>21.800699999999999</c:v>
                </c:pt>
                <c:pt idx="506">
                  <c:v>21.788574000000001</c:v>
                </c:pt>
                <c:pt idx="507">
                  <c:v>21.794926</c:v>
                </c:pt>
                <c:pt idx="508">
                  <c:v>21.796081000000001</c:v>
                </c:pt>
                <c:pt idx="509">
                  <c:v>21.802433000000001</c:v>
                </c:pt>
                <c:pt idx="510">
                  <c:v>21.803298999999999</c:v>
                </c:pt>
                <c:pt idx="511">
                  <c:v>21.792498999999999</c:v>
                </c:pt>
                <c:pt idx="512">
                  <c:v>21.795964000000001</c:v>
                </c:pt>
                <c:pt idx="513">
                  <c:v>21.796253</c:v>
                </c:pt>
                <c:pt idx="514">
                  <c:v>21.802026999999999</c:v>
                </c:pt>
                <c:pt idx="515">
                  <c:v>21.800294999999998</c:v>
                </c:pt>
                <c:pt idx="516">
                  <c:v>21.800294999999998</c:v>
                </c:pt>
                <c:pt idx="517">
                  <c:v>21.792960000000001</c:v>
                </c:pt>
                <c:pt idx="518">
                  <c:v>21.785741999999999</c:v>
                </c:pt>
                <c:pt idx="519">
                  <c:v>21.791226999999999</c:v>
                </c:pt>
                <c:pt idx="520">
                  <c:v>21.784586999999998</c:v>
                </c:pt>
                <c:pt idx="521">
                  <c:v>21.789494999999999</c:v>
                </c:pt>
                <c:pt idx="522">
                  <c:v>21.785046999999999</c:v>
                </c:pt>
                <c:pt idx="523">
                  <c:v>21.796306999999999</c:v>
                </c:pt>
                <c:pt idx="524">
                  <c:v>21.793132</c:v>
                </c:pt>
                <c:pt idx="525">
                  <c:v>21.798328999999999</c:v>
                </c:pt>
                <c:pt idx="526">
                  <c:v>21.795441</c:v>
                </c:pt>
                <c:pt idx="527">
                  <c:v>21.787068000000001</c:v>
                </c:pt>
                <c:pt idx="528">
                  <c:v>21.785046999999999</c:v>
                </c:pt>
                <c:pt idx="529">
                  <c:v>21.786373999999999</c:v>
                </c:pt>
                <c:pt idx="530">
                  <c:v>21.792148999999998</c:v>
                </c:pt>
                <c:pt idx="531">
                  <c:v>21.780311000000001</c:v>
                </c:pt>
                <c:pt idx="532">
                  <c:v>21.790127999999999</c:v>
                </c:pt>
                <c:pt idx="533">
                  <c:v>21.785796999999999</c:v>
                </c:pt>
                <c:pt idx="534">
                  <c:v>21.794747000000001</c:v>
                </c:pt>
                <c:pt idx="535">
                  <c:v>21.782793000000002</c:v>
                </c:pt>
                <c:pt idx="536">
                  <c:v>21.781638000000001</c:v>
                </c:pt>
                <c:pt idx="537">
                  <c:v>21.788395000000001</c:v>
                </c:pt>
                <c:pt idx="538">
                  <c:v>21.781927</c:v>
                </c:pt>
                <c:pt idx="539">
                  <c:v>21.784524999999999</c:v>
                </c:pt>
                <c:pt idx="540">
                  <c:v>21.802136999999998</c:v>
                </c:pt>
                <c:pt idx="541">
                  <c:v>21.804908000000001</c:v>
                </c:pt>
                <c:pt idx="542">
                  <c:v>21.802136999999998</c:v>
                </c:pt>
                <c:pt idx="543">
                  <c:v>21.799710999999999</c:v>
                </c:pt>
                <c:pt idx="544">
                  <c:v>21.811259</c:v>
                </c:pt>
                <c:pt idx="545">
                  <c:v>21.819631999999999</c:v>
                </c:pt>
                <c:pt idx="546">
                  <c:v>21.816051000000002</c:v>
                </c:pt>
                <c:pt idx="547">
                  <c:v>21.820381999999999</c:v>
                </c:pt>
                <c:pt idx="548">
                  <c:v>21.827888000000002</c:v>
                </c:pt>
                <c:pt idx="549">
                  <c:v>21.827311000000002</c:v>
                </c:pt>
                <c:pt idx="550">
                  <c:v>21.830774999999999</c:v>
                </c:pt>
                <c:pt idx="551">
                  <c:v>21.833663000000001</c:v>
                </c:pt>
                <c:pt idx="552">
                  <c:v>21.823557999999998</c:v>
                </c:pt>
                <c:pt idx="553">
                  <c:v>21.840185999999999</c:v>
                </c:pt>
                <c:pt idx="554">
                  <c:v>21.845672</c:v>
                </c:pt>
                <c:pt idx="555">
                  <c:v>21.839320000000001</c:v>
                </c:pt>
                <c:pt idx="556">
                  <c:v>21.832391000000001</c:v>
                </c:pt>
                <c:pt idx="557">
                  <c:v>21.844111999999999</c:v>
                </c:pt>
                <c:pt idx="558">
                  <c:v>21.836894000000001</c:v>
                </c:pt>
                <c:pt idx="559">
                  <c:v>21.845267</c:v>
                </c:pt>
                <c:pt idx="560">
                  <c:v>21.846420999999999</c:v>
                </c:pt>
                <c:pt idx="561">
                  <c:v>21.850636000000002</c:v>
                </c:pt>
                <c:pt idx="562">
                  <c:v>21.864609999999999</c:v>
                </c:pt>
                <c:pt idx="563">
                  <c:v>21.866226000000001</c:v>
                </c:pt>
                <c:pt idx="564">
                  <c:v>21.863627000000001</c:v>
                </c:pt>
                <c:pt idx="565">
                  <c:v>21.879217000000001</c:v>
                </c:pt>
                <c:pt idx="566">
                  <c:v>21.875464000000001</c:v>
                </c:pt>
                <c:pt idx="567">
                  <c:v>21.871711000000001</c:v>
                </c:pt>
                <c:pt idx="568">
                  <c:v>21.879390000000001</c:v>
                </c:pt>
                <c:pt idx="569">
                  <c:v>21.890937999999998</c:v>
                </c:pt>
                <c:pt idx="570">
                  <c:v>21.887473</c:v>
                </c:pt>
                <c:pt idx="571">
                  <c:v>21.894691000000002</c:v>
                </c:pt>
                <c:pt idx="572">
                  <c:v>21.895845000000001</c:v>
                </c:pt>
                <c:pt idx="573">
                  <c:v>21.889493999999999</c:v>
                </c:pt>
                <c:pt idx="574">
                  <c:v>21.894691000000002</c:v>
                </c:pt>
                <c:pt idx="575">
                  <c:v>21.891226</c:v>
                </c:pt>
                <c:pt idx="576">
                  <c:v>21.883603999999998</c:v>
                </c:pt>
                <c:pt idx="577">
                  <c:v>21.891110000000001</c:v>
                </c:pt>
                <c:pt idx="578">
                  <c:v>21.881005999999999</c:v>
                </c:pt>
                <c:pt idx="579">
                  <c:v>21.878696000000001</c:v>
                </c:pt>
                <c:pt idx="580">
                  <c:v>21.884758999999999</c:v>
                </c:pt>
                <c:pt idx="581">
                  <c:v>21.876097999999999</c:v>
                </c:pt>
                <c:pt idx="582">
                  <c:v>21.878985</c:v>
                </c:pt>
                <c:pt idx="583">
                  <c:v>21.877714000000001</c:v>
                </c:pt>
                <c:pt idx="584">
                  <c:v>21.879446000000002</c:v>
                </c:pt>
                <c:pt idx="585">
                  <c:v>21.882504999999998</c:v>
                </c:pt>
                <c:pt idx="586">
                  <c:v>21.880196000000002</c:v>
                </c:pt>
                <c:pt idx="587">
                  <c:v>21.881927999999998</c:v>
                </c:pt>
                <c:pt idx="588">
                  <c:v>21.873556000000001</c:v>
                </c:pt>
                <c:pt idx="589">
                  <c:v>21.868475</c:v>
                </c:pt>
                <c:pt idx="590">
                  <c:v>21.881639</c:v>
                </c:pt>
                <c:pt idx="591">
                  <c:v>21.876730999999999</c:v>
                </c:pt>
                <c:pt idx="592">
                  <c:v>21.877481</c:v>
                </c:pt>
                <c:pt idx="593">
                  <c:v>21.878636</c:v>
                </c:pt>
                <c:pt idx="594">
                  <c:v>21.882504999999998</c:v>
                </c:pt>
                <c:pt idx="595">
                  <c:v>21.882967000000001</c:v>
                </c:pt>
                <c:pt idx="596">
                  <c:v>21.878636</c:v>
                </c:pt>
                <c:pt idx="597">
                  <c:v>21.871707000000001</c:v>
                </c:pt>
                <c:pt idx="598">
                  <c:v>21.876788000000001</c:v>
                </c:pt>
                <c:pt idx="599">
                  <c:v>21.880541000000001</c:v>
                </c:pt>
                <c:pt idx="600">
                  <c:v>21.868414999999999</c:v>
                </c:pt>
                <c:pt idx="601">
                  <c:v>21.868993</c:v>
                </c:pt>
                <c:pt idx="602">
                  <c:v>21.872457000000001</c:v>
                </c:pt>
                <c:pt idx="603">
                  <c:v>21.872919</c:v>
                </c:pt>
                <c:pt idx="604">
                  <c:v>21.862814</c:v>
                </c:pt>
                <c:pt idx="605">
                  <c:v>21.863969000000001</c:v>
                </c:pt>
                <c:pt idx="606">
                  <c:v>21.864834999999999</c:v>
                </c:pt>
                <c:pt idx="607">
                  <c:v>21.859638</c:v>
                </c:pt>
                <c:pt idx="608">
                  <c:v>21.866855999999999</c:v>
                </c:pt>
                <c:pt idx="609">
                  <c:v>21.871648</c:v>
                </c:pt>
                <c:pt idx="610">
                  <c:v>21.864142000000001</c:v>
                </c:pt>
                <c:pt idx="611">
                  <c:v>21.859521999999998</c:v>
                </c:pt>
                <c:pt idx="612">
                  <c:v>21.859521999999998</c:v>
                </c:pt>
                <c:pt idx="613">
                  <c:v>21.877133000000001</c:v>
                </c:pt>
                <c:pt idx="614">
                  <c:v>21.880482000000001</c:v>
                </c:pt>
                <c:pt idx="615">
                  <c:v>21.866451000000001</c:v>
                </c:pt>
                <c:pt idx="616">
                  <c:v>21.875978</c:v>
                </c:pt>
                <c:pt idx="617">
                  <c:v>21.886832999999999</c:v>
                </c:pt>
                <c:pt idx="618">
                  <c:v>21.889143000000001</c:v>
                </c:pt>
                <c:pt idx="619">
                  <c:v>21.889430999999998</c:v>
                </c:pt>
                <c:pt idx="620">
                  <c:v>21.892029999999998</c:v>
                </c:pt>
                <c:pt idx="621">
                  <c:v>21.906752999999998</c:v>
                </c:pt>
                <c:pt idx="622">
                  <c:v>21.906175999999999</c:v>
                </c:pt>
                <c:pt idx="623">
                  <c:v>21.91039</c:v>
                </c:pt>
                <c:pt idx="624">
                  <c:v>21.899419999999999</c:v>
                </c:pt>
                <c:pt idx="625">
                  <c:v>21.920494000000001</c:v>
                </c:pt>
                <c:pt idx="626">
                  <c:v>21.907215000000001</c:v>
                </c:pt>
                <c:pt idx="627">
                  <c:v>21.914892999999999</c:v>
                </c:pt>
                <c:pt idx="628">
                  <c:v>21.916336999999999</c:v>
                </c:pt>
                <c:pt idx="629">
                  <c:v>21.914892999999999</c:v>
                </c:pt>
                <c:pt idx="630">
                  <c:v>21.914432000000001</c:v>
                </c:pt>
                <c:pt idx="631">
                  <c:v>21.930194</c:v>
                </c:pt>
                <c:pt idx="632">
                  <c:v>21.928056999999999</c:v>
                </c:pt>
                <c:pt idx="633">
                  <c:v>21.923553999999999</c:v>
                </c:pt>
                <c:pt idx="634">
                  <c:v>21.920262999999998</c:v>
                </c:pt>
                <c:pt idx="635">
                  <c:v>21.926324999999999</c:v>
                </c:pt>
                <c:pt idx="636">
                  <c:v>21.919397</c:v>
                </c:pt>
                <c:pt idx="637">
                  <c:v>21.925170999999999</c:v>
                </c:pt>
                <c:pt idx="638">
                  <c:v>21.921129000000001</c:v>
                </c:pt>
                <c:pt idx="639">
                  <c:v>21.936025000000001</c:v>
                </c:pt>
                <c:pt idx="640">
                  <c:v>21.932272000000001</c:v>
                </c:pt>
                <c:pt idx="641">
                  <c:v>21.927942000000002</c:v>
                </c:pt>
                <c:pt idx="642">
                  <c:v>21.936025000000001</c:v>
                </c:pt>
                <c:pt idx="643">
                  <c:v>21.930828999999999</c:v>
                </c:pt>
                <c:pt idx="644">
                  <c:v>21.929385</c:v>
                </c:pt>
                <c:pt idx="645">
                  <c:v>21.925516999999999</c:v>
                </c:pt>
                <c:pt idx="646">
                  <c:v>21.934176999999998</c:v>
                </c:pt>
                <c:pt idx="647">
                  <c:v>21.922630000000002</c:v>
                </c:pt>
                <c:pt idx="648">
                  <c:v>21.923669</c:v>
                </c:pt>
                <c:pt idx="649">
                  <c:v>21.912410000000001</c:v>
                </c:pt>
                <c:pt idx="650">
                  <c:v>21.913679999999999</c:v>
                </c:pt>
                <c:pt idx="651">
                  <c:v>21.920781999999999</c:v>
                </c:pt>
                <c:pt idx="652">
                  <c:v>21.909811999999999</c:v>
                </c:pt>
                <c:pt idx="653">
                  <c:v>21.914431</c:v>
                </c:pt>
                <c:pt idx="654">
                  <c:v>21.913969000000002</c:v>
                </c:pt>
                <c:pt idx="655">
                  <c:v>21.922514</c:v>
                </c:pt>
                <c:pt idx="656">
                  <c:v>21.927306000000002</c:v>
                </c:pt>
                <c:pt idx="657">
                  <c:v>21.926845</c:v>
                </c:pt>
                <c:pt idx="658">
                  <c:v>21.917028999999999</c:v>
                </c:pt>
                <c:pt idx="659">
                  <c:v>21.922514</c:v>
                </c:pt>
                <c:pt idx="660">
                  <c:v>21.940586</c:v>
                </c:pt>
                <c:pt idx="661">
                  <c:v>21.938565000000001</c:v>
                </c:pt>
                <c:pt idx="662">
                  <c:v>21.947803</c:v>
                </c:pt>
                <c:pt idx="663">
                  <c:v>21.943762</c:v>
                </c:pt>
                <c:pt idx="664">
                  <c:v>21.942029000000002</c:v>
                </c:pt>
                <c:pt idx="665">
                  <c:v>21.954153999999999</c:v>
                </c:pt>
                <c:pt idx="666">
                  <c:v>21.946936999999998</c:v>
                </c:pt>
                <c:pt idx="667">
                  <c:v>21.946822000000001</c:v>
                </c:pt>
                <c:pt idx="668">
                  <c:v>21.947687999999999</c:v>
                </c:pt>
                <c:pt idx="669">
                  <c:v>21.940759</c:v>
                </c:pt>
                <c:pt idx="670">
                  <c:v>21.952594999999999</c:v>
                </c:pt>
                <c:pt idx="671">
                  <c:v>21.952594999999999</c:v>
                </c:pt>
                <c:pt idx="672">
                  <c:v>21.956233000000001</c:v>
                </c:pt>
                <c:pt idx="673">
                  <c:v>21.950458999999999</c:v>
                </c:pt>
                <c:pt idx="674">
                  <c:v>21.96114</c:v>
                </c:pt>
                <c:pt idx="675">
                  <c:v>21.949304000000001</c:v>
                </c:pt>
                <c:pt idx="676">
                  <c:v>21.956810000000001</c:v>
                </c:pt>
                <c:pt idx="677">
                  <c:v>21.961544</c:v>
                </c:pt>
                <c:pt idx="678">
                  <c:v>21.961718000000001</c:v>
                </c:pt>
                <c:pt idx="679">
                  <c:v>21.953923</c:v>
                </c:pt>
                <c:pt idx="680">
                  <c:v>21.963737999999999</c:v>
                </c:pt>
                <c:pt idx="681">
                  <c:v>21.961601999999999</c:v>
                </c:pt>
                <c:pt idx="682">
                  <c:v>21.957560999999998</c:v>
                </c:pt>
                <c:pt idx="683">
                  <c:v>21.967086999999999</c:v>
                </c:pt>
                <c:pt idx="684">
                  <c:v>21.969107999999999</c:v>
                </c:pt>
                <c:pt idx="685">
                  <c:v>21.965066</c:v>
                </c:pt>
                <c:pt idx="686">
                  <c:v>21.970262999999999</c:v>
                </c:pt>
                <c:pt idx="687">
                  <c:v>21.972168</c:v>
                </c:pt>
                <c:pt idx="688">
                  <c:v>21.967838</c:v>
                </c:pt>
                <c:pt idx="689">
                  <c:v>21.974478000000001</c:v>
                </c:pt>
                <c:pt idx="690">
                  <c:v>21.970839999999999</c:v>
                </c:pt>
                <c:pt idx="691">
                  <c:v>21.973611999999999</c:v>
                </c:pt>
                <c:pt idx="692">
                  <c:v>21.969280999999999</c:v>
                </c:pt>
                <c:pt idx="693">
                  <c:v>21.971591</c:v>
                </c:pt>
                <c:pt idx="694">
                  <c:v>21.973323000000001</c:v>
                </c:pt>
                <c:pt idx="695">
                  <c:v>21.967838</c:v>
                </c:pt>
                <c:pt idx="696">
                  <c:v>21.977653</c:v>
                </c:pt>
                <c:pt idx="697">
                  <c:v>21.976209999999998</c:v>
                </c:pt>
                <c:pt idx="698">
                  <c:v>21.973611999999999</c:v>
                </c:pt>
                <c:pt idx="699">
                  <c:v>21.968703999999999</c:v>
                </c:pt>
                <c:pt idx="700">
                  <c:v>21.966394999999999</c:v>
                </c:pt>
                <c:pt idx="701">
                  <c:v>21.970725000000002</c:v>
                </c:pt>
                <c:pt idx="702">
                  <c:v>21.961487000000002</c:v>
                </c:pt>
                <c:pt idx="703">
                  <c:v>21.965990999999999</c:v>
                </c:pt>
                <c:pt idx="704">
                  <c:v>21.963393</c:v>
                </c:pt>
                <c:pt idx="705">
                  <c:v>21.967838</c:v>
                </c:pt>
                <c:pt idx="706">
                  <c:v>21.957908</c:v>
                </c:pt>
                <c:pt idx="707">
                  <c:v>21.954732</c:v>
                </c:pt>
                <c:pt idx="708">
                  <c:v>21.959524999999999</c:v>
                </c:pt>
                <c:pt idx="709">
                  <c:v>21.958659000000001</c:v>
                </c:pt>
                <c:pt idx="710">
                  <c:v>21.965586999999999</c:v>
                </c:pt>
                <c:pt idx="711">
                  <c:v>21.963854999999999</c:v>
                </c:pt>
                <c:pt idx="712">
                  <c:v>21.957504</c:v>
                </c:pt>
                <c:pt idx="713">
                  <c:v>21.958081</c:v>
                </c:pt>
                <c:pt idx="714">
                  <c:v>21.968184999999998</c:v>
                </c:pt>
                <c:pt idx="715">
                  <c:v>21.967030000000001</c:v>
                </c:pt>
                <c:pt idx="716">
                  <c:v>21.971938000000002</c:v>
                </c:pt>
                <c:pt idx="717">
                  <c:v>21.975691000000001</c:v>
                </c:pt>
                <c:pt idx="718">
                  <c:v>21.975113</c:v>
                </c:pt>
                <c:pt idx="719">
                  <c:v>21.972227</c:v>
                </c:pt>
                <c:pt idx="720">
                  <c:v>21.979040000000001</c:v>
                </c:pt>
                <c:pt idx="721">
                  <c:v>21.972111000000002</c:v>
                </c:pt>
                <c:pt idx="722">
                  <c:v>21.964027999999999</c:v>
                </c:pt>
                <c:pt idx="723">
                  <c:v>21.971245</c:v>
                </c:pt>
                <c:pt idx="724">
                  <c:v>21.969225000000002</c:v>
                </c:pt>
                <c:pt idx="725">
                  <c:v>21.968647000000001</c:v>
                </c:pt>
                <c:pt idx="726">
                  <c:v>21.971823000000001</c:v>
                </c:pt>
                <c:pt idx="727">
                  <c:v>21.96143</c:v>
                </c:pt>
                <c:pt idx="728">
                  <c:v>21.964317000000001</c:v>
                </c:pt>
                <c:pt idx="729">
                  <c:v>21.96143</c:v>
                </c:pt>
                <c:pt idx="730">
                  <c:v>21.956119000000001</c:v>
                </c:pt>
                <c:pt idx="731">
                  <c:v>21.944572000000001</c:v>
                </c:pt>
                <c:pt idx="732">
                  <c:v>21.947458999999998</c:v>
                </c:pt>
                <c:pt idx="733">
                  <c:v>21.944572000000001</c:v>
                </c:pt>
                <c:pt idx="734">
                  <c:v>21.943128000000002</c:v>
                </c:pt>
                <c:pt idx="735">
                  <c:v>21.943128000000002</c:v>
                </c:pt>
                <c:pt idx="736">
                  <c:v>21.939087000000001</c:v>
                </c:pt>
                <c:pt idx="737">
                  <c:v>21.934467999999999</c:v>
                </c:pt>
                <c:pt idx="738">
                  <c:v>21.931004000000001</c:v>
                </c:pt>
                <c:pt idx="739">
                  <c:v>21.933024</c:v>
                </c:pt>
                <c:pt idx="740">
                  <c:v>21.928405000000001</c:v>
                </c:pt>
                <c:pt idx="741">
                  <c:v>21.917724</c:v>
                </c:pt>
                <c:pt idx="742">
                  <c:v>21.921073</c:v>
                </c:pt>
                <c:pt idx="743">
                  <c:v>21.926846999999999</c:v>
                </c:pt>
                <c:pt idx="744">
                  <c:v>21.916454000000002</c:v>
                </c:pt>
                <c:pt idx="745">
                  <c:v>21.923672</c:v>
                </c:pt>
                <c:pt idx="746">
                  <c:v>21.916743</c:v>
                </c:pt>
                <c:pt idx="747">
                  <c:v>21.915299999999998</c:v>
                </c:pt>
                <c:pt idx="748">
                  <c:v>21.906524000000001</c:v>
                </c:pt>
                <c:pt idx="749">
                  <c:v>21.910679999999999</c:v>
                </c:pt>
                <c:pt idx="750">
                  <c:v>21.903462999999999</c:v>
                </c:pt>
                <c:pt idx="751">
                  <c:v>21.915588</c:v>
                </c:pt>
                <c:pt idx="752">
                  <c:v>21.912586000000001</c:v>
                </c:pt>
                <c:pt idx="753">
                  <c:v>21.914145000000001</c:v>
                </c:pt>
                <c:pt idx="754">
                  <c:v>21.911258</c:v>
                </c:pt>
                <c:pt idx="755">
                  <c:v>21.914607</c:v>
                </c:pt>
                <c:pt idx="756">
                  <c:v>21.913855999999999</c:v>
                </c:pt>
                <c:pt idx="757">
                  <c:v>21.918071999999999</c:v>
                </c:pt>
                <c:pt idx="758">
                  <c:v>21.922979000000002</c:v>
                </c:pt>
                <c:pt idx="759">
                  <c:v>21.926155000000001</c:v>
                </c:pt>
                <c:pt idx="760">
                  <c:v>21.919803999999999</c:v>
                </c:pt>
                <c:pt idx="761">
                  <c:v>21.929618999999999</c:v>
                </c:pt>
                <c:pt idx="762">
                  <c:v>21.935507999999999</c:v>
                </c:pt>
                <c:pt idx="763">
                  <c:v>21.923556999999999</c:v>
                </c:pt>
                <c:pt idx="764">
                  <c:v>21.933948999999998</c:v>
                </c:pt>
                <c:pt idx="765">
                  <c:v>21.942032999999999</c:v>
                </c:pt>
                <c:pt idx="766">
                  <c:v>21.945208000000001</c:v>
                </c:pt>
                <c:pt idx="767">
                  <c:v>21.953002000000001</c:v>
                </c:pt>
                <c:pt idx="768">
                  <c:v>21.955023000000001</c:v>
                </c:pt>
                <c:pt idx="769">
                  <c:v>21.960796999999999</c:v>
                </c:pt>
                <c:pt idx="770">
                  <c:v>21.960508000000001</c:v>
                </c:pt>
                <c:pt idx="771">
                  <c:v>21.964665</c:v>
                </c:pt>
                <c:pt idx="772">
                  <c:v>21.964953000000001</c:v>
                </c:pt>
                <c:pt idx="773">
                  <c:v>21.965126999999999</c:v>
                </c:pt>
                <c:pt idx="774">
                  <c:v>21.969746000000001</c:v>
                </c:pt>
                <c:pt idx="775">
                  <c:v>21.983025000000001</c:v>
                </c:pt>
                <c:pt idx="776">
                  <c:v>21.982562000000001</c:v>
                </c:pt>
                <c:pt idx="777">
                  <c:v>21.982448000000002</c:v>
                </c:pt>
                <c:pt idx="778">
                  <c:v>21.991973999999999</c:v>
                </c:pt>
                <c:pt idx="779">
                  <c:v>21.987469999999998</c:v>
                </c:pt>
                <c:pt idx="780">
                  <c:v>21.991973999999999</c:v>
                </c:pt>
                <c:pt idx="781">
                  <c:v>22.000634000000002</c:v>
                </c:pt>
                <c:pt idx="782">
                  <c:v>21.992840000000001</c:v>
                </c:pt>
                <c:pt idx="783">
                  <c:v>22.002077</c:v>
                </c:pt>
                <c:pt idx="784">
                  <c:v>22.005541000000001</c:v>
                </c:pt>
                <c:pt idx="785">
                  <c:v>21.998612999999999</c:v>
                </c:pt>
                <c:pt idx="786">
                  <c:v>22.002077</c:v>
                </c:pt>
                <c:pt idx="787">
                  <c:v>22.004964000000001</c:v>
                </c:pt>
                <c:pt idx="788">
                  <c:v>22.006696000000002</c:v>
                </c:pt>
                <c:pt idx="789">
                  <c:v>22.007562</c:v>
                </c:pt>
                <c:pt idx="790">
                  <c:v>22.012468999999999</c:v>
                </c:pt>
                <c:pt idx="791">
                  <c:v>22.017088000000001</c:v>
                </c:pt>
                <c:pt idx="792">
                  <c:v>22.019686</c:v>
                </c:pt>
                <c:pt idx="793">
                  <c:v>22.015933</c:v>
                </c:pt>
                <c:pt idx="794">
                  <c:v>22.011892</c:v>
                </c:pt>
                <c:pt idx="795">
                  <c:v>22.018993999999999</c:v>
                </c:pt>
                <c:pt idx="796">
                  <c:v>22.020147999999999</c:v>
                </c:pt>
                <c:pt idx="797">
                  <c:v>22.019974000000001</c:v>
                </c:pt>
                <c:pt idx="798">
                  <c:v>22.019686</c:v>
                </c:pt>
                <c:pt idx="799">
                  <c:v>22.020263</c:v>
                </c:pt>
                <c:pt idx="800">
                  <c:v>22.024190000000001</c:v>
                </c:pt>
                <c:pt idx="801">
                  <c:v>22.021128999999998</c:v>
                </c:pt>
                <c:pt idx="802">
                  <c:v>22.024767000000001</c:v>
                </c:pt>
                <c:pt idx="803">
                  <c:v>22.030251</c:v>
                </c:pt>
                <c:pt idx="804">
                  <c:v>22.031694999999999</c:v>
                </c:pt>
                <c:pt idx="805">
                  <c:v>22.040355000000002</c:v>
                </c:pt>
                <c:pt idx="806">
                  <c:v>22.043240999999998</c:v>
                </c:pt>
                <c:pt idx="807">
                  <c:v>22.040932000000002</c:v>
                </c:pt>
                <c:pt idx="808">
                  <c:v>22.044972999999999</c:v>
                </c:pt>
                <c:pt idx="809">
                  <c:v>22.051901000000001</c:v>
                </c:pt>
                <c:pt idx="810">
                  <c:v>22.049014</c:v>
                </c:pt>
                <c:pt idx="811">
                  <c:v>22.048148000000001</c:v>
                </c:pt>
                <c:pt idx="812">
                  <c:v>22.052478000000001</c:v>
                </c:pt>
                <c:pt idx="813">
                  <c:v>22.048437</c:v>
                </c:pt>
                <c:pt idx="814">
                  <c:v>22.051034999999999</c:v>
                </c:pt>
                <c:pt idx="815">
                  <c:v>22.059982999999999</c:v>
                </c:pt>
                <c:pt idx="816">
                  <c:v>22.060561</c:v>
                </c:pt>
                <c:pt idx="817">
                  <c:v>22.056519000000002</c:v>
                </c:pt>
                <c:pt idx="818">
                  <c:v>22.065756</c:v>
                </c:pt>
                <c:pt idx="819">
                  <c:v>22.059695000000001</c:v>
                </c:pt>
                <c:pt idx="820">
                  <c:v>22.062291999999999</c:v>
                </c:pt>
                <c:pt idx="821">
                  <c:v>22.065756</c:v>
                </c:pt>
                <c:pt idx="822">
                  <c:v>22.068643000000002</c:v>
                </c:pt>
                <c:pt idx="823">
                  <c:v>22.060157</c:v>
                </c:pt>
                <c:pt idx="824">
                  <c:v>22.044972999999999</c:v>
                </c:pt>
                <c:pt idx="825">
                  <c:v>22.050746</c:v>
                </c:pt>
                <c:pt idx="826">
                  <c:v>22.046994000000002</c:v>
                </c:pt>
                <c:pt idx="827">
                  <c:v>22.050746</c:v>
                </c:pt>
                <c:pt idx="828">
                  <c:v>22.050746</c:v>
                </c:pt>
                <c:pt idx="829">
                  <c:v>22.055827000000001</c:v>
                </c:pt>
                <c:pt idx="830">
                  <c:v>22.050746</c:v>
                </c:pt>
                <c:pt idx="831">
                  <c:v>22.059002</c:v>
                </c:pt>
                <c:pt idx="832">
                  <c:v>22.068353999999999</c:v>
                </c:pt>
                <c:pt idx="833">
                  <c:v>22.064312999999999</c:v>
                </c:pt>
                <c:pt idx="834">
                  <c:v>22.068238999999998</c:v>
                </c:pt>
                <c:pt idx="835">
                  <c:v>22.074877999999998</c:v>
                </c:pt>
                <c:pt idx="836">
                  <c:v>22.078053000000001</c:v>
                </c:pt>
                <c:pt idx="837">
                  <c:v>22.068238999999998</c:v>
                </c:pt>
                <c:pt idx="838">
                  <c:v>22.080939999999998</c:v>
                </c:pt>
                <c:pt idx="839">
                  <c:v>22.076899000000001</c:v>
                </c:pt>
                <c:pt idx="840">
                  <c:v>22.083248999999999</c:v>
                </c:pt>
                <c:pt idx="841">
                  <c:v>22.083538000000001</c:v>
                </c:pt>
                <c:pt idx="842">
                  <c:v>22.091619999999999</c:v>
                </c:pt>
                <c:pt idx="843">
                  <c:v>22.084230000000002</c:v>
                </c:pt>
                <c:pt idx="844">
                  <c:v>22.099412999999998</c:v>
                </c:pt>
                <c:pt idx="845">
                  <c:v>22.095372000000001</c:v>
                </c:pt>
                <c:pt idx="846">
                  <c:v>22.106629000000002</c:v>
                </c:pt>
                <c:pt idx="847">
                  <c:v>22.111248</c:v>
                </c:pt>
                <c:pt idx="848">
                  <c:v>22.104032</c:v>
                </c:pt>
                <c:pt idx="849">
                  <c:v>22.108360999999999</c:v>
                </c:pt>
                <c:pt idx="850">
                  <c:v>22.103453999999999</c:v>
                </c:pt>
                <c:pt idx="851">
                  <c:v>22.102011000000001</c:v>
                </c:pt>
                <c:pt idx="852">
                  <c:v>22.114422999999999</c:v>
                </c:pt>
                <c:pt idx="853">
                  <c:v>22.110092999999999</c:v>
                </c:pt>
                <c:pt idx="854">
                  <c:v>22.11702</c:v>
                </c:pt>
                <c:pt idx="855">
                  <c:v>22.111825</c:v>
                </c:pt>
                <c:pt idx="856">
                  <c:v>22.120773</c:v>
                </c:pt>
                <c:pt idx="857">
                  <c:v>22.109227000000001</c:v>
                </c:pt>
                <c:pt idx="858">
                  <c:v>22.117308999999999</c:v>
                </c:pt>
                <c:pt idx="859">
                  <c:v>22.101721999999999</c:v>
                </c:pt>
                <c:pt idx="860">
                  <c:v>22.114134</c:v>
                </c:pt>
                <c:pt idx="861">
                  <c:v>22.110092999999999</c:v>
                </c:pt>
                <c:pt idx="862">
                  <c:v>22.113845000000001</c:v>
                </c:pt>
                <c:pt idx="863">
                  <c:v>22.111825</c:v>
                </c:pt>
                <c:pt idx="864">
                  <c:v>22.119907000000001</c:v>
                </c:pt>
                <c:pt idx="865">
                  <c:v>22.121638999999998</c:v>
                </c:pt>
                <c:pt idx="866">
                  <c:v>22.126256999999999</c:v>
                </c:pt>
                <c:pt idx="867">
                  <c:v>22.125101999999998</c:v>
                </c:pt>
                <c:pt idx="868">
                  <c:v>22.123082</c:v>
                </c:pt>
                <c:pt idx="869">
                  <c:v>22.126545</c:v>
                </c:pt>
                <c:pt idx="870">
                  <c:v>22.132318000000001</c:v>
                </c:pt>
                <c:pt idx="871">
                  <c:v>22.126833999999999</c:v>
                </c:pt>
                <c:pt idx="872">
                  <c:v>22.132318000000001</c:v>
                </c:pt>
                <c:pt idx="873">
                  <c:v>22.138090999999999</c:v>
                </c:pt>
                <c:pt idx="874">
                  <c:v>22.135493</c:v>
                </c:pt>
                <c:pt idx="875">
                  <c:v>22.141843000000001</c:v>
                </c:pt>
                <c:pt idx="876">
                  <c:v>22.136648000000001</c:v>
                </c:pt>
                <c:pt idx="877">
                  <c:v>22.136358999999999</c:v>
                </c:pt>
                <c:pt idx="878">
                  <c:v>22.136935999999999</c:v>
                </c:pt>
                <c:pt idx="879">
                  <c:v>22.139244999999999</c:v>
                </c:pt>
                <c:pt idx="880">
                  <c:v>22.138957000000001</c:v>
                </c:pt>
                <c:pt idx="881">
                  <c:v>22.128565999999999</c:v>
                </c:pt>
                <c:pt idx="882">
                  <c:v>22.131855999999999</c:v>
                </c:pt>
                <c:pt idx="883">
                  <c:v>22.133761</c:v>
                </c:pt>
                <c:pt idx="884">
                  <c:v>22.125391</c:v>
                </c:pt>
                <c:pt idx="885">
                  <c:v>22.132607</c:v>
                </c:pt>
                <c:pt idx="886">
                  <c:v>22.119617999999999</c:v>
                </c:pt>
                <c:pt idx="887">
                  <c:v>22.114711</c:v>
                </c:pt>
                <c:pt idx="888">
                  <c:v>22.123370000000001</c:v>
                </c:pt>
                <c:pt idx="889">
                  <c:v>22.113557</c:v>
                </c:pt>
                <c:pt idx="890">
                  <c:v>22.121926999999999</c:v>
                </c:pt>
                <c:pt idx="891">
                  <c:v>22.128855000000001</c:v>
                </c:pt>
                <c:pt idx="892">
                  <c:v>22.123659</c:v>
                </c:pt>
                <c:pt idx="893">
                  <c:v>22.131567</c:v>
                </c:pt>
                <c:pt idx="894">
                  <c:v>22.130298</c:v>
                </c:pt>
                <c:pt idx="895">
                  <c:v>22.132607</c:v>
                </c:pt>
                <c:pt idx="896">
                  <c:v>22.13607</c:v>
                </c:pt>
                <c:pt idx="897">
                  <c:v>22.131163999999998</c:v>
                </c:pt>
                <c:pt idx="898">
                  <c:v>22.129432000000001</c:v>
                </c:pt>
                <c:pt idx="899">
                  <c:v>22.129719999999999</c:v>
                </c:pt>
                <c:pt idx="900">
                  <c:v>22.127526</c:v>
                </c:pt>
                <c:pt idx="901">
                  <c:v>22.119040999999999</c:v>
                </c:pt>
                <c:pt idx="902">
                  <c:v>22.121061000000001</c:v>
                </c:pt>
                <c:pt idx="903">
                  <c:v>22.117308999999999</c:v>
                </c:pt>
                <c:pt idx="904">
                  <c:v>22.102703000000002</c:v>
                </c:pt>
                <c:pt idx="905">
                  <c:v>22.107899</c:v>
                </c:pt>
                <c:pt idx="906">
                  <c:v>22.115114999999999</c:v>
                </c:pt>
                <c:pt idx="907">
                  <c:v>22.106918</c:v>
                </c:pt>
                <c:pt idx="908">
                  <c:v>22.102125999999998</c:v>
                </c:pt>
                <c:pt idx="909">
                  <c:v>22.10126</c:v>
                </c:pt>
                <c:pt idx="910">
                  <c:v>22.103857999999999</c:v>
                </c:pt>
                <c:pt idx="911">
                  <c:v>22.100104999999999</c:v>
                </c:pt>
                <c:pt idx="912">
                  <c:v>22.114536999999999</c:v>
                </c:pt>
                <c:pt idx="913">
                  <c:v>22.116558000000001</c:v>
                </c:pt>
                <c:pt idx="914">
                  <c:v>22.123197000000001</c:v>
                </c:pt>
                <c:pt idx="915">
                  <c:v>22.116268999999999</c:v>
                </c:pt>
                <c:pt idx="916">
                  <c:v>22.121175999999998</c:v>
                </c:pt>
                <c:pt idx="917">
                  <c:v>22.123484999999999</c:v>
                </c:pt>
                <c:pt idx="918">
                  <c:v>22.123311000000001</c:v>
                </c:pt>
                <c:pt idx="919">
                  <c:v>22.127526</c:v>
                </c:pt>
                <c:pt idx="920">
                  <c:v>22.124928000000001</c:v>
                </c:pt>
                <c:pt idx="921">
                  <c:v>22.126660000000001</c:v>
                </c:pt>
                <c:pt idx="922">
                  <c:v>22.126486</c:v>
                </c:pt>
                <c:pt idx="923">
                  <c:v>22.128969000000001</c:v>
                </c:pt>
                <c:pt idx="924">
                  <c:v>22.126372</c:v>
                </c:pt>
                <c:pt idx="925">
                  <c:v>22.128681</c:v>
                </c:pt>
                <c:pt idx="926">
                  <c:v>22.127351999999998</c:v>
                </c:pt>
                <c:pt idx="927">
                  <c:v>22.133702</c:v>
                </c:pt>
                <c:pt idx="928">
                  <c:v>22.127929999999999</c:v>
                </c:pt>
                <c:pt idx="929">
                  <c:v>22.130815999999999</c:v>
                </c:pt>
                <c:pt idx="930">
                  <c:v>22.121290999999999</c:v>
                </c:pt>
                <c:pt idx="931">
                  <c:v>22.121406</c:v>
                </c:pt>
                <c:pt idx="932">
                  <c:v>22.121867999999999</c:v>
                </c:pt>
                <c:pt idx="933">
                  <c:v>22.131682000000001</c:v>
                </c:pt>
                <c:pt idx="934">
                  <c:v>22.125157999999999</c:v>
                </c:pt>
                <c:pt idx="935">
                  <c:v>22.130239</c:v>
                </c:pt>
                <c:pt idx="936">
                  <c:v>22.123138000000001</c:v>
                </c:pt>
                <c:pt idx="937">
                  <c:v>22.130931</c:v>
                </c:pt>
                <c:pt idx="938">
                  <c:v>22.121983</c:v>
                </c:pt>
                <c:pt idx="939">
                  <c:v>22.115748</c:v>
                </c:pt>
                <c:pt idx="940">
                  <c:v>22.111881</c:v>
                </c:pt>
                <c:pt idx="941">
                  <c:v>22.110437999999998</c:v>
                </c:pt>
                <c:pt idx="942">
                  <c:v>22.121406</c:v>
                </c:pt>
                <c:pt idx="943">
                  <c:v>22.115459000000001</c:v>
                </c:pt>
                <c:pt idx="944">
                  <c:v>22.109687000000001</c:v>
                </c:pt>
                <c:pt idx="945">
                  <c:v>22.113035</c:v>
                </c:pt>
                <c:pt idx="946">
                  <c:v>22.111881</c:v>
                </c:pt>
                <c:pt idx="947">
                  <c:v>22.109974999999999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0200-9A43-8053-23980696148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42325823"/>
        <c:axId val="1575888447"/>
      </c:lineChart>
      <c:catAx>
        <c:axId val="2042325823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Time</a:t>
                </a:r>
                <a:r>
                  <a:rPr lang="en-US" baseline="0"/>
                  <a:t> (Seconds)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75888447"/>
        <c:crosses val="autoZero"/>
        <c:auto val="1"/>
        <c:lblAlgn val="ctr"/>
        <c:lblOffset val="100"/>
        <c:noMultiLvlLbl val="0"/>
      </c:catAx>
      <c:valAx>
        <c:axId val="1575888447"/>
        <c:scaling>
          <c:orientation val="minMax"/>
          <c:min val="2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Temperature (C)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2325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'Part 3 Data'!$E$2</c:f>
              <c:strCache>
                <c:ptCount val="1"/>
                <c:pt idx="0">
                  <c:v>Theta_f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'Part 3 Data'!$A$3:$A$1919</c:f>
              <c:numCache>
                <c:formatCode>0.0</c:formatCode>
                <c:ptCount val="1917"/>
                <c:pt idx="0">
                  <c:v>0</c:v>
                </c:pt>
                <c:pt idx="1">
                  <c:v>0.56399999999999995</c:v>
                </c:pt>
                <c:pt idx="2">
                  <c:v>1.1279999999999999</c:v>
                </c:pt>
                <c:pt idx="3">
                  <c:v>1.6919999999999999</c:v>
                </c:pt>
                <c:pt idx="4">
                  <c:v>2.2559999999999998</c:v>
                </c:pt>
                <c:pt idx="5">
                  <c:v>2.82</c:v>
                </c:pt>
                <c:pt idx="6">
                  <c:v>3.3839999999999999</c:v>
                </c:pt>
                <c:pt idx="7">
                  <c:v>3.948</c:v>
                </c:pt>
                <c:pt idx="8">
                  <c:v>4.5119999999999996</c:v>
                </c:pt>
                <c:pt idx="9">
                  <c:v>5.0759999999999996</c:v>
                </c:pt>
                <c:pt idx="10">
                  <c:v>5.64</c:v>
                </c:pt>
                <c:pt idx="11">
                  <c:v>6.2039999999999997</c:v>
                </c:pt>
                <c:pt idx="12">
                  <c:v>6.7679999999999998</c:v>
                </c:pt>
                <c:pt idx="13">
                  <c:v>7.3319999999999999</c:v>
                </c:pt>
                <c:pt idx="14">
                  <c:v>7.8959999999999999</c:v>
                </c:pt>
                <c:pt idx="15">
                  <c:v>8.4600000000000009</c:v>
                </c:pt>
                <c:pt idx="16">
                  <c:v>9.0239999999999991</c:v>
                </c:pt>
                <c:pt idx="17">
                  <c:v>9.5879999999999992</c:v>
                </c:pt>
                <c:pt idx="18">
                  <c:v>10.151999999999999</c:v>
                </c:pt>
                <c:pt idx="19">
                  <c:v>10.715999999999999</c:v>
                </c:pt>
                <c:pt idx="20">
                  <c:v>11.28</c:v>
                </c:pt>
                <c:pt idx="21">
                  <c:v>11.843999999999999</c:v>
                </c:pt>
                <c:pt idx="22">
                  <c:v>12.407999999999999</c:v>
                </c:pt>
                <c:pt idx="23">
                  <c:v>12.972</c:v>
                </c:pt>
                <c:pt idx="24">
                  <c:v>13.536</c:v>
                </c:pt>
                <c:pt idx="25">
                  <c:v>14.1</c:v>
                </c:pt>
                <c:pt idx="26">
                  <c:v>14.664</c:v>
                </c:pt>
                <c:pt idx="27">
                  <c:v>15.228</c:v>
                </c:pt>
                <c:pt idx="28">
                  <c:v>15.792</c:v>
                </c:pt>
                <c:pt idx="29">
                  <c:v>16.356000000000002</c:v>
                </c:pt>
                <c:pt idx="30">
                  <c:v>16.920000000000002</c:v>
                </c:pt>
                <c:pt idx="31">
                  <c:v>17.484000000000002</c:v>
                </c:pt>
                <c:pt idx="32">
                  <c:v>18.047999999999998</c:v>
                </c:pt>
                <c:pt idx="33">
                  <c:v>18.611999999999998</c:v>
                </c:pt>
                <c:pt idx="34">
                  <c:v>19.175999999999998</c:v>
                </c:pt>
                <c:pt idx="35">
                  <c:v>19.739999999999998</c:v>
                </c:pt>
                <c:pt idx="36">
                  <c:v>20.303999999999998</c:v>
                </c:pt>
                <c:pt idx="37">
                  <c:v>20.867999999999999</c:v>
                </c:pt>
                <c:pt idx="38">
                  <c:v>21.431999999999999</c:v>
                </c:pt>
                <c:pt idx="39">
                  <c:v>21.995999999999999</c:v>
                </c:pt>
                <c:pt idx="40">
                  <c:v>22.56</c:v>
                </c:pt>
                <c:pt idx="41">
                  <c:v>23.123999999999999</c:v>
                </c:pt>
                <c:pt idx="42">
                  <c:v>23.687999999999999</c:v>
                </c:pt>
                <c:pt idx="43">
                  <c:v>24.251999999999999</c:v>
                </c:pt>
                <c:pt idx="44">
                  <c:v>24.815999999999999</c:v>
                </c:pt>
                <c:pt idx="45">
                  <c:v>25.38</c:v>
                </c:pt>
                <c:pt idx="46">
                  <c:v>25.943999999999999</c:v>
                </c:pt>
                <c:pt idx="47">
                  <c:v>26.507999999999999</c:v>
                </c:pt>
                <c:pt idx="48">
                  <c:v>27.071999999999999</c:v>
                </c:pt>
                <c:pt idx="49">
                  <c:v>27.635999999999999</c:v>
                </c:pt>
                <c:pt idx="50">
                  <c:v>28.2</c:v>
                </c:pt>
                <c:pt idx="51">
                  <c:v>28.763999999999999</c:v>
                </c:pt>
                <c:pt idx="52">
                  <c:v>29.327999999999999</c:v>
                </c:pt>
                <c:pt idx="53">
                  <c:v>29.891999999999999</c:v>
                </c:pt>
                <c:pt idx="54">
                  <c:v>30.456</c:v>
                </c:pt>
                <c:pt idx="55">
                  <c:v>31.02</c:v>
                </c:pt>
                <c:pt idx="56">
                  <c:v>31.584</c:v>
                </c:pt>
                <c:pt idx="57">
                  <c:v>32.148000000000003</c:v>
                </c:pt>
                <c:pt idx="58">
                  <c:v>32.712000000000003</c:v>
                </c:pt>
                <c:pt idx="59">
                  <c:v>33.276000000000003</c:v>
                </c:pt>
                <c:pt idx="60">
                  <c:v>33.840000000000003</c:v>
                </c:pt>
                <c:pt idx="61">
                  <c:v>34.404000000000003</c:v>
                </c:pt>
                <c:pt idx="62">
                  <c:v>34.968000000000004</c:v>
                </c:pt>
                <c:pt idx="63">
                  <c:v>35.531999999999996</c:v>
                </c:pt>
                <c:pt idx="64">
                  <c:v>36.095999999999997</c:v>
                </c:pt>
                <c:pt idx="65">
                  <c:v>36.659999999999997</c:v>
                </c:pt>
                <c:pt idx="66">
                  <c:v>37.223999999999997</c:v>
                </c:pt>
                <c:pt idx="67">
                  <c:v>37.787999999999997</c:v>
                </c:pt>
                <c:pt idx="68">
                  <c:v>38.351999999999997</c:v>
                </c:pt>
                <c:pt idx="69">
                  <c:v>38.915999999999997</c:v>
                </c:pt>
                <c:pt idx="70">
                  <c:v>39.479999999999997</c:v>
                </c:pt>
                <c:pt idx="71">
                  <c:v>40.043999999999997</c:v>
                </c:pt>
                <c:pt idx="72">
                  <c:v>40.607999999999997</c:v>
                </c:pt>
                <c:pt idx="73">
                  <c:v>41.171999999999997</c:v>
                </c:pt>
                <c:pt idx="74">
                  <c:v>41.735999999999997</c:v>
                </c:pt>
                <c:pt idx="75">
                  <c:v>42.3</c:v>
                </c:pt>
                <c:pt idx="76">
                  <c:v>42.863999999999997</c:v>
                </c:pt>
                <c:pt idx="77">
                  <c:v>43.427999999999997</c:v>
                </c:pt>
                <c:pt idx="78">
                  <c:v>43.991999999999997</c:v>
                </c:pt>
                <c:pt idx="79">
                  <c:v>44.555999999999997</c:v>
                </c:pt>
                <c:pt idx="80">
                  <c:v>45.12</c:v>
                </c:pt>
                <c:pt idx="81">
                  <c:v>45.683999999999997</c:v>
                </c:pt>
                <c:pt idx="82">
                  <c:v>46.247999999999998</c:v>
                </c:pt>
                <c:pt idx="83">
                  <c:v>46.811999999999998</c:v>
                </c:pt>
                <c:pt idx="84">
                  <c:v>47.375999999999998</c:v>
                </c:pt>
                <c:pt idx="85">
                  <c:v>47.94</c:v>
                </c:pt>
                <c:pt idx="86">
                  <c:v>48.503999999999998</c:v>
                </c:pt>
                <c:pt idx="87">
                  <c:v>49.067999999999998</c:v>
                </c:pt>
                <c:pt idx="88">
                  <c:v>49.631999999999998</c:v>
                </c:pt>
                <c:pt idx="89">
                  <c:v>50.195999999999998</c:v>
                </c:pt>
                <c:pt idx="90">
                  <c:v>50.76</c:v>
                </c:pt>
                <c:pt idx="91">
                  <c:v>51.323999999999998</c:v>
                </c:pt>
                <c:pt idx="92">
                  <c:v>51.887999999999998</c:v>
                </c:pt>
                <c:pt idx="93">
                  <c:v>52.451999999999998</c:v>
                </c:pt>
                <c:pt idx="94">
                  <c:v>53.015999999999998</c:v>
                </c:pt>
                <c:pt idx="95">
                  <c:v>53.58</c:v>
                </c:pt>
                <c:pt idx="96">
                  <c:v>54.143999999999998</c:v>
                </c:pt>
                <c:pt idx="97">
                  <c:v>54.707999999999998</c:v>
                </c:pt>
                <c:pt idx="98">
                  <c:v>55.271999999999998</c:v>
                </c:pt>
                <c:pt idx="99">
                  <c:v>55.835999999999999</c:v>
                </c:pt>
                <c:pt idx="100">
                  <c:v>56.4</c:v>
                </c:pt>
                <c:pt idx="101">
                  <c:v>56.963999999999999</c:v>
                </c:pt>
                <c:pt idx="102">
                  <c:v>57.527999999999999</c:v>
                </c:pt>
                <c:pt idx="103">
                  <c:v>58.091999999999999</c:v>
                </c:pt>
                <c:pt idx="104">
                  <c:v>58.655999999999999</c:v>
                </c:pt>
                <c:pt idx="105">
                  <c:v>59.22</c:v>
                </c:pt>
                <c:pt idx="106">
                  <c:v>59.783999999999999</c:v>
                </c:pt>
                <c:pt idx="107">
                  <c:v>60.347999999999999</c:v>
                </c:pt>
                <c:pt idx="108">
                  <c:v>60.911999999999999</c:v>
                </c:pt>
                <c:pt idx="109">
                  <c:v>61.475999999999999</c:v>
                </c:pt>
                <c:pt idx="110">
                  <c:v>62.04</c:v>
                </c:pt>
                <c:pt idx="111">
                  <c:v>62.603999999999999</c:v>
                </c:pt>
                <c:pt idx="112">
                  <c:v>63.167999999999999</c:v>
                </c:pt>
                <c:pt idx="113">
                  <c:v>63.731999999999999</c:v>
                </c:pt>
                <c:pt idx="114">
                  <c:v>64.296000000000006</c:v>
                </c:pt>
                <c:pt idx="115">
                  <c:v>64.86</c:v>
                </c:pt>
                <c:pt idx="116">
                  <c:v>65.424000000000007</c:v>
                </c:pt>
                <c:pt idx="117">
                  <c:v>65.988</c:v>
                </c:pt>
                <c:pt idx="118">
                  <c:v>66.552000000000007</c:v>
                </c:pt>
                <c:pt idx="119">
                  <c:v>67.116</c:v>
                </c:pt>
                <c:pt idx="120">
                  <c:v>67.680000000000007</c:v>
                </c:pt>
                <c:pt idx="121">
                  <c:v>68.244</c:v>
                </c:pt>
                <c:pt idx="122">
                  <c:v>68.808000000000007</c:v>
                </c:pt>
                <c:pt idx="123">
                  <c:v>69.372</c:v>
                </c:pt>
                <c:pt idx="124">
                  <c:v>69.936000000000007</c:v>
                </c:pt>
                <c:pt idx="125">
                  <c:v>70.5</c:v>
                </c:pt>
                <c:pt idx="126">
                  <c:v>71.063999999999993</c:v>
                </c:pt>
                <c:pt idx="127">
                  <c:v>71.628</c:v>
                </c:pt>
                <c:pt idx="128">
                  <c:v>72.191999999999993</c:v>
                </c:pt>
                <c:pt idx="129">
                  <c:v>72.756</c:v>
                </c:pt>
                <c:pt idx="130">
                  <c:v>73.319999999999993</c:v>
                </c:pt>
                <c:pt idx="131">
                  <c:v>73.884</c:v>
                </c:pt>
                <c:pt idx="132">
                  <c:v>74.447999999999993</c:v>
                </c:pt>
                <c:pt idx="133">
                  <c:v>75.012</c:v>
                </c:pt>
                <c:pt idx="134">
                  <c:v>75.575999999999993</c:v>
                </c:pt>
                <c:pt idx="135">
                  <c:v>76.14</c:v>
                </c:pt>
                <c:pt idx="136">
                  <c:v>76.703999999999994</c:v>
                </c:pt>
                <c:pt idx="137">
                  <c:v>77.268000000000001</c:v>
                </c:pt>
                <c:pt idx="138">
                  <c:v>77.831999999999994</c:v>
                </c:pt>
                <c:pt idx="139">
                  <c:v>78.396000000000001</c:v>
                </c:pt>
                <c:pt idx="140">
                  <c:v>78.959999999999994</c:v>
                </c:pt>
                <c:pt idx="141">
                  <c:v>79.524000000000001</c:v>
                </c:pt>
                <c:pt idx="142">
                  <c:v>80.087999999999994</c:v>
                </c:pt>
                <c:pt idx="143">
                  <c:v>80.652000000000001</c:v>
                </c:pt>
                <c:pt idx="144">
                  <c:v>81.215999999999994</c:v>
                </c:pt>
                <c:pt idx="145">
                  <c:v>81.78</c:v>
                </c:pt>
                <c:pt idx="146">
                  <c:v>82.343999999999994</c:v>
                </c:pt>
                <c:pt idx="147">
                  <c:v>82.908000000000001</c:v>
                </c:pt>
                <c:pt idx="148">
                  <c:v>83.471999999999994</c:v>
                </c:pt>
                <c:pt idx="149">
                  <c:v>84.036000000000001</c:v>
                </c:pt>
                <c:pt idx="150">
                  <c:v>84.6</c:v>
                </c:pt>
                <c:pt idx="151">
                  <c:v>85.164000000000001</c:v>
                </c:pt>
                <c:pt idx="152">
                  <c:v>85.727999999999994</c:v>
                </c:pt>
                <c:pt idx="153">
                  <c:v>86.292000000000002</c:v>
                </c:pt>
                <c:pt idx="154">
                  <c:v>86.855999999999995</c:v>
                </c:pt>
                <c:pt idx="155">
                  <c:v>87.42</c:v>
                </c:pt>
                <c:pt idx="156">
                  <c:v>87.983999999999995</c:v>
                </c:pt>
                <c:pt idx="157">
                  <c:v>88.548000000000002</c:v>
                </c:pt>
                <c:pt idx="158">
                  <c:v>89.111999999999995</c:v>
                </c:pt>
                <c:pt idx="159">
                  <c:v>89.676000000000002</c:v>
                </c:pt>
                <c:pt idx="160">
                  <c:v>90.24</c:v>
                </c:pt>
                <c:pt idx="161">
                  <c:v>90.804000000000002</c:v>
                </c:pt>
                <c:pt idx="162">
                  <c:v>91.367999999999995</c:v>
                </c:pt>
                <c:pt idx="163">
                  <c:v>91.932000000000002</c:v>
                </c:pt>
                <c:pt idx="164">
                  <c:v>92.495999999999995</c:v>
                </c:pt>
                <c:pt idx="165">
                  <c:v>93.06</c:v>
                </c:pt>
                <c:pt idx="166">
                  <c:v>93.623999999999995</c:v>
                </c:pt>
                <c:pt idx="167">
                  <c:v>94.188000000000002</c:v>
                </c:pt>
                <c:pt idx="168">
                  <c:v>94.751999999999995</c:v>
                </c:pt>
                <c:pt idx="169">
                  <c:v>95.316000000000003</c:v>
                </c:pt>
                <c:pt idx="170">
                  <c:v>95.88</c:v>
                </c:pt>
                <c:pt idx="171">
                  <c:v>96.444000000000003</c:v>
                </c:pt>
                <c:pt idx="172">
                  <c:v>97.007999999999996</c:v>
                </c:pt>
                <c:pt idx="173">
                  <c:v>97.572000000000003</c:v>
                </c:pt>
                <c:pt idx="174">
                  <c:v>98.135999999999996</c:v>
                </c:pt>
                <c:pt idx="175">
                  <c:v>98.7</c:v>
                </c:pt>
                <c:pt idx="176">
                  <c:v>99.263999999999996</c:v>
                </c:pt>
                <c:pt idx="177">
                  <c:v>99.828000000000003</c:v>
                </c:pt>
                <c:pt idx="178">
                  <c:v>100.392</c:v>
                </c:pt>
                <c:pt idx="179">
                  <c:v>100.956</c:v>
                </c:pt>
                <c:pt idx="180">
                  <c:v>101.52</c:v>
                </c:pt>
                <c:pt idx="181">
                  <c:v>102.084</c:v>
                </c:pt>
                <c:pt idx="182">
                  <c:v>102.648</c:v>
                </c:pt>
                <c:pt idx="183">
                  <c:v>103.212</c:v>
                </c:pt>
                <c:pt idx="184">
                  <c:v>103.776</c:v>
                </c:pt>
                <c:pt idx="185">
                  <c:v>104.34</c:v>
                </c:pt>
                <c:pt idx="186">
                  <c:v>104.904</c:v>
                </c:pt>
                <c:pt idx="187">
                  <c:v>105.468</c:v>
                </c:pt>
                <c:pt idx="188">
                  <c:v>106.032</c:v>
                </c:pt>
                <c:pt idx="189">
                  <c:v>106.596</c:v>
                </c:pt>
                <c:pt idx="190">
                  <c:v>107.16</c:v>
                </c:pt>
                <c:pt idx="191">
                  <c:v>107.724</c:v>
                </c:pt>
                <c:pt idx="192">
                  <c:v>108.288</c:v>
                </c:pt>
                <c:pt idx="193">
                  <c:v>108.852</c:v>
                </c:pt>
                <c:pt idx="194">
                  <c:v>109.416</c:v>
                </c:pt>
                <c:pt idx="195">
                  <c:v>109.98</c:v>
                </c:pt>
                <c:pt idx="196">
                  <c:v>110.544</c:v>
                </c:pt>
                <c:pt idx="197">
                  <c:v>111.108</c:v>
                </c:pt>
                <c:pt idx="198">
                  <c:v>111.672</c:v>
                </c:pt>
                <c:pt idx="199">
                  <c:v>112.236</c:v>
                </c:pt>
                <c:pt idx="200">
                  <c:v>112.8</c:v>
                </c:pt>
                <c:pt idx="201">
                  <c:v>113.364</c:v>
                </c:pt>
                <c:pt idx="202">
                  <c:v>113.928</c:v>
                </c:pt>
                <c:pt idx="203">
                  <c:v>114.492</c:v>
                </c:pt>
                <c:pt idx="204">
                  <c:v>115.056</c:v>
                </c:pt>
                <c:pt idx="205">
                  <c:v>115.62</c:v>
                </c:pt>
                <c:pt idx="206">
                  <c:v>116.184</c:v>
                </c:pt>
                <c:pt idx="207">
                  <c:v>116.748</c:v>
                </c:pt>
                <c:pt idx="208">
                  <c:v>117.312</c:v>
                </c:pt>
                <c:pt idx="209">
                  <c:v>117.876</c:v>
                </c:pt>
                <c:pt idx="210">
                  <c:v>118.44</c:v>
                </c:pt>
                <c:pt idx="211">
                  <c:v>119.004</c:v>
                </c:pt>
                <c:pt idx="212">
                  <c:v>119.568</c:v>
                </c:pt>
                <c:pt idx="213">
                  <c:v>120.13200000000001</c:v>
                </c:pt>
                <c:pt idx="214">
                  <c:v>120.696</c:v>
                </c:pt>
                <c:pt idx="215">
                  <c:v>121.26</c:v>
                </c:pt>
                <c:pt idx="216">
                  <c:v>121.824</c:v>
                </c:pt>
                <c:pt idx="217">
                  <c:v>122.38800000000001</c:v>
                </c:pt>
                <c:pt idx="218">
                  <c:v>122.952</c:v>
                </c:pt>
                <c:pt idx="219">
                  <c:v>123.51600000000001</c:v>
                </c:pt>
                <c:pt idx="220">
                  <c:v>124.08</c:v>
                </c:pt>
                <c:pt idx="221">
                  <c:v>124.64400000000001</c:v>
                </c:pt>
                <c:pt idx="222">
                  <c:v>125.208</c:v>
                </c:pt>
                <c:pt idx="223">
                  <c:v>125.77200000000001</c:v>
                </c:pt>
                <c:pt idx="224">
                  <c:v>126.336</c:v>
                </c:pt>
                <c:pt idx="225">
                  <c:v>126.9</c:v>
                </c:pt>
                <c:pt idx="226">
                  <c:v>127.464</c:v>
                </c:pt>
                <c:pt idx="227">
                  <c:v>128.02799999999999</c:v>
                </c:pt>
                <c:pt idx="228">
                  <c:v>128.59200000000001</c:v>
                </c:pt>
                <c:pt idx="229">
                  <c:v>129.15600000000001</c:v>
                </c:pt>
                <c:pt idx="230">
                  <c:v>129.72</c:v>
                </c:pt>
                <c:pt idx="231">
                  <c:v>130.28399999999999</c:v>
                </c:pt>
                <c:pt idx="232">
                  <c:v>130.84800000000001</c:v>
                </c:pt>
                <c:pt idx="233">
                  <c:v>131.41200000000001</c:v>
                </c:pt>
                <c:pt idx="234">
                  <c:v>131.976</c:v>
                </c:pt>
                <c:pt idx="235">
                  <c:v>132.54</c:v>
                </c:pt>
                <c:pt idx="236">
                  <c:v>133.10400000000001</c:v>
                </c:pt>
                <c:pt idx="237">
                  <c:v>133.66800000000001</c:v>
                </c:pt>
                <c:pt idx="238">
                  <c:v>134.232</c:v>
                </c:pt>
                <c:pt idx="239">
                  <c:v>134.79599999999999</c:v>
                </c:pt>
                <c:pt idx="240">
                  <c:v>135.36000000000001</c:v>
                </c:pt>
                <c:pt idx="241">
                  <c:v>135.92400000000001</c:v>
                </c:pt>
                <c:pt idx="242">
                  <c:v>136.488</c:v>
                </c:pt>
                <c:pt idx="243">
                  <c:v>137.05199999999999</c:v>
                </c:pt>
                <c:pt idx="244">
                  <c:v>137.61600000000001</c:v>
                </c:pt>
                <c:pt idx="245">
                  <c:v>138.18</c:v>
                </c:pt>
                <c:pt idx="246">
                  <c:v>138.744</c:v>
                </c:pt>
                <c:pt idx="247">
                  <c:v>139.30799999999999</c:v>
                </c:pt>
                <c:pt idx="248">
                  <c:v>139.87200000000001</c:v>
                </c:pt>
                <c:pt idx="249">
                  <c:v>140.43600000000001</c:v>
                </c:pt>
                <c:pt idx="250">
                  <c:v>141</c:v>
                </c:pt>
                <c:pt idx="251">
                  <c:v>141.56399999999999</c:v>
                </c:pt>
                <c:pt idx="252">
                  <c:v>142.12799999999999</c:v>
                </c:pt>
                <c:pt idx="253">
                  <c:v>142.69200000000001</c:v>
                </c:pt>
                <c:pt idx="254">
                  <c:v>143.256</c:v>
                </c:pt>
                <c:pt idx="255">
                  <c:v>143.82</c:v>
                </c:pt>
                <c:pt idx="256">
                  <c:v>144.38399999999999</c:v>
                </c:pt>
                <c:pt idx="257">
                  <c:v>144.94800000000001</c:v>
                </c:pt>
                <c:pt idx="258">
                  <c:v>145.512</c:v>
                </c:pt>
                <c:pt idx="259">
                  <c:v>146.07599999999999</c:v>
                </c:pt>
                <c:pt idx="260">
                  <c:v>146.63999999999999</c:v>
                </c:pt>
                <c:pt idx="261">
                  <c:v>147.20400000000001</c:v>
                </c:pt>
                <c:pt idx="262">
                  <c:v>147.768</c:v>
                </c:pt>
                <c:pt idx="263">
                  <c:v>148.33199999999999</c:v>
                </c:pt>
                <c:pt idx="264">
                  <c:v>148.89599999999999</c:v>
                </c:pt>
                <c:pt idx="265">
                  <c:v>149.46</c:v>
                </c:pt>
                <c:pt idx="266">
                  <c:v>150.024</c:v>
                </c:pt>
                <c:pt idx="267">
                  <c:v>150.58799999999999</c:v>
                </c:pt>
                <c:pt idx="268">
                  <c:v>151.15199999999999</c:v>
                </c:pt>
                <c:pt idx="269">
                  <c:v>151.71600000000001</c:v>
                </c:pt>
                <c:pt idx="270">
                  <c:v>152.28</c:v>
                </c:pt>
                <c:pt idx="271">
                  <c:v>152.84399999999999</c:v>
                </c:pt>
                <c:pt idx="272">
                  <c:v>153.40799999999999</c:v>
                </c:pt>
                <c:pt idx="273">
                  <c:v>153.97200000000001</c:v>
                </c:pt>
                <c:pt idx="274">
                  <c:v>154.536</c:v>
                </c:pt>
                <c:pt idx="275">
                  <c:v>155.1</c:v>
                </c:pt>
                <c:pt idx="276">
                  <c:v>155.66399999999999</c:v>
                </c:pt>
                <c:pt idx="277">
                  <c:v>156.22800000000001</c:v>
                </c:pt>
                <c:pt idx="278">
                  <c:v>156.792</c:v>
                </c:pt>
                <c:pt idx="279">
                  <c:v>157.35599999999999</c:v>
                </c:pt>
                <c:pt idx="280">
                  <c:v>157.91999999999999</c:v>
                </c:pt>
                <c:pt idx="281">
                  <c:v>158.48400000000001</c:v>
                </c:pt>
                <c:pt idx="282">
                  <c:v>159.048</c:v>
                </c:pt>
                <c:pt idx="283">
                  <c:v>159.61199999999999</c:v>
                </c:pt>
                <c:pt idx="284">
                  <c:v>160.17599999999999</c:v>
                </c:pt>
                <c:pt idx="285">
                  <c:v>160.74</c:v>
                </c:pt>
                <c:pt idx="286">
                  <c:v>161.304</c:v>
                </c:pt>
                <c:pt idx="287">
                  <c:v>161.86799999999999</c:v>
                </c:pt>
                <c:pt idx="288">
                  <c:v>162.43199999999999</c:v>
                </c:pt>
                <c:pt idx="289">
                  <c:v>162.99600000000001</c:v>
                </c:pt>
                <c:pt idx="290">
                  <c:v>163.56</c:v>
                </c:pt>
                <c:pt idx="291">
                  <c:v>164.124</c:v>
                </c:pt>
                <c:pt idx="292">
                  <c:v>164.68799999999999</c:v>
                </c:pt>
                <c:pt idx="293">
                  <c:v>165.25200000000001</c:v>
                </c:pt>
                <c:pt idx="294">
                  <c:v>165.816</c:v>
                </c:pt>
                <c:pt idx="295">
                  <c:v>166.38</c:v>
                </c:pt>
                <c:pt idx="296">
                  <c:v>166.94399999999999</c:v>
                </c:pt>
                <c:pt idx="297">
                  <c:v>167.50800000000001</c:v>
                </c:pt>
                <c:pt idx="298">
                  <c:v>168.072</c:v>
                </c:pt>
                <c:pt idx="299">
                  <c:v>168.636</c:v>
                </c:pt>
                <c:pt idx="300">
                  <c:v>169.2</c:v>
                </c:pt>
                <c:pt idx="301">
                  <c:v>169.76400000000001</c:v>
                </c:pt>
                <c:pt idx="302">
                  <c:v>170.328</c:v>
                </c:pt>
                <c:pt idx="303">
                  <c:v>170.892</c:v>
                </c:pt>
                <c:pt idx="304">
                  <c:v>171.45599999999999</c:v>
                </c:pt>
                <c:pt idx="305">
                  <c:v>172.02</c:v>
                </c:pt>
                <c:pt idx="306">
                  <c:v>172.584</c:v>
                </c:pt>
                <c:pt idx="307">
                  <c:v>173.148</c:v>
                </c:pt>
                <c:pt idx="308">
                  <c:v>173.71199999999999</c:v>
                </c:pt>
                <c:pt idx="309">
                  <c:v>174.27600000000001</c:v>
                </c:pt>
                <c:pt idx="310">
                  <c:v>174.84</c:v>
                </c:pt>
                <c:pt idx="311">
                  <c:v>175.404</c:v>
                </c:pt>
                <c:pt idx="312">
                  <c:v>175.96799999999999</c:v>
                </c:pt>
                <c:pt idx="313">
                  <c:v>176.53200000000001</c:v>
                </c:pt>
                <c:pt idx="314">
                  <c:v>177.096</c:v>
                </c:pt>
                <c:pt idx="315">
                  <c:v>177.66</c:v>
                </c:pt>
                <c:pt idx="316">
                  <c:v>178.22399999999999</c:v>
                </c:pt>
                <c:pt idx="317">
                  <c:v>178.78800000000001</c:v>
                </c:pt>
                <c:pt idx="318">
                  <c:v>179.352</c:v>
                </c:pt>
                <c:pt idx="319">
                  <c:v>179.916</c:v>
                </c:pt>
                <c:pt idx="320">
                  <c:v>180.48</c:v>
                </c:pt>
                <c:pt idx="321">
                  <c:v>181.04400000000001</c:v>
                </c:pt>
                <c:pt idx="322">
                  <c:v>181.608</c:v>
                </c:pt>
                <c:pt idx="323">
                  <c:v>182.172</c:v>
                </c:pt>
                <c:pt idx="324">
                  <c:v>182.73599999999999</c:v>
                </c:pt>
                <c:pt idx="325">
                  <c:v>183.3</c:v>
                </c:pt>
                <c:pt idx="326">
                  <c:v>183.864</c:v>
                </c:pt>
                <c:pt idx="327">
                  <c:v>184.428</c:v>
                </c:pt>
                <c:pt idx="328">
                  <c:v>184.99199999999999</c:v>
                </c:pt>
                <c:pt idx="329">
                  <c:v>185.55600000000001</c:v>
                </c:pt>
                <c:pt idx="330">
                  <c:v>186.12</c:v>
                </c:pt>
                <c:pt idx="331">
                  <c:v>186.684</c:v>
                </c:pt>
                <c:pt idx="332">
                  <c:v>187.24799999999999</c:v>
                </c:pt>
                <c:pt idx="333">
                  <c:v>187.81200000000001</c:v>
                </c:pt>
                <c:pt idx="334">
                  <c:v>188.376</c:v>
                </c:pt>
                <c:pt idx="335">
                  <c:v>188.94</c:v>
                </c:pt>
                <c:pt idx="336">
                  <c:v>189.50399999999999</c:v>
                </c:pt>
                <c:pt idx="337">
                  <c:v>190.06800000000001</c:v>
                </c:pt>
                <c:pt idx="338">
                  <c:v>190.63200000000001</c:v>
                </c:pt>
                <c:pt idx="339">
                  <c:v>191.196</c:v>
                </c:pt>
                <c:pt idx="340">
                  <c:v>191.76</c:v>
                </c:pt>
                <c:pt idx="341">
                  <c:v>192.32400000000001</c:v>
                </c:pt>
                <c:pt idx="342">
                  <c:v>192.88800000000001</c:v>
                </c:pt>
                <c:pt idx="343">
                  <c:v>193.452</c:v>
                </c:pt>
                <c:pt idx="344">
                  <c:v>194.01599999999999</c:v>
                </c:pt>
                <c:pt idx="345">
                  <c:v>194.58</c:v>
                </c:pt>
                <c:pt idx="346">
                  <c:v>195.14400000000001</c:v>
                </c:pt>
                <c:pt idx="347">
                  <c:v>195.708</c:v>
                </c:pt>
                <c:pt idx="348">
                  <c:v>196.27199999999999</c:v>
                </c:pt>
                <c:pt idx="349">
                  <c:v>196.83600000000001</c:v>
                </c:pt>
                <c:pt idx="350">
                  <c:v>197.4</c:v>
                </c:pt>
                <c:pt idx="351">
                  <c:v>197.964</c:v>
                </c:pt>
                <c:pt idx="352">
                  <c:v>198.52799999999999</c:v>
                </c:pt>
                <c:pt idx="353">
                  <c:v>199.09200000000001</c:v>
                </c:pt>
                <c:pt idx="354">
                  <c:v>199.65600000000001</c:v>
                </c:pt>
                <c:pt idx="355">
                  <c:v>200.22</c:v>
                </c:pt>
                <c:pt idx="356">
                  <c:v>200.78399999999999</c:v>
                </c:pt>
                <c:pt idx="357">
                  <c:v>201.34800000000001</c:v>
                </c:pt>
                <c:pt idx="358">
                  <c:v>201.91200000000001</c:v>
                </c:pt>
                <c:pt idx="359">
                  <c:v>202.476</c:v>
                </c:pt>
                <c:pt idx="360">
                  <c:v>203.04</c:v>
                </c:pt>
                <c:pt idx="361">
                  <c:v>203.60400000000001</c:v>
                </c:pt>
                <c:pt idx="362">
                  <c:v>204.16800000000001</c:v>
                </c:pt>
                <c:pt idx="363">
                  <c:v>204.732</c:v>
                </c:pt>
                <c:pt idx="364">
                  <c:v>205.29599999999999</c:v>
                </c:pt>
                <c:pt idx="365">
                  <c:v>205.86</c:v>
                </c:pt>
                <c:pt idx="366">
                  <c:v>206.42400000000001</c:v>
                </c:pt>
                <c:pt idx="367">
                  <c:v>206.988</c:v>
                </c:pt>
                <c:pt idx="368">
                  <c:v>207.55199999999999</c:v>
                </c:pt>
                <c:pt idx="369">
                  <c:v>208.11600000000001</c:v>
                </c:pt>
                <c:pt idx="370">
                  <c:v>208.68</c:v>
                </c:pt>
                <c:pt idx="371">
                  <c:v>209.244</c:v>
                </c:pt>
                <c:pt idx="372">
                  <c:v>209.80799999999999</c:v>
                </c:pt>
                <c:pt idx="373">
                  <c:v>210.37200000000001</c:v>
                </c:pt>
                <c:pt idx="374">
                  <c:v>210.93600000000001</c:v>
                </c:pt>
                <c:pt idx="375">
                  <c:v>211.5</c:v>
                </c:pt>
                <c:pt idx="376">
                  <c:v>212.06399999999999</c:v>
                </c:pt>
                <c:pt idx="377">
                  <c:v>212.62799999999999</c:v>
                </c:pt>
                <c:pt idx="378">
                  <c:v>213.19200000000001</c:v>
                </c:pt>
                <c:pt idx="379">
                  <c:v>213.756</c:v>
                </c:pt>
                <c:pt idx="380">
                  <c:v>214.32</c:v>
                </c:pt>
                <c:pt idx="381">
                  <c:v>214.88399999999999</c:v>
                </c:pt>
                <c:pt idx="382">
                  <c:v>215.44800000000001</c:v>
                </c:pt>
                <c:pt idx="383">
                  <c:v>216.012</c:v>
                </c:pt>
                <c:pt idx="384">
                  <c:v>216.57599999999999</c:v>
                </c:pt>
                <c:pt idx="385">
                  <c:v>217.14</c:v>
                </c:pt>
                <c:pt idx="386">
                  <c:v>217.70400000000001</c:v>
                </c:pt>
                <c:pt idx="387">
                  <c:v>218.268</c:v>
                </c:pt>
                <c:pt idx="388">
                  <c:v>218.83199999999999</c:v>
                </c:pt>
                <c:pt idx="389">
                  <c:v>219.39599999999999</c:v>
                </c:pt>
                <c:pt idx="390">
                  <c:v>219.96</c:v>
                </c:pt>
                <c:pt idx="391">
                  <c:v>220.524</c:v>
                </c:pt>
                <c:pt idx="392">
                  <c:v>221.08799999999999</c:v>
                </c:pt>
                <c:pt idx="393">
                  <c:v>221.65199999999999</c:v>
                </c:pt>
                <c:pt idx="394">
                  <c:v>222.21600000000001</c:v>
                </c:pt>
                <c:pt idx="395">
                  <c:v>222.78</c:v>
                </c:pt>
                <c:pt idx="396">
                  <c:v>223.34399999999999</c:v>
                </c:pt>
                <c:pt idx="397">
                  <c:v>223.90799999999999</c:v>
                </c:pt>
                <c:pt idx="398">
                  <c:v>224.47200000000001</c:v>
                </c:pt>
                <c:pt idx="399">
                  <c:v>225.036</c:v>
                </c:pt>
                <c:pt idx="400">
                  <c:v>225.6</c:v>
                </c:pt>
                <c:pt idx="401">
                  <c:v>226.16399999999999</c:v>
                </c:pt>
                <c:pt idx="402">
                  <c:v>226.72800000000001</c:v>
                </c:pt>
                <c:pt idx="403">
                  <c:v>227.292</c:v>
                </c:pt>
                <c:pt idx="404">
                  <c:v>227.85599999999999</c:v>
                </c:pt>
                <c:pt idx="405">
                  <c:v>228.42</c:v>
                </c:pt>
                <c:pt idx="406">
                  <c:v>228.98400000000001</c:v>
                </c:pt>
                <c:pt idx="407">
                  <c:v>229.548</c:v>
                </c:pt>
                <c:pt idx="408">
                  <c:v>230.11199999999999</c:v>
                </c:pt>
                <c:pt idx="409">
                  <c:v>230.67599999999999</c:v>
                </c:pt>
                <c:pt idx="410">
                  <c:v>231.24</c:v>
                </c:pt>
                <c:pt idx="411">
                  <c:v>231.804</c:v>
                </c:pt>
                <c:pt idx="412">
                  <c:v>232.36799999999999</c:v>
                </c:pt>
                <c:pt idx="413">
                  <c:v>232.93199999999999</c:v>
                </c:pt>
                <c:pt idx="414">
                  <c:v>233.49600000000001</c:v>
                </c:pt>
                <c:pt idx="415">
                  <c:v>234.06</c:v>
                </c:pt>
                <c:pt idx="416">
                  <c:v>234.624</c:v>
                </c:pt>
                <c:pt idx="417">
                  <c:v>235.18799999999999</c:v>
                </c:pt>
                <c:pt idx="418">
                  <c:v>235.75200000000001</c:v>
                </c:pt>
                <c:pt idx="419">
                  <c:v>236.316</c:v>
                </c:pt>
                <c:pt idx="420">
                  <c:v>236.88</c:v>
                </c:pt>
                <c:pt idx="421">
                  <c:v>237.44399999999999</c:v>
                </c:pt>
                <c:pt idx="422">
                  <c:v>238.00800000000001</c:v>
                </c:pt>
                <c:pt idx="423">
                  <c:v>238.572</c:v>
                </c:pt>
                <c:pt idx="424">
                  <c:v>239.136</c:v>
                </c:pt>
                <c:pt idx="425">
                  <c:v>239.7</c:v>
                </c:pt>
                <c:pt idx="426">
                  <c:v>240.26400000000001</c:v>
                </c:pt>
                <c:pt idx="427">
                  <c:v>240.828</c:v>
                </c:pt>
                <c:pt idx="428">
                  <c:v>241.392</c:v>
                </c:pt>
                <c:pt idx="429">
                  <c:v>241.95599999999999</c:v>
                </c:pt>
                <c:pt idx="430">
                  <c:v>242.52</c:v>
                </c:pt>
                <c:pt idx="431">
                  <c:v>243.084</c:v>
                </c:pt>
                <c:pt idx="432">
                  <c:v>243.648</c:v>
                </c:pt>
                <c:pt idx="433">
                  <c:v>244.21199999999999</c:v>
                </c:pt>
                <c:pt idx="434">
                  <c:v>244.77600000000001</c:v>
                </c:pt>
                <c:pt idx="435">
                  <c:v>245.34</c:v>
                </c:pt>
                <c:pt idx="436">
                  <c:v>245.904</c:v>
                </c:pt>
                <c:pt idx="437">
                  <c:v>246.46799999999999</c:v>
                </c:pt>
                <c:pt idx="438">
                  <c:v>247.03200000000001</c:v>
                </c:pt>
                <c:pt idx="439">
                  <c:v>247.596</c:v>
                </c:pt>
                <c:pt idx="440">
                  <c:v>248.16</c:v>
                </c:pt>
                <c:pt idx="441">
                  <c:v>248.72399999999999</c:v>
                </c:pt>
                <c:pt idx="442">
                  <c:v>249.28800000000001</c:v>
                </c:pt>
                <c:pt idx="443">
                  <c:v>249.852</c:v>
                </c:pt>
                <c:pt idx="444">
                  <c:v>250.416</c:v>
                </c:pt>
                <c:pt idx="445">
                  <c:v>250.98</c:v>
                </c:pt>
                <c:pt idx="446">
                  <c:v>251.54400000000001</c:v>
                </c:pt>
                <c:pt idx="447">
                  <c:v>252.108</c:v>
                </c:pt>
                <c:pt idx="448">
                  <c:v>252.672</c:v>
                </c:pt>
                <c:pt idx="449">
                  <c:v>253.23599999999999</c:v>
                </c:pt>
                <c:pt idx="450">
                  <c:v>253.8</c:v>
                </c:pt>
                <c:pt idx="451">
                  <c:v>254.364</c:v>
                </c:pt>
                <c:pt idx="452">
                  <c:v>254.928</c:v>
                </c:pt>
                <c:pt idx="453">
                  <c:v>255.49199999999999</c:v>
                </c:pt>
                <c:pt idx="454">
                  <c:v>256.05599999999998</c:v>
                </c:pt>
                <c:pt idx="455">
                  <c:v>256.62</c:v>
                </c:pt>
                <c:pt idx="456">
                  <c:v>257.18400000000003</c:v>
                </c:pt>
                <c:pt idx="457">
                  <c:v>257.74799999999999</c:v>
                </c:pt>
                <c:pt idx="458">
                  <c:v>258.31200000000001</c:v>
                </c:pt>
                <c:pt idx="459">
                  <c:v>258.87599999999998</c:v>
                </c:pt>
                <c:pt idx="460">
                  <c:v>259.44</c:v>
                </c:pt>
                <c:pt idx="461">
                  <c:v>260.00400000000002</c:v>
                </c:pt>
                <c:pt idx="462">
                  <c:v>260.56799999999998</c:v>
                </c:pt>
                <c:pt idx="463">
                  <c:v>261.13200000000001</c:v>
                </c:pt>
                <c:pt idx="464">
                  <c:v>261.69600000000003</c:v>
                </c:pt>
                <c:pt idx="465">
                  <c:v>262.26</c:v>
                </c:pt>
                <c:pt idx="466">
                  <c:v>262.82400000000001</c:v>
                </c:pt>
                <c:pt idx="467">
                  <c:v>263.38799999999998</c:v>
                </c:pt>
                <c:pt idx="468">
                  <c:v>263.952</c:v>
                </c:pt>
                <c:pt idx="469">
                  <c:v>264.51600000000002</c:v>
                </c:pt>
                <c:pt idx="470">
                  <c:v>265.08</c:v>
                </c:pt>
                <c:pt idx="471">
                  <c:v>265.64400000000001</c:v>
                </c:pt>
                <c:pt idx="472">
                  <c:v>266.20800000000003</c:v>
                </c:pt>
                <c:pt idx="473">
                  <c:v>266.77199999999999</c:v>
                </c:pt>
                <c:pt idx="474">
                  <c:v>267.33600000000001</c:v>
                </c:pt>
                <c:pt idx="475">
                  <c:v>267.89999999999998</c:v>
                </c:pt>
                <c:pt idx="476">
                  <c:v>268.464</c:v>
                </c:pt>
                <c:pt idx="477">
                  <c:v>269.02800000000002</c:v>
                </c:pt>
                <c:pt idx="478">
                  <c:v>269.59199999999998</c:v>
                </c:pt>
                <c:pt idx="479">
                  <c:v>270.15600000000001</c:v>
                </c:pt>
                <c:pt idx="480">
                  <c:v>270.72000000000003</c:v>
                </c:pt>
                <c:pt idx="481">
                  <c:v>271.28399999999999</c:v>
                </c:pt>
                <c:pt idx="482">
                  <c:v>271.84800000000001</c:v>
                </c:pt>
                <c:pt idx="483">
                  <c:v>272.41199999999998</c:v>
                </c:pt>
                <c:pt idx="484">
                  <c:v>272.976</c:v>
                </c:pt>
                <c:pt idx="485">
                  <c:v>273.54000000000002</c:v>
                </c:pt>
                <c:pt idx="486">
                  <c:v>274.10399999999998</c:v>
                </c:pt>
                <c:pt idx="487">
                  <c:v>274.66800000000001</c:v>
                </c:pt>
                <c:pt idx="488">
                  <c:v>275.23200000000003</c:v>
                </c:pt>
                <c:pt idx="489">
                  <c:v>275.79599999999999</c:v>
                </c:pt>
                <c:pt idx="490">
                  <c:v>276.36</c:v>
                </c:pt>
                <c:pt idx="491">
                  <c:v>276.92399999999998</c:v>
                </c:pt>
                <c:pt idx="492">
                  <c:v>277.488</c:v>
                </c:pt>
                <c:pt idx="493">
                  <c:v>278.05200000000002</c:v>
                </c:pt>
                <c:pt idx="494">
                  <c:v>278.61599999999999</c:v>
                </c:pt>
                <c:pt idx="495">
                  <c:v>279.18</c:v>
                </c:pt>
                <c:pt idx="496">
                  <c:v>279.74400000000003</c:v>
                </c:pt>
                <c:pt idx="497">
                  <c:v>280.30799999999999</c:v>
                </c:pt>
                <c:pt idx="498">
                  <c:v>280.87200000000001</c:v>
                </c:pt>
                <c:pt idx="499">
                  <c:v>281.43599999999998</c:v>
                </c:pt>
                <c:pt idx="500">
                  <c:v>282</c:v>
                </c:pt>
                <c:pt idx="501">
                  <c:v>282.56400000000002</c:v>
                </c:pt>
                <c:pt idx="502">
                  <c:v>283.12799999999999</c:v>
                </c:pt>
                <c:pt idx="503">
                  <c:v>283.69200000000001</c:v>
                </c:pt>
                <c:pt idx="504">
                  <c:v>284.25599999999997</c:v>
                </c:pt>
                <c:pt idx="505">
                  <c:v>284.82</c:v>
                </c:pt>
                <c:pt idx="506">
                  <c:v>285.38400000000001</c:v>
                </c:pt>
                <c:pt idx="507">
                  <c:v>285.94799999999998</c:v>
                </c:pt>
                <c:pt idx="508">
                  <c:v>286.512</c:v>
                </c:pt>
                <c:pt idx="509">
                  <c:v>287.07600000000002</c:v>
                </c:pt>
                <c:pt idx="510">
                  <c:v>287.64</c:v>
                </c:pt>
                <c:pt idx="511">
                  <c:v>288.20400000000001</c:v>
                </c:pt>
                <c:pt idx="512">
                  <c:v>288.76799999999997</c:v>
                </c:pt>
                <c:pt idx="513">
                  <c:v>289.33199999999999</c:v>
                </c:pt>
                <c:pt idx="514">
                  <c:v>289.89600000000002</c:v>
                </c:pt>
                <c:pt idx="515">
                  <c:v>290.45999999999998</c:v>
                </c:pt>
                <c:pt idx="516">
                  <c:v>291.024</c:v>
                </c:pt>
                <c:pt idx="517">
                  <c:v>291.58800000000002</c:v>
                </c:pt>
                <c:pt idx="518">
                  <c:v>292.15199999999999</c:v>
                </c:pt>
                <c:pt idx="519">
                  <c:v>292.71600000000001</c:v>
                </c:pt>
                <c:pt idx="520">
                  <c:v>293.27999999999997</c:v>
                </c:pt>
                <c:pt idx="521">
                  <c:v>293.84399999999999</c:v>
                </c:pt>
                <c:pt idx="522">
                  <c:v>294.40800000000002</c:v>
                </c:pt>
                <c:pt idx="523">
                  <c:v>294.97199999999998</c:v>
                </c:pt>
                <c:pt idx="524">
                  <c:v>295.536</c:v>
                </c:pt>
                <c:pt idx="525">
                  <c:v>296.10000000000002</c:v>
                </c:pt>
                <c:pt idx="526">
                  <c:v>296.66399999999999</c:v>
                </c:pt>
                <c:pt idx="527">
                  <c:v>297.22800000000001</c:v>
                </c:pt>
                <c:pt idx="528">
                  <c:v>297.79199999999997</c:v>
                </c:pt>
                <c:pt idx="529">
                  <c:v>298.35599999999999</c:v>
                </c:pt>
                <c:pt idx="530">
                  <c:v>298.92</c:v>
                </c:pt>
                <c:pt idx="531">
                  <c:v>299.48399999999998</c:v>
                </c:pt>
                <c:pt idx="532">
                  <c:v>300.048</c:v>
                </c:pt>
                <c:pt idx="533">
                  <c:v>300.61200000000002</c:v>
                </c:pt>
                <c:pt idx="534">
                  <c:v>301.17599999999999</c:v>
                </c:pt>
                <c:pt idx="535">
                  <c:v>301.74</c:v>
                </c:pt>
                <c:pt idx="536">
                  <c:v>302.30399999999997</c:v>
                </c:pt>
                <c:pt idx="537">
                  <c:v>302.86799999999999</c:v>
                </c:pt>
                <c:pt idx="538">
                  <c:v>303.43200000000002</c:v>
                </c:pt>
                <c:pt idx="539">
                  <c:v>303.99599999999998</c:v>
                </c:pt>
                <c:pt idx="540">
                  <c:v>304.56</c:v>
                </c:pt>
                <c:pt idx="541">
                  <c:v>305.12400000000002</c:v>
                </c:pt>
                <c:pt idx="542">
                  <c:v>305.68799999999999</c:v>
                </c:pt>
                <c:pt idx="543">
                  <c:v>306.25200000000001</c:v>
                </c:pt>
                <c:pt idx="544">
                  <c:v>306.81599999999997</c:v>
                </c:pt>
                <c:pt idx="545">
                  <c:v>307.38</c:v>
                </c:pt>
                <c:pt idx="546">
                  <c:v>307.94400000000002</c:v>
                </c:pt>
                <c:pt idx="547">
                  <c:v>308.50799999999998</c:v>
                </c:pt>
                <c:pt idx="548">
                  <c:v>309.072</c:v>
                </c:pt>
                <c:pt idx="549">
                  <c:v>309.63600000000002</c:v>
                </c:pt>
                <c:pt idx="550">
                  <c:v>310.2</c:v>
                </c:pt>
                <c:pt idx="551">
                  <c:v>310.76400000000001</c:v>
                </c:pt>
                <c:pt idx="552">
                  <c:v>311.32799999999997</c:v>
                </c:pt>
                <c:pt idx="553">
                  <c:v>311.892</c:v>
                </c:pt>
                <c:pt idx="554">
                  <c:v>312.45600000000002</c:v>
                </c:pt>
                <c:pt idx="555">
                  <c:v>313.02</c:v>
                </c:pt>
                <c:pt idx="556">
                  <c:v>313.584</c:v>
                </c:pt>
                <c:pt idx="557">
                  <c:v>314.14800000000002</c:v>
                </c:pt>
                <c:pt idx="558">
                  <c:v>314.71199999999999</c:v>
                </c:pt>
                <c:pt idx="559">
                  <c:v>315.27600000000001</c:v>
                </c:pt>
                <c:pt idx="560">
                  <c:v>315.83999999999997</c:v>
                </c:pt>
                <c:pt idx="561">
                  <c:v>316.404</c:v>
                </c:pt>
                <c:pt idx="562">
                  <c:v>316.96800000000002</c:v>
                </c:pt>
                <c:pt idx="563">
                  <c:v>317.53199999999998</c:v>
                </c:pt>
                <c:pt idx="564">
                  <c:v>318.096</c:v>
                </c:pt>
                <c:pt idx="565">
                  <c:v>318.66000000000003</c:v>
                </c:pt>
                <c:pt idx="566">
                  <c:v>319.22399999999999</c:v>
                </c:pt>
                <c:pt idx="567">
                  <c:v>319.78800000000001</c:v>
                </c:pt>
                <c:pt idx="568">
                  <c:v>320.35199999999998</c:v>
                </c:pt>
                <c:pt idx="569">
                  <c:v>320.916</c:v>
                </c:pt>
                <c:pt idx="570">
                  <c:v>321.48</c:v>
                </c:pt>
                <c:pt idx="571">
                  <c:v>322.04399999999998</c:v>
                </c:pt>
                <c:pt idx="572">
                  <c:v>322.608</c:v>
                </c:pt>
                <c:pt idx="573">
                  <c:v>323.17200000000003</c:v>
                </c:pt>
                <c:pt idx="574">
                  <c:v>323.73599999999999</c:v>
                </c:pt>
                <c:pt idx="575">
                  <c:v>324.3</c:v>
                </c:pt>
                <c:pt idx="576">
                  <c:v>324.86399999999998</c:v>
                </c:pt>
                <c:pt idx="577">
                  <c:v>325.428</c:v>
                </c:pt>
                <c:pt idx="578">
                  <c:v>325.99200000000002</c:v>
                </c:pt>
                <c:pt idx="579">
                  <c:v>326.55599999999998</c:v>
                </c:pt>
                <c:pt idx="580">
                  <c:v>327.12</c:v>
                </c:pt>
                <c:pt idx="581">
                  <c:v>327.68400000000003</c:v>
                </c:pt>
                <c:pt idx="582">
                  <c:v>328.24799999999999</c:v>
                </c:pt>
                <c:pt idx="583">
                  <c:v>328.81200000000001</c:v>
                </c:pt>
                <c:pt idx="584">
                  <c:v>329.37599999999998</c:v>
                </c:pt>
                <c:pt idx="585">
                  <c:v>329.94</c:v>
                </c:pt>
                <c:pt idx="586">
                  <c:v>330.50400000000002</c:v>
                </c:pt>
                <c:pt idx="587">
                  <c:v>331.06799999999998</c:v>
                </c:pt>
                <c:pt idx="588">
                  <c:v>331.63200000000001</c:v>
                </c:pt>
                <c:pt idx="589">
                  <c:v>332.19600000000003</c:v>
                </c:pt>
                <c:pt idx="590">
                  <c:v>332.76</c:v>
                </c:pt>
                <c:pt idx="591">
                  <c:v>333.32400000000001</c:v>
                </c:pt>
                <c:pt idx="592">
                  <c:v>333.88799999999998</c:v>
                </c:pt>
                <c:pt idx="593">
                  <c:v>334.452</c:v>
                </c:pt>
                <c:pt idx="594">
                  <c:v>335.01600000000002</c:v>
                </c:pt>
                <c:pt idx="595">
                  <c:v>335.58</c:v>
                </c:pt>
                <c:pt idx="596">
                  <c:v>336.14400000000001</c:v>
                </c:pt>
                <c:pt idx="597">
                  <c:v>336.70800000000003</c:v>
                </c:pt>
                <c:pt idx="598">
                  <c:v>337.27199999999999</c:v>
                </c:pt>
                <c:pt idx="599">
                  <c:v>337.83600000000001</c:v>
                </c:pt>
                <c:pt idx="600">
                  <c:v>338.4</c:v>
                </c:pt>
                <c:pt idx="601">
                  <c:v>338.964</c:v>
                </c:pt>
                <c:pt idx="602">
                  <c:v>339.52800000000002</c:v>
                </c:pt>
                <c:pt idx="603">
                  <c:v>340.09199999999998</c:v>
                </c:pt>
                <c:pt idx="604">
                  <c:v>340.65600000000001</c:v>
                </c:pt>
                <c:pt idx="605">
                  <c:v>341.22</c:v>
                </c:pt>
                <c:pt idx="606">
                  <c:v>341.78399999999999</c:v>
                </c:pt>
                <c:pt idx="607">
                  <c:v>342.34800000000001</c:v>
                </c:pt>
                <c:pt idx="608">
                  <c:v>342.91199999999998</c:v>
                </c:pt>
                <c:pt idx="609">
                  <c:v>343.476</c:v>
                </c:pt>
                <c:pt idx="610">
                  <c:v>344.04</c:v>
                </c:pt>
                <c:pt idx="611">
                  <c:v>344.60399999999998</c:v>
                </c:pt>
                <c:pt idx="612">
                  <c:v>345.16800000000001</c:v>
                </c:pt>
                <c:pt idx="613">
                  <c:v>345.73200000000003</c:v>
                </c:pt>
                <c:pt idx="614">
                  <c:v>346.29599999999999</c:v>
                </c:pt>
                <c:pt idx="615">
                  <c:v>346.86</c:v>
                </c:pt>
                <c:pt idx="616">
                  <c:v>347.42399999999998</c:v>
                </c:pt>
                <c:pt idx="617">
                  <c:v>347.988</c:v>
                </c:pt>
                <c:pt idx="618">
                  <c:v>348.55200000000002</c:v>
                </c:pt>
                <c:pt idx="619">
                  <c:v>349.11599999999999</c:v>
                </c:pt>
                <c:pt idx="620">
                  <c:v>349.68</c:v>
                </c:pt>
                <c:pt idx="621">
                  <c:v>350.24400000000003</c:v>
                </c:pt>
                <c:pt idx="622">
                  <c:v>350.80799999999999</c:v>
                </c:pt>
                <c:pt idx="623">
                  <c:v>351.37200000000001</c:v>
                </c:pt>
                <c:pt idx="624">
                  <c:v>351.93599999999998</c:v>
                </c:pt>
                <c:pt idx="625">
                  <c:v>352.5</c:v>
                </c:pt>
                <c:pt idx="626">
                  <c:v>353.06400000000002</c:v>
                </c:pt>
                <c:pt idx="627">
                  <c:v>353.62799999999999</c:v>
                </c:pt>
                <c:pt idx="628">
                  <c:v>354.19200000000001</c:v>
                </c:pt>
                <c:pt idx="629">
                  <c:v>354.75599999999997</c:v>
                </c:pt>
                <c:pt idx="630">
                  <c:v>355.32</c:v>
                </c:pt>
                <c:pt idx="631">
                  <c:v>355.88400000000001</c:v>
                </c:pt>
                <c:pt idx="632">
                  <c:v>356.44799999999998</c:v>
                </c:pt>
                <c:pt idx="633">
                  <c:v>357.012</c:v>
                </c:pt>
                <c:pt idx="634">
                  <c:v>357.57600000000002</c:v>
                </c:pt>
                <c:pt idx="635">
                  <c:v>358.14</c:v>
                </c:pt>
                <c:pt idx="636">
                  <c:v>358.70400000000001</c:v>
                </c:pt>
                <c:pt idx="637">
                  <c:v>359.26799999999997</c:v>
                </c:pt>
                <c:pt idx="638">
                  <c:v>359.83199999999999</c:v>
                </c:pt>
                <c:pt idx="639">
                  <c:v>360.39600000000002</c:v>
                </c:pt>
                <c:pt idx="640">
                  <c:v>360.96</c:v>
                </c:pt>
                <c:pt idx="641">
                  <c:v>361.524</c:v>
                </c:pt>
                <c:pt idx="642">
                  <c:v>362.08800000000002</c:v>
                </c:pt>
                <c:pt idx="643">
                  <c:v>362.65199999999999</c:v>
                </c:pt>
                <c:pt idx="644">
                  <c:v>363.21600000000001</c:v>
                </c:pt>
                <c:pt idx="645">
                  <c:v>363.78</c:v>
                </c:pt>
                <c:pt idx="646">
                  <c:v>364.34399999999999</c:v>
                </c:pt>
                <c:pt idx="647">
                  <c:v>364.90800000000002</c:v>
                </c:pt>
                <c:pt idx="648">
                  <c:v>365.47199999999998</c:v>
                </c:pt>
                <c:pt idx="649">
                  <c:v>366.036</c:v>
                </c:pt>
                <c:pt idx="650">
                  <c:v>366.6</c:v>
                </c:pt>
                <c:pt idx="651">
                  <c:v>367.16399999999999</c:v>
                </c:pt>
                <c:pt idx="652">
                  <c:v>367.72800000000001</c:v>
                </c:pt>
                <c:pt idx="653">
                  <c:v>368.29199999999997</c:v>
                </c:pt>
                <c:pt idx="654">
                  <c:v>368.85599999999999</c:v>
                </c:pt>
                <c:pt idx="655">
                  <c:v>369.42</c:v>
                </c:pt>
                <c:pt idx="656">
                  <c:v>369.98399999999998</c:v>
                </c:pt>
                <c:pt idx="657">
                  <c:v>370.548</c:v>
                </c:pt>
                <c:pt idx="658">
                  <c:v>371.11200000000002</c:v>
                </c:pt>
                <c:pt idx="659">
                  <c:v>371.67599999999999</c:v>
                </c:pt>
                <c:pt idx="660">
                  <c:v>372.24</c:v>
                </c:pt>
                <c:pt idx="661">
                  <c:v>372.80399999999997</c:v>
                </c:pt>
                <c:pt idx="662">
                  <c:v>373.36799999999999</c:v>
                </c:pt>
                <c:pt idx="663">
                  <c:v>373.93200000000002</c:v>
                </c:pt>
                <c:pt idx="664">
                  <c:v>374.49599999999998</c:v>
                </c:pt>
                <c:pt idx="665">
                  <c:v>375.06</c:v>
                </c:pt>
                <c:pt idx="666">
                  <c:v>375.62400000000002</c:v>
                </c:pt>
                <c:pt idx="667">
                  <c:v>376.18799999999999</c:v>
                </c:pt>
                <c:pt idx="668">
                  <c:v>376.75200000000001</c:v>
                </c:pt>
                <c:pt idx="669">
                  <c:v>377.31599999999997</c:v>
                </c:pt>
                <c:pt idx="670">
                  <c:v>377.88</c:v>
                </c:pt>
                <c:pt idx="671">
                  <c:v>378.44400000000002</c:v>
                </c:pt>
                <c:pt idx="672">
                  <c:v>379.00799999999998</c:v>
                </c:pt>
                <c:pt idx="673">
                  <c:v>379.572</c:v>
                </c:pt>
                <c:pt idx="674">
                  <c:v>380.13600000000002</c:v>
                </c:pt>
                <c:pt idx="675">
                  <c:v>380.7</c:v>
                </c:pt>
                <c:pt idx="676">
                  <c:v>381.26400000000001</c:v>
                </c:pt>
                <c:pt idx="677">
                  <c:v>381.82799999999997</c:v>
                </c:pt>
                <c:pt idx="678">
                  <c:v>382.392</c:v>
                </c:pt>
                <c:pt idx="679">
                  <c:v>382.95600000000002</c:v>
                </c:pt>
                <c:pt idx="680">
                  <c:v>383.52</c:v>
                </c:pt>
                <c:pt idx="681">
                  <c:v>384.084</c:v>
                </c:pt>
                <c:pt idx="682">
                  <c:v>384.64800000000002</c:v>
                </c:pt>
                <c:pt idx="683">
                  <c:v>385.21199999999999</c:v>
                </c:pt>
                <c:pt idx="684">
                  <c:v>385.77600000000001</c:v>
                </c:pt>
                <c:pt idx="685">
                  <c:v>386.34</c:v>
                </c:pt>
                <c:pt idx="686">
                  <c:v>386.904</c:v>
                </c:pt>
                <c:pt idx="687">
                  <c:v>387.46800000000002</c:v>
                </c:pt>
                <c:pt idx="688">
                  <c:v>388.03199999999998</c:v>
                </c:pt>
                <c:pt idx="689">
                  <c:v>388.596</c:v>
                </c:pt>
                <c:pt idx="690">
                  <c:v>389.16</c:v>
                </c:pt>
                <c:pt idx="691">
                  <c:v>389.72399999999999</c:v>
                </c:pt>
                <c:pt idx="692">
                  <c:v>390.28800000000001</c:v>
                </c:pt>
                <c:pt idx="693">
                  <c:v>390.85199999999998</c:v>
                </c:pt>
                <c:pt idx="694">
                  <c:v>391.416</c:v>
                </c:pt>
                <c:pt idx="695">
                  <c:v>391.98</c:v>
                </c:pt>
                <c:pt idx="696">
                  <c:v>392.54399999999998</c:v>
                </c:pt>
                <c:pt idx="697">
                  <c:v>393.108</c:v>
                </c:pt>
                <c:pt idx="698">
                  <c:v>393.67200000000003</c:v>
                </c:pt>
                <c:pt idx="699">
                  <c:v>394.23599999999999</c:v>
                </c:pt>
                <c:pt idx="700">
                  <c:v>394.8</c:v>
                </c:pt>
                <c:pt idx="701">
                  <c:v>395.36399999999998</c:v>
                </c:pt>
                <c:pt idx="702">
                  <c:v>395.928</c:v>
                </c:pt>
                <c:pt idx="703">
                  <c:v>396.49200000000002</c:v>
                </c:pt>
                <c:pt idx="704">
                  <c:v>397.05599999999998</c:v>
                </c:pt>
                <c:pt idx="705">
                  <c:v>397.62</c:v>
                </c:pt>
                <c:pt idx="706">
                  <c:v>398.18400000000003</c:v>
                </c:pt>
                <c:pt idx="707">
                  <c:v>398.74799999999999</c:v>
                </c:pt>
                <c:pt idx="708">
                  <c:v>399.31200000000001</c:v>
                </c:pt>
                <c:pt idx="709">
                  <c:v>399.87599999999998</c:v>
                </c:pt>
                <c:pt idx="710">
                  <c:v>400.44</c:v>
                </c:pt>
                <c:pt idx="711">
                  <c:v>401.00400000000002</c:v>
                </c:pt>
                <c:pt idx="712">
                  <c:v>401.56799999999998</c:v>
                </c:pt>
                <c:pt idx="713">
                  <c:v>402.13200000000001</c:v>
                </c:pt>
                <c:pt idx="714">
                  <c:v>402.69600000000003</c:v>
                </c:pt>
                <c:pt idx="715">
                  <c:v>403.26</c:v>
                </c:pt>
                <c:pt idx="716">
                  <c:v>403.82400000000001</c:v>
                </c:pt>
                <c:pt idx="717">
                  <c:v>404.38799999999998</c:v>
                </c:pt>
                <c:pt idx="718">
                  <c:v>404.952</c:v>
                </c:pt>
                <c:pt idx="719">
                  <c:v>405.51600000000002</c:v>
                </c:pt>
                <c:pt idx="720">
                  <c:v>406.08</c:v>
                </c:pt>
                <c:pt idx="721">
                  <c:v>406.64400000000001</c:v>
                </c:pt>
                <c:pt idx="722">
                  <c:v>407.20800000000003</c:v>
                </c:pt>
                <c:pt idx="723">
                  <c:v>407.77199999999999</c:v>
                </c:pt>
                <c:pt idx="724">
                  <c:v>408.33600000000001</c:v>
                </c:pt>
                <c:pt idx="725">
                  <c:v>408.9</c:v>
                </c:pt>
                <c:pt idx="726">
                  <c:v>409.464</c:v>
                </c:pt>
                <c:pt idx="727">
                  <c:v>410.02800000000002</c:v>
                </c:pt>
                <c:pt idx="728">
                  <c:v>410.59199999999998</c:v>
                </c:pt>
                <c:pt idx="729">
                  <c:v>411.15600000000001</c:v>
                </c:pt>
                <c:pt idx="730">
                  <c:v>411.72</c:v>
                </c:pt>
                <c:pt idx="731">
                  <c:v>412.28399999999999</c:v>
                </c:pt>
                <c:pt idx="732">
                  <c:v>412.84800000000001</c:v>
                </c:pt>
                <c:pt idx="733">
                  <c:v>413.41199999999998</c:v>
                </c:pt>
                <c:pt idx="734">
                  <c:v>413.976</c:v>
                </c:pt>
                <c:pt idx="735">
                  <c:v>414.54</c:v>
                </c:pt>
                <c:pt idx="736">
                  <c:v>415.10399999999998</c:v>
                </c:pt>
                <c:pt idx="737">
                  <c:v>415.66800000000001</c:v>
                </c:pt>
                <c:pt idx="738">
                  <c:v>416.23200000000003</c:v>
                </c:pt>
                <c:pt idx="739">
                  <c:v>416.79599999999999</c:v>
                </c:pt>
                <c:pt idx="740">
                  <c:v>417.36</c:v>
                </c:pt>
                <c:pt idx="741">
                  <c:v>417.92399999999998</c:v>
                </c:pt>
                <c:pt idx="742">
                  <c:v>418.488</c:v>
                </c:pt>
                <c:pt idx="743">
                  <c:v>419.05200000000002</c:v>
                </c:pt>
                <c:pt idx="744">
                  <c:v>419.61599999999999</c:v>
                </c:pt>
                <c:pt idx="745">
                  <c:v>420.18</c:v>
                </c:pt>
                <c:pt idx="746">
                  <c:v>420.74400000000003</c:v>
                </c:pt>
                <c:pt idx="747">
                  <c:v>421.30799999999999</c:v>
                </c:pt>
                <c:pt idx="748">
                  <c:v>421.87200000000001</c:v>
                </c:pt>
                <c:pt idx="749">
                  <c:v>422.43599999999998</c:v>
                </c:pt>
                <c:pt idx="750">
                  <c:v>423</c:v>
                </c:pt>
                <c:pt idx="751">
                  <c:v>423.56400000000002</c:v>
                </c:pt>
                <c:pt idx="752">
                  <c:v>424.12799999999999</c:v>
                </c:pt>
                <c:pt idx="753">
                  <c:v>424.69200000000001</c:v>
                </c:pt>
                <c:pt idx="754">
                  <c:v>425.25599999999997</c:v>
                </c:pt>
                <c:pt idx="755">
                  <c:v>425.82</c:v>
                </c:pt>
                <c:pt idx="756">
                  <c:v>426.38400000000001</c:v>
                </c:pt>
                <c:pt idx="757">
                  <c:v>426.94799999999998</c:v>
                </c:pt>
                <c:pt idx="758">
                  <c:v>427.512</c:v>
                </c:pt>
                <c:pt idx="759">
                  <c:v>428.07600000000002</c:v>
                </c:pt>
                <c:pt idx="760">
                  <c:v>428.64</c:v>
                </c:pt>
                <c:pt idx="761">
                  <c:v>429.20400000000001</c:v>
                </c:pt>
                <c:pt idx="762">
                  <c:v>429.76799999999997</c:v>
                </c:pt>
                <c:pt idx="763">
                  <c:v>430.33199999999999</c:v>
                </c:pt>
                <c:pt idx="764">
                  <c:v>430.89600000000002</c:v>
                </c:pt>
                <c:pt idx="765">
                  <c:v>431.46</c:v>
                </c:pt>
                <c:pt idx="766">
                  <c:v>432.024</c:v>
                </c:pt>
                <c:pt idx="767">
                  <c:v>432.58800000000002</c:v>
                </c:pt>
                <c:pt idx="768">
                  <c:v>433.15199999999999</c:v>
                </c:pt>
                <c:pt idx="769">
                  <c:v>433.71600000000001</c:v>
                </c:pt>
                <c:pt idx="770">
                  <c:v>434.28</c:v>
                </c:pt>
                <c:pt idx="771">
                  <c:v>434.84399999999999</c:v>
                </c:pt>
                <c:pt idx="772">
                  <c:v>435.40800000000002</c:v>
                </c:pt>
                <c:pt idx="773">
                  <c:v>435.97199999999998</c:v>
                </c:pt>
                <c:pt idx="774">
                  <c:v>436.536</c:v>
                </c:pt>
                <c:pt idx="775">
                  <c:v>437.1</c:v>
                </c:pt>
                <c:pt idx="776">
                  <c:v>437.66399999999999</c:v>
                </c:pt>
                <c:pt idx="777">
                  <c:v>438.22800000000001</c:v>
                </c:pt>
                <c:pt idx="778">
                  <c:v>438.79199999999997</c:v>
                </c:pt>
                <c:pt idx="779">
                  <c:v>439.35599999999999</c:v>
                </c:pt>
                <c:pt idx="780">
                  <c:v>439.92</c:v>
                </c:pt>
                <c:pt idx="781">
                  <c:v>440.48399999999998</c:v>
                </c:pt>
                <c:pt idx="782">
                  <c:v>441.048</c:v>
                </c:pt>
                <c:pt idx="783">
                  <c:v>441.61200000000002</c:v>
                </c:pt>
                <c:pt idx="784">
                  <c:v>442.17599999999999</c:v>
                </c:pt>
                <c:pt idx="785">
                  <c:v>442.74</c:v>
                </c:pt>
                <c:pt idx="786">
                  <c:v>443.30399999999997</c:v>
                </c:pt>
                <c:pt idx="787">
                  <c:v>443.86799999999999</c:v>
                </c:pt>
                <c:pt idx="788">
                  <c:v>444.43200000000002</c:v>
                </c:pt>
                <c:pt idx="789">
                  <c:v>444.99599999999998</c:v>
                </c:pt>
                <c:pt idx="790">
                  <c:v>445.56</c:v>
                </c:pt>
                <c:pt idx="791">
                  <c:v>446.12400000000002</c:v>
                </c:pt>
                <c:pt idx="792">
                  <c:v>446.68799999999999</c:v>
                </c:pt>
                <c:pt idx="793">
                  <c:v>447.25200000000001</c:v>
                </c:pt>
                <c:pt idx="794">
                  <c:v>447.81599999999997</c:v>
                </c:pt>
                <c:pt idx="795">
                  <c:v>448.38</c:v>
                </c:pt>
                <c:pt idx="796">
                  <c:v>448.94400000000002</c:v>
                </c:pt>
                <c:pt idx="797">
                  <c:v>449.50799999999998</c:v>
                </c:pt>
                <c:pt idx="798">
                  <c:v>450.072</c:v>
                </c:pt>
                <c:pt idx="799">
                  <c:v>450.63600000000002</c:v>
                </c:pt>
                <c:pt idx="800">
                  <c:v>451.2</c:v>
                </c:pt>
                <c:pt idx="801">
                  <c:v>451.76400000000001</c:v>
                </c:pt>
                <c:pt idx="802">
                  <c:v>452.32799999999997</c:v>
                </c:pt>
                <c:pt idx="803">
                  <c:v>452.892</c:v>
                </c:pt>
                <c:pt idx="804">
                  <c:v>453.45600000000002</c:v>
                </c:pt>
                <c:pt idx="805">
                  <c:v>454.02</c:v>
                </c:pt>
                <c:pt idx="806">
                  <c:v>454.584</c:v>
                </c:pt>
                <c:pt idx="807">
                  <c:v>455.14800000000002</c:v>
                </c:pt>
                <c:pt idx="808">
                  <c:v>455.71199999999999</c:v>
                </c:pt>
                <c:pt idx="809">
                  <c:v>456.27600000000001</c:v>
                </c:pt>
                <c:pt idx="810">
                  <c:v>456.84</c:v>
                </c:pt>
                <c:pt idx="811">
                  <c:v>457.404</c:v>
                </c:pt>
                <c:pt idx="812">
                  <c:v>457.96800000000002</c:v>
                </c:pt>
                <c:pt idx="813">
                  <c:v>458.53199999999998</c:v>
                </c:pt>
                <c:pt idx="814">
                  <c:v>459.096</c:v>
                </c:pt>
                <c:pt idx="815">
                  <c:v>459.66</c:v>
                </c:pt>
                <c:pt idx="816">
                  <c:v>460.22399999999999</c:v>
                </c:pt>
                <c:pt idx="817">
                  <c:v>460.78800000000001</c:v>
                </c:pt>
                <c:pt idx="818">
                  <c:v>461.35199999999998</c:v>
                </c:pt>
                <c:pt idx="819">
                  <c:v>461.916</c:v>
                </c:pt>
                <c:pt idx="820">
                  <c:v>462.48</c:v>
                </c:pt>
                <c:pt idx="821">
                  <c:v>463.04399999999998</c:v>
                </c:pt>
                <c:pt idx="822">
                  <c:v>463.608</c:v>
                </c:pt>
                <c:pt idx="823">
                  <c:v>464.17200000000003</c:v>
                </c:pt>
                <c:pt idx="824">
                  <c:v>464.73599999999999</c:v>
                </c:pt>
                <c:pt idx="825">
                  <c:v>465.3</c:v>
                </c:pt>
                <c:pt idx="826">
                  <c:v>465.86399999999998</c:v>
                </c:pt>
                <c:pt idx="827">
                  <c:v>466.428</c:v>
                </c:pt>
                <c:pt idx="828">
                  <c:v>466.99200000000002</c:v>
                </c:pt>
                <c:pt idx="829">
                  <c:v>467.55599999999998</c:v>
                </c:pt>
                <c:pt idx="830">
                  <c:v>468.12</c:v>
                </c:pt>
                <c:pt idx="831">
                  <c:v>468.68400000000003</c:v>
                </c:pt>
                <c:pt idx="832">
                  <c:v>469.24799999999999</c:v>
                </c:pt>
                <c:pt idx="833">
                  <c:v>469.81200000000001</c:v>
                </c:pt>
                <c:pt idx="834">
                  <c:v>470.37599999999998</c:v>
                </c:pt>
                <c:pt idx="835">
                  <c:v>470.94</c:v>
                </c:pt>
                <c:pt idx="836">
                  <c:v>471.50400000000002</c:v>
                </c:pt>
                <c:pt idx="837">
                  <c:v>472.06799999999998</c:v>
                </c:pt>
                <c:pt idx="838">
                  <c:v>472.63200000000001</c:v>
                </c:pt>
                <c:pt idx="839">
                  <c:v>473.19600000000003</c:v>
                </c:pt>
                <c:pt idx="840">
                  <c:v>473.76</c:v>
                </c:pt>
                <c:pt idx="841">
                  <c:v>474.32400000000001</c:v>
                </c:pt>
                <c:pt idx="842">
                  <c:v>474.88799999999998</c:v>
                </c:pt>
                <c:pt idx="843">
                  <c:v>475.452</c:v>
                </c:pt>
                <c:pt idx="844">
                  <c:v>476.01600000000002</c:v>
                </c:pt>
                <c:pt idx="845">
                  <c:v>476.58</c:v>
                </c:pt>
                <c:pt idx="846">
                  <c:v>477.14400000000001</c:v>
                </c:pt>
                <c:pt idx="847">
                  <c:v>477.70800000000003</c:v>
                </c:pt>
                <c:pt idx="848">
                  <c:v>478.27199999999999</c:v>
                </c:pt>
                <c:pt idx="849">
                  <c:v>478.83600000000001</c:v>
                </c:pt>
                <c:pt idx="850">
                  <c:v>479.4</c:v>
                </c:pt>
                <c:pt idx="851">
                  <c:v>479.964</c:v>
                </c:pt>
                <c:pt idx="852">
                  <c:v>480.52800000000002</c:v>
                </c:pt>
                <c:pt idx="853">
                  <c:v>481.09199999999998</c:v>
                </c:pt>
                <c:pt idx="854">
                  <c:v>481.65600000000001</c:v>
                </c:pt>
                <c:pt idx="855">
                  <c:v>482.22</c:v>
                </c:pt>
                <c:pt idx="856">
                  <c:v>482.78399999999999</c:v>
                </c:pt>
                <c:pt idx="857">
                  <c:v>483.34800000000001</c:v>
                </c:pt>
                <c:pt idx="858">
                  <c:v>483.91199999999998</c:v>
                </c:pt>
                <c:pt idx="859">
                  <c:v>484.476</c:v>
                </c:pt>
                <c:pt idx="860">
                  <c:v>485.04</c:v>
                </c:pt>
                <c:pt idx="861">
                  <c:v>485.60399999999998</c:v>
                </c:pt>
                <c:pt idx="862">
                  <c:v>486.16800000000001</c:v>
                </c:pt>
                <c:pt idx="863">
                  <c:v>486.73200000000003</c:v>
                </c:pt>
                <c:pt idx="864">
                  <c:v>487.29599999999999</c:v>
                </c:pt>
                <c:pt idx="865">
                  <c:v>487.86</c:v>
                </c:pt>
                <c:pt idx="866">
                  <c:v>488.42399999999998</c:v>
                </c:pt>
                <c:pt idx="867">
                  <c:v>488.988</c:v>
                </c:pt>
                <c:pt idx="868">
                  <c:v>489.55200000000002</c:v>
                </c:pt>
                <c:pt idx="869">
                  <c:v>490.11599999999999</c:v>
                </c:pt>
                <c:pt idx="870">
                  <c:v>490.68</c:v>
                </c:pt>
                <c:pt idx="871">
                  <c:v>491.24400000000003</c:v>
                </c:pt>
                <c:pt idx="872">
                  <c:v>491.80799999999999</c:v>
                </c:pt>
                <c:pt idx="873">
                  <c:v>492.37200000000001</c:v>
                </c:pt>
                <c:pt idx="874">
                  <c:v>492.93599999999998</c:v>
                </c:pt>
                <c:pt idx="875">
                  <c:v>493.5</c:v>
                </c:pt>
                <c:pt idx="876">
                  <c:v>494.06400000000002</c:v>
                </c:pt>
                <c:pt idx="877">
                  <c:v>494.62799999999999</c:v>
                </c:pt>
                <c:pt idx="878">
                  <c:v>495.19200000000001</c:v>
                </c:pt>
                <c:pt idx="879">
                  <c:v>495.75599999999997</c:v>
                </c:pt>
                <c:pt idx="880">
                  <c:v>496.32</c:v>
                </c:pt>
                <c:pt idx="881">
                  <c:v>496.88400000000001</c:v>
                </c:pt>
                <c:pt idx="882">
                  <c:v>497.44799999999998</c:v>
                </c:pt>
                <c:pt idx="883">
                  <c:v>498.012</c:v>
                </c:pt>
                <c:pt idx="884">
                  <c:v>498.57600000000002</c:v>
                </c:pt>
                <c:pt idx="885">
                  <c:v>499.14</c:v>
                </c:pt>
                <c:pt idx="886">
                  <c:v>499.70400000000001</c:v>
                </c:pt>
                <c:pt idx="887">
                  <c:v>500.26799999999997</c:v>
                </c:pt>
                <c:pt idx="888">
                  <c:v>500.83199999999999</c:v>
                </c:pt>
                <c:pt idx="889">
                  <c:v>501.39600000000002</c:v>
                </c:pt>
                <c:pt idx="890">
                  <c:v>501.96</c:v>
                </c:pt>
                <c:pt idx="891">
                  <c:v>502.524</c:v>
                </c:pt>
                <c:pt idx="892">
                  <c:v>503.08800000000002</c:v>
                </c:pt>
                <c:pt idx="893">
                  <c:v>503.65199999999999</c:v>
                </c:pt>
                <c:pt idx="894">
                  <c:v>504.21600000000001</c:v>
                </c:pt>
                <c:pt idx="895">
                  <c:v>504.78</c:v>
                </c:pt>
                <c:pt idx="896">
                  <c:v>505.34399999999999</c:v>
                </c:pt>
                <c:pt idx="897">
                  <c:v>505.90800000000002</c:v>
                </c:pt>
                <c:pt idx="898">
                  <c:v>506.47199999999998</c:v>
                </c:pt>
                <c:pt idx="899">
                  <c:v>507.036</c:v>
                </c:pt>
                <c:pt idx="900">
                  <c:v>507.6</c:v>
                </c:pt>
                <c:pt idx="901">
                  <c:v>508.16399999999999</c:v>
                </c:pt>
                <c:pt idx="902">
                  <c:v>508.72800000000001</c:v>
                </c:pt>
                <c:pt idx="903">
                  <c:v>509.29199999999997</c:v>
                </c:pt>
                <c:pt idx="904">
                  <c:v>509.85599999999999</c:v>
                </c:pt>
                <c:pt idx="905">
                  <c:v>510.42</c:v>
                </c:pt>
                <c:pt idx="906">
                  <c:v>510.98399999999998</c:v>
                </c:pt>
                <c:pt idx="907">
                  <c:v>511.548</c:v>
                </c:pt>
                <c:pt idx="908">
                  <c:v>512.11199999999997</c:v>
                </c:pt>
                <c:pt idx="909">
                  <c:v>512.67600000000004</c:v>
                </c:pt>
                <c:pt idx="910">
                  <c:v>513.24</c:v>
                </c:pt>
                <c:pt idx="911">
                  <c:v>513.80399999999997</c:v>
                </c:pt>
                <c:pt idx="912">
                  <c:v>514.36800000000005</c:v>
                </c:pt>
                <c:pt idx="913">
                  <c:v>514.93200000000002</c:v>
                </c:pt>
                <c:pt idx="914">
                  <c:v>515.49599999999998</c:v>
                </c:pt>
                <c:pt idx="915">
                  <c:v>516.05999999999995</c:v>
                </c:pt>
                <c:pt idx="916">
                  <c:v>516.62400000000002</c:v>
                </c:pt>
                <c:pt idx="917">
                  <c:v>517.18799999999999</c:v>
                </c:pt>
                <c:pt idx="918">
                  <c:v>517.75199999999995</c:v>
                </c:pt>
                <c:pt idx="919">
                  <c:v>518.31600000000003</c:v>
                </c:pt>
                <c:pt idx="920">
                  <c:v>518.88</c:v>
                </c:pt>
                <c:pt idx="921">
                  <c:v>519.44399999999996</c:v>
                </c:pt>
                <c:pt idx="922">
                  <c:v>520.00800000000004</c:v>
                </c:pt>
                <c:pt idx="923">
                  <c:v>520.572</c:v>
                </c:pt>
                <c:pt idx="924">
                  <c:v>521.13599999999997</c:v>
                </c:pt>
                <c:pt idx="925">
                  <c:v>521.70000000000005</c:v>
                </c:pt>
                <c:pt idx="926">
                  <c:v>522.26400000000001</c:v>
                </c:pt>
                <c:pt idx="927">
                  <c:v>522.82799999999997</c:v>
                </c:pt>
                <c:pt idx="928">
                  <c:v>523.39200000000005</c:v>
                </c:pt>
                <c:pt idx="929">
                  <c:v>523.95600000000002</c:v>
                </c:pt>
                <c:pt idx="930">
                  <c:v>524.52</c:v>
                </c:pt>
                <c:pt idx="931">
                  <c:v>525.08399999999995</c:v>
                </c:pt>
                <c:pt idx="932">
                  <c:v>525.64800000000002</c:v>
                </c:pt>
                <c:pt idx="933">
                  <c:v>526.21199999999999</c:v>
                </c:pt>
                <c:pt idx="934">
                  <c:v>526.77599999999995</c:v>
                </c:pt>
                <c:pt idx="935">
                  <c:v>527.34</c:v>
                </c:pt>
                <c:pt idx="936">
                  <c:v>527.904</c:v>
                </c:pt>
                <c:pt idx="937">
                  <c:v>528.46799999999996</c:v>
                </c:pt>
                <c:pt idx="938">
                  <c:v>529.03200000000004</c:v>
                </c:pt>
                <c:pt idx="939">
                  <c:v>529.596</c:v>
                </c:pt>
                <c:pt idx="940">
                  <c:v>530.16</c:v>
                </c:pt>
                <c:pt idx="941">
                  <c:v>530.72400000000005</c:v>
                </c:pt>
                <c:pt idx="942">
                  <c:v>531.28800000000001</c:v>
                </c:pt>
                <c:pt idx="943">
                  <c:v>531.85199999999998</c:v>
                </c:pt>
                <c:pt idx="944">
                  <c:v>532.41600000000005</c:v>
                </c:pt>
                <c:pt idx="945">
                  <c:v>532.98</c:v>
                </c:pt>
                <c:pt idx="946">
                  <c:v>533.54399999999998</c:v>
                </c:pt>
                <c:pt idx="947">
                  <c:v>534.10799999999995</c:v>
                </c:pt>
              </c:numCache>
            </c:numRef>
          </c:xVal>
          <c:yVal>
            <c:numRef>
              <c:f>'Part 3 Data'!$E$3:$E$1919</c:f>
              <c:numCache>
                <c:formatCode>0.00</c:formatCode>
                <c:ptCount val="1917"/>
                <c:pt idx="0">
                  <c:v>1</c:v>
                </c:pt>
                <c:pt idx="1">
                  <c:v>0.99619342997538773</c:v>
                </c:pt>
                <c:pt idx="2">
                  <c:v>0.99285013087186602</c:v>
                </c:pt>
                <c:pt idx="3">
                  <c:v>0.98939677289950778</c:v>
                </c:pt>
                <c:pt idx="4">
                  <c:v>0.98640611572996995</c:v>
                </c:pt>
                <c:pt idx="5">
                  <c:v>0.98307808121463325</c:v>
                </c:pt>
                <c:pt idx="6">
                  <c:v>0.98027952907050753</c:v>
                </c:pt>
                <c:pt idx="7">
                  <c:v>0.97741372728764542</c:v>
                </c:pt>
                <c:pt idx="8">
                  <c:v>0.97452250436335064</c:v>
                </c:pt>
                <c:pt idx="9">
                  <c:v>0.97183517363124505</c:v>
                </c:pt>
                <c:pt idx="10">
                  <c:v>0.96926154657472674</c:v>
                </c:pt>
                <c:pt idx="11">
                  <c:v>0.96674821889317564</c:v>
                </c:pt>
                <c:pt idx="12">
                  <c:v>0.96417861435564367</c:v>
                </c:pt>
                <c:pt idx="13">
                  <c:v>0.96172548335479746</c:v>
                </c:pt>
                <c:pt idx="14">
                  <c:v>0.95905346392966717</c:v>
                </c:pt>
                <c:pt idx="15">
                  <c:v>0.95647158822041134</c:v>
                </c:pt>
                <c:pt idx="16">
                  <c:v>0.95394789542559577</c:v>
                </c:pt>
                <c:pt idx="17">
                  <c:v>0.95143083907934844</c:v>
                </c:pt>
                <c:pt idx="18">
                  <c:v>0.94919998775100856</c:v>
                </c:pt>
                <c:pt idx="19">
                  <c:v>0.94716512912376283</c:v>
                </c:pt>
                <c:pt idx="20">
                  <c:v>0.94498682399310163</c:v>
                </c:pt>
                <c:pt idx="21">
                  <c:v>0.94295273412655178</c:v>
                </c:pt>
                <c:pt idx="22">
                  <c:v>0.94096244561513065</c:v>
                </c:pt>
                <c:pt idx="23">
                  <c:v>0.9387662050810317</c:v>
                </c:pt>
                <c:pt idx="24">
                  <c:v>0.93682875245620412</c:v>
                </c:pt>
                <c:pt idx="25">
                  <c:v>0.93504005518062971</c:v>
                </c:pt>
                <c:pt idx="26">
                  <c:v>0.93284450682098152</c:v>
                </c:pt>
                <c:pt idx="27">
                  <c:v>0.93094030485705814</c:v>
                </c:pt>
                <c:pt idx="28">
                  <c:v>0.92888959835384699</c:v>
                </c:pt>
                <c:pt idx="29">
                  <c:v>0.92704348065231323</c:v>
                </c:pt>
                <c:pt idx="30">
                  <c:v>0.92502229153885129</c:v>
                </c:pt>
                <c:pt idx="31">
                  <c:v>0.9229686502185267</c:v>
                </c:pt>
                <c:pt idx="32">
                  <c:v>0.92092467854766002</c:v>
                </c:pt>
                <c:pt idx="33">
                  <c:v>0.91902112100287636</c:v>
                </c:pt>
                <c:pt idx="34">
                  <c:v>0.91690647736970388</c:v>
                </c:pt>
                <c:pt idx="35">
                  <c:v>0.91503231249543726</c:v>
                </c:pt>
                <c:pt idx="36">
                  <c:v>0.91290696117661885</c:v>
                </c:pt>
                <c:pt idx="37">
                  <c:v>0.91113337073557321</c:v>
                </c:pt>
                <c:pt idx="38">
                  <c:v>0.90921810208770448</c:v>
                </c:pt>
                <c:pt idx="39">
                  <c:v>0.90710553439145736</c:v>
                </c:pt>
                <c:pt idx="40">
                  <c:v>0.90511865499295585</c:v>
                </c:pt>
                <c:pt idx="41">
                  <c:v>0.90330217490800113</c:v>
                </c:pt>
                <c:pt idx="42">
                  <c:v>0.90160025264963073</c:v>
                </c:pt>
                <c:pt idx="43">
                  <c:v>0.8997135115882593</c:v>
                </c:pt>
                <c:pt idx="44">
                  <c:v>0.89772560114503308</c:v>
                </c:pt>
                <c:pt idx="45">
                  <c:v>0.89601843309686113</c:v>
                </c:pt>
                <c:pt idx="46">
                  <c:v>0.89405514400909525</c:v>
                </c:pt>
                <c:pt idx="47">
                  <c:v>0.89224073399781756</c:v>
                </c:pt>
                <c:pt idx="48">
                  <c:v>0.89039259666297799</c:v>
                </c:pt>
                <c:pt idx="49">
                  <c:v>0.88858510845015037</c:v>
                </c:pt>
                <c:pt idx="50">
                  <c:v>0.88681210069187744</c:v>
                </c:pt>
                <c:pt idx="51">
                  <c:v>0.8848067804342713</c:v>
                </c:pt>
                <c:pt idx="52">
                  <c:v>0.88292381329940872</c:v>
                </c:pt>
                <c:pt idx="53">
                  <c:v>0.88102799736878112</c:v>
                </c:pt>
                <c:pt idx="54">
                  <c:v>0.87919234564893434</c:v>
                </c:pt>
                <c:pt idx="55">
                  <c:v>0.87766434833968754</c:v>
                </c:pt>
                <c:pt idx="56">
                  <c:v>0.87568763643067815</c:v>
                </c:pt>
                <c:pt idx="57">
                  <c:v>0.87385951620458679</c:v>
                </c:pt>
                <c:pt idx="58">
                  <c:v>0.87197325440633922</c:v>
                </c:pt>
                <c:pt idx="59">
                  <c:v>0.87022184075800058</c:v>
                </c:pt>
                <c:pt idx="60">
                  <c:v>0.86847674309797085</c:v>
                </c:pt>
                <c:pt idx="61">
                  <c:v>0.86652752516984755</c:v>
                </c:pt>
                <c:pt idx="62">
                  <c:v>0.8645609846877883</c:v>
                </c:pt>
                <c:pt idx="63">
                  <c:v>0.86276798228234586</c:v>
                </c:pt>
                <c:pt idx="64">
                  <c:v>0.86095262004021511</c:v>
                </c:pt>
                <c:pt idx="65">
                  <c:v>0.85898028524045456</c:v>
                </c:pt>
                <c:pt idx="66">
                  <c:v>0.85710037915554116</c:v>
                </c:pt>
                <c:pt idx="67">
                  <c:v>0.85517613247481328</c:v>
                </c:pt>
                <c:pt idx="68">
                  <c:v>0.85315496700126836</c:v>
                </c:pt>
                <c:pt idx="69">
                  <c:v>0.85127321576120485</c:v>
                </c:pt>
                <c:pt idx="70">
                  <c:v>0.84926626996985366</c:v>
                </c:pt>
                <c:pt idx="71">
                  <c:v>0.84742729805410522</c:v>
                </c:pt>
                <c:pt idx="72">
                  <c:v>0.84561365279536549</c:v>
                </c:pt>
                <c:pt idx="73">
                  <c:v>0.84355557137578774</c:v>
                </c:pt>
                <c:pt idx="74">
                  <c:v>0.84178381783638068</c:v>
                </c:pt>
                <c:pt idx="75">
                  <c:v>0.839809962170877</c:v>
                </c:pt>
                <c:pt idx="76">
                  <c:v>0.83795243957254084</c:v>
                </c:pt>
                <c:pt idx="77">
                  <c:v>0.83601276056007268</c:v>
                </c:pt>
                <c:pt idx="78">
                  <c:v>0.83398391688332218</c:v>
                </c:pt>
                <c:pt idx="79">
                  <c:v>0.83207945292110197</c:v>
                </c:pt>
                <c:pt idx="80">
                  <c:v>0.83019017678633067</c:v>
                </c:pt>
                <c:pt idx="81">
                  <c:v>0.82823797470386129</c:v>
                </c:pt>
                <c:pt idx="82">
                  <c:v>0.82631859981554934</c:v>
                </c:pt>
                <c:pt idx="83">
                  <c:v>0.82440817310318293</c:v>
                </c:pt>
                <c:pt idx="84">
                  <c:v>0.82258543620487135</c:v>
                </c:pt>
                <c:pt idx="85">
                  <c:v>0.82056409115686846</c:v>
                </c:pt>
                <c:pt idx="86">
                  <c:v>0.81872484213193863</c:v>
                </c:pt>
                <c:pt idx="87">
                  <c:v>0.81669546225058987</c:v>
                </c:pt>
                <c:pt idx="88">
                  <c:v>0.81477668979874773</c:v>
                </c:pt>
                <c:pt idx="89">
                  <c:v>0.81293403635937267</c:v>
                </c:pt>
                <c:pt idx="90">
                  <c:v>0.8111558733689781</c:v>
                </c:pt>
                <c:pt idx="91">
                  <c:v>0.80944440335962276</c:v>
                </c:pt>
                <c:pt idx="92">
                  <c:v>0.80749404074755426</c:v>
                </c:pt>
                <c:pt idx="93">
                  <c:v>0.80563453312440125</c:v>
                </c:pt>
                <c:pt idx="94">
                  <c:v>0.80393623877363896</c:v>
                </c:pt>
                <c:pt idx="95">
                  <c:v>0.80198179080391119</c:v>
                </c:pt>
                <c:pt idx="96">
                  <c:v>0.80011408821100483</c:v>
                </c:pt>
                <c:pt idx="97">
                  <c:v>0.79839924129998197</c:v>
                </c:pt>
                <c:pt idx="98">
                  <c:v>0.79666060772434699</c:v>
                </c:pt>
                <c:pt idx="99">
                  <c:v>0.79492726425391447</c:v>
                </c:pt>
                <c:pt idx="100">
                  <c:v>0.79321211546902903</c:v>
                </c:pt>
                <c:pt idx="101">
                  <c:v>0.79144227520442656</c:v>
                </c:pt>
                <c:pt idx="102">
                  <c:v>0.789768843684306</c:v>
                </c:pt>
                <c:pt idx="103">
                  <c:v>0.78801966730908901</c:v>
                </c:pt>
                <c:pt idx="104">
                  <c:v>0.7863166110990254</c:v>
                </c:pt>
                <c:pt idx="105">
                  <c:v>0.78448491221523275</c:v>
                </c:pt>
                <c:pt idx="106">
                  <c:v>0.78284335222404378</c:v>
                </c:pt>
                <c:pt idx="107">
                  <c:v>0.78131755347306886</c:v>
                </c:pt>
                <c:pt idx="108">
                  <c:v>0.77959664459983669</c:v>
                </c:pt>
                <c:pt idx="109">
                  <c:v>0.77793329391633592</c:v>
                </c:pt>
                <c:pt idx="110">
                  <c:v>0.77641488178712836</c:v>
                </c:pt>
                <c:pt idx="111">
                  <c:v>0.77446536002786326</c:v>
                </c:pt>
                <c:pt idx="112">
                  <c:v>0.7729533490137882</c:v>
                </c:pt>
                <c:pt idx="113">
                  <c:v>0.77136316699319407</c:v>
                </c:pt>
                <c:pt idx="114">
                  <c:v>0.76962084939470299</c:v>
                </c:pt>
                <c:pt idx="115">
                  <c:v>0.76784441874834919</c:v>
                </c:pt>
                <c:pt idx="116">
                  <c:v>0.76606027824982381</c:v>
                </c:pt>
                <c:pt idx="117">
                  <c:v>0.76447565278409613</c:v>
                </c:pt>
                <c:pt idx="118">
                  <c:v>0.76254867911400859</c:v>
                </c:pt>
                <c:pt idx="119">
                  <c:v>0.76084737513234268</c:v>
                </c:pt>
                <c:pt idx="120">
                  <c:v>0.75899554864274565</c:v>
                </c:pt>
                <c:pt idx="121">
                  <c:v>0.75738764256137892</c:v>
                </c:pt>
                <c:pt idx="122">
                  <c:v>0.75562300356879719</c:v>
                </c:pt>
                <c:pt idx="123">
                  <c:v>0.75387074902434759</c:v>
                </c:pt>
                <c:pt idx="124">
                  <c:v>0.75217864968212211</c:v>
                </c:pt>
                <c:pt idx="125">
                  <c:v>0.75056505908073234</c:v>
                </c:pt>
                <c:pt idx="126">
                  <c:v>0.74906854140318158</c:v>
                </c:pt>
                <c:pt idx="127">
                  <c:v>0.74751357853584655</c:v>
                </c:pt>
                <c:pt idx="128">
                  <c:v>0.7459527810271851</c:v>
                </c:pt>
                <c:pt idx="129">
                  <c:v>0.74444267605696135</c:v>
                </c:pt>
                <c:pt idx="130">
                  <c:v>0.74282804422478876</c:v>
                </c:pt>
                <c:pt idx="131">
                  <c:v>0.74141821360218196</c:v>
                </c:pt>
                <c:pt idx="132">
                  <c:v>0.73981384487830315</c:v>
                </c:pt>
                <c:pt idx="133">
                  <c:v>0.73841047776785995</c:v>
                </c:pt>
                <c:pt idx="134">
                  <c:v>0.73680620727228641</c:v>
                </c:pt>
                <c:pt idx="135">
                  <c:v>0.73527525878567945</c:v>
                </c:pt>
                <c:pt idx="136">
                  <c:v>0.73369667092637658</c:v>
                </c:pt>
                <c:pt idx="137">
                  <c:v>0.73197305956044012</c:v>
                </c:pt>
                <c:pt idx="138">
                  <c:v>0.73052448549783455</c:v>
                </c:pt>
                <c:pt idx="139">
                  <c:v>0.72870834858039713</c:v>
                </c:pt>
                <c:pt idx="140">
                  <c:v>0.7270922585955909</c:v>
                </c:pt>
                <c:pt idx="141">
                  <c:v>0.72546490724107549</c:v>
                </c:pt>
                <c:pt idx="142">
                  <c:v>0.72382119665851852</c:v>
                </c:pt>
                <c:pt idx="143">
                  <c:v>0.72224899407855636</c:v>
                </c:pt>
                <c:pt idx="144">
                  <c:v>0.72052478746374304</c:v>
                </c:pt>
                <c:pt idx="145">
                  <c:v>0.71918162029252763</c:v>
                </c:pt>
                <c:pt idx="146">
                  <c:v>0.71749018483667004</c:v>
                </c:pt>
                <c:pt idx="147">
                  <c:v>0.71593770420032188</c:v>
                </c:pt>
                <c:pt idx="148">
                  <c:v>0.71432775100396517</c:v>
                </c:pt>
                <c:pt idx="149">
                  <c:v>0.71279902100949388</c:v>
                </c:pt>
                <c:pt idx="150">
                  <c:v>0.71095917738195058</c:v>
                </c:pt>
                <c:pt idx="151">
                  <c:v>0.70938330306345909</c:v>
                </c:pt>
                <c:pt idx="152">
                  <c:v>0.70789697355323455</c:v>
                </c:pt>
                <c:pt idx="153">
                  <c:v>0.7062020112885935</c:v>
                </c:pt>
                <c:pt idx="154">
                  <c:v>0.70466105036398974</c:v>
                </c:pt>
                <c:pt idx="155">
                  <c:v>0.7030517772236301</c:v>
                </c:pt>
                <c:pt idx="156">
                  <c:v>0.70141073336635917</c:v>
                </c:pt>
                <c:pt idx="157">
                  <c:v>0.69981549633702789</c:v>
                </c:pt>
                <c:pt idx="158">
                  <c:v>0.69826532748800063</c:v>
                </c:pt>
                <c:pt idx="159">
                  <c:v>0.69668118557973524</c:v>
                </c:pt>
                <c:pt idx="160">
                  <c:v>0.69500838731755021</c:v>
                </c:pt>
                <c:pt idx="161">
                  <c:v>0.69339381971108704</c:v>
                </c:pt>
                <c:pt idx="162">
                  <c:v>0.69184056657561843</c:v>
                </c:pt>
                <c:pt idx="163">
                  <c:v>0.6902400333066564</c:v>
                </c:pt>
                <c:pt idx="164">
                  <c:v>0.68860032758692735</c:v>
                </c:pt>
                <c:pt idx="165">
                  <c:v>0.68702809164208412</c:v>
                </c:pt>
                <c:pt idx="166">
                  <c:v>0.68534927326987882</c:v>
                </c:pt>
                <c:pt idx="167">
                  <c:v>0.68388213385682251</c:v>
                </c:pt>
                <c:pt idx="168">
                  <c:v>0.68204050407298367</c:v>
                </c:pt>
                <c:pt idx="169">
                  <c:v>0.68063960176031468</c:v>
                </c:pt>
                <c:pt idx="170">
                  <c:v>0.67905892612237073</c:v>
                </c:pt>
                <c:pt idx="171">
                  <c:v>0.67748077500462867</c:v>
                </c:pt>
                <c:pt idx="172">
                  <c:v>0.67608051089022314</c:v>
                </c:pt>
                <c:pt idx="173">
                  <c:v>0.67442091209001398</c:v>
                </c:pt>
                <c:pt idx="174">
                  <c:v>0.67295114503203934</c:v>
                </c:pt>
                <c:pt idx="175">
                  <c:v>0.67127129755077442</c:v>
                </c:pt>
                <c:pt idx="176">
                  <c:v>0.6699559511528077</c:v>
                </c:pt>
                <c:pt idx="177">
                  <c:v>0.66830359753570456</c:v>
                </c:pt>
                <c:pt idx="178">
                  <c:v>0.66678411498214296</c:v>
                </c:pt>
                <c:pt idx="179">
                  <c:v>0.66527984186550471</c:v>
                </c:pt>
                <c:pt idx="180">
                  <c:v>0.66366881556535462</c:v>
                </c:pt>
                <c:pt idx="181">
                  <c:v>0.66199274357814597</c:v>
                </c:pt>
                <c:pt idx="182">
                  <c:v>0.66075111588007784</c:v>
                </c:pt>
                <c:pt idx="183">
                  <c:v>0.65905176500417928</c:v>
                </c:pt>
                <c:pt idx="184">
                  <c:v>0.65743158131854351</c:v>
                </c:pt>
                <c:pt idx="185">
                  <c:v>0.65591731311763934</c:v>
                </c:pt>
                <c:pt idx="186">
                  <c:v>0.65446115643067093</c:v>
                </c:pt>
                <c:pt idx="187">
                  <c:v>0.65287920370522146</c:v>
                </c:pt>
                <c:pt idx="188">
                  <c:v>0.65135293450176035</c:v>
                </c:pt>
                <c:pt idx="189">
                  <c:v>0.64987727139983331</c:v>
                </c:pt>
                <c:pt idx="190">
                  <c:v>0.6482654335084086</c:v>
                </c:pt>
                <c:pt idx="191">
                  <c:v>0.64688374860839026</c:v>
                </c:pt>
                <c:pt idx="192">
                  <c:v>0.64543109000576915</c:v>
                </c:pt>
                <c:pt idx="193">
                  <c:v>0.64410770543777518</c:v>
                </c:pt>
                <c:pt idx="194">
                  <c:v>0.6424969495542685</c:v>
                </c:pt>
                <c:pt idx="195">
                  <c:v>0.64102994223222087</c:v>
                </c:pt>
                <c:pt idx="196">
                  <c:v>0.63960450803243751</c:v>
                </c:pt>
                <c:pt idx="197">
                  <c:v>0.63812422691862258</c:v>
                </c:pt>
                <c:pt idx="198">
                  <c:v>0.63685677494276138</c:v>
                </c:pt>
                <c:pt idx="199">
                  <c:v>0.63537892447234467</c:v>
                </c:pt>
                <c:pt idx="200">
                  <c:v>0.63378511716195729</c:v>
                </c:pt>
                <c:pt idx="201">
                  <c:v>0.63231877887266019</c:v>
                </c:pt>
                <c:pt idx="202">
                  <c:v>0.63099425884211935</c:v>
                </c:pt>
                <c:pt idx="203">
                  <c:v>0.62955382978249919</c:v>
                </c:pt>
                <c:pt idx="204">
                  <c:v>0.62823444731082012</c:v>
                </c:pt>
                <c:pt idx="205">
                  <c:v>0.62674871547383815</c:v>
                </c:pt>
                <c:pt idx="206">
                  <c:v>0.62541751306531401</c:v>
                </c:pt>
                <c:pt idx="207">
                  <c:v>0.62403324652449788</c:v>
                </c:pt>
                <c:pt idx="208">
                  <c:v>0.62267791268720663</c:v>
                </c:pt>
                <c:pt idx="209">
                  <c:v>0.62112412438456621</c:v>
                </c:pt>
                <c:pt idx="210">
                  <c:v>0.61983302527427209</c:v>
                </c:pt>
                <c:pt idx="211">
                  <c:v>0.61864019484582955</c:v>
                </c:pt>
                <c:pt idx="212">
                  <c:v>0.61720415953355157</c:v>
                </c:pt>
                <c:pt idx="213">
                  <c:v>0.61581637899194286</c:v>
                </c:pt>
                <c:pt idx="214">
                  <c:v>0.61445580980734449</c:v>
                </c:pt>
                <c:pt idx="215">
                  <c:v>0.61328513810418994</c:v>
                </c:pt>
                <c:pt idx="216">
                  <c:v>0.61164177989509017</c:v>
                </c:pt>
                <c:pt idx="217">
                  <c:v>0.61018704160079407</c:v>
                </c:pt>
                <c:pt idx="218">
                  <c:v>0.608823011947912</c:v>
                </c:pt>
                <c:pt idx="219">
                  <c:v>0.60760108165022852</c:v>
                </c:pt>
                <c:pt idx="220">
                  <c:v>0.60631993927840111</c:v>
                </c:pt>
                <c:pt idx="221">
                  <c:v>0.60484380707533403</c:v>
                </c:pt>
                <c:pt idx="222">
                  <c:v>0.60367519458319385</c:v>
                </c:pt>
                <c:pt idx="223">
                  <c:v>0.6020802400990346</c:v>
                </c:pt>
                <c:pt idx="224">
                  <c:v>0.60099452215651239</c:v>
                </c:pt>
                <c:pt idx="225">
                  <c:v>0.59976775791308201</c:v>
                </c:pt>
                <c:pt idx="226">
                  <c:v>0.59836302865872426</c:v>
                </c:pt>
                <c:pt idx="227">
                  <c:v>0.59714962560382889</c:v>
                </c:pt>
                <c:pt idx="228">
                  <c:v>0.595706906993829</c:v>
                </c:pt>
                <c:pt idx="229">
                  <c:v>0.59474659570478805</c:v>
                </c:pt>
                <c:pt idx="230">
                  <c:v>0.59353800630754761</c:v>
                </c:pt>
                <c:pt idx="231">
                  <c:v>0.59234931086401688</c:v>
                </c:pt>
                <c:pt idx="232">
                  <c:v>0.59119031475675576</c:v>
                </c:pt>
                <c:pt idx="233">
                  <c:v>0.59014447251525892</c:v>
                </c:pt>
                <c:pt idx="234">
                  <c:v>0.58901950335406039</c:v>
                </c:pt>
                <c:pt idx="235">
                  <c:v>0.58781232627922697</c:v>
                </c:pt>
                <c:pt idx="236">
                  <c:v>0.58657215669156026</c:v>
                </c:pt>
                <c:pt idx="237">
                  <c:v>0.58518496293074207</c:v>
                </c:pt>
                <c:pt idx="238">
                  <c:v>0.58390430271783056</c:v>
                </c:pt>
                <c:pt idx="239">
                  <c:v>0.58262959511166956</c:v>
                </c:pt>
                <c:pt idx="240">
                  <c:v>0.58157465197498137</c:v>
                </c:pt>
                <c:pt idx="241">
                  <c:v>0.5801603890383854</c:v>
                </c:pt>
                <c:pt idx="242">
                  <c:v>0.5788767523423537</c:v>
                </c:pt>
                <c:pt idx="243">
                  <c:v>0.57763591793226476</c:v>
                </c:pt>
                <c:pt idx="244">
                  <c:v>0.57627088471246213</c:v>
                </c:pt>
                <c:pt idx="245">
                  <c:v>0.57500250389775998</c:v>
                </c:pt>
                <c:pt idx="246">
                  <c:v>0.57363111741602768</c:v>
                </c:pt>
                <c:pt idx="247">
                  <c:v>0.57232799583231608</c:v>
                </c:pt>
                <c:pt idx="248">
                  <c:v>0.57108921461881246</c:v>
                </c:pt>
                <c:pt idx="249">
                  <c:v>0.5700060886260282</c:v>
                </c:pt>
                <c:pt idx="250">
                  <c:v>0.56862772070897938</c:v>
                </c:pt>
                <c:pt idx="251">
                  <c:v>0.56747003600519419</c:v>
                </c:pt>
                <c:pt idx="252">
                  <c:v>0.56599427045618278</c:v>
                </c:pt>
                <c:pt idx="253">
                  <c:v>0.56492094162746709</c:v>
                </c:pt>
                <c:pt idx="254">
                  <c:v>0.56383946634999882</c:v>
                </c:pt>
                <c:pt idx="255">
                  <c:v>0.56228991626949065</c:v>
                </c:pt>
                <c:pt idx="256">
                  <c:v>0.56110182077398429</c:v>
                </c:pt>
                <c:pt idx="257">
                  <c:v>0.55983746351380814</c:v>
                </c:pt>
                <c:pt idx="258">
                  <c:v>0.55870381765063226</c:v>
                </c:pt>
                <c:pt idx="259">
                  <c:v>0.55732171518195595</c:v>
                </c:pt>
                <c:pt idx="260">
                  <c:v>0.5560582256713803</c:v>
                </c:pt>
                <c:pt idx="261">
                  <c:v>0.55478844934794058</c:v>
                </c:pt>
                <c:pt idx="262">
                  <c:v>0.5533318064504581</c:v>
                </c:pt>
                <c:pt idx="263">
                  <c:v>0.55221241071452565</c:v>
                </c:pt>
                <c:pt idx="264">
                  <c:v>0.55097255939646883</c:v>
                </c:pt>
                <c:pt idx="265">
                  <c:v>0.54951610521435457</c:v>
                </c:pt>
                <c:pt idx="266">
                  <c:v>0.54834644655117581</c:v>
                </c:pt>
                <c:pt idx="267">
                  <c:v>0.54705302839374825</c:v>
                </c:pt>
                <c:pt idx="268">
                  <c:v>0.54588510976460936</c:v>
                </c:pt>
                <c:pt idx="269">
                  <c:v>0.54476689109748366</c:v>
                </c:pt>
                <c:pt idx="270">
                  <c:v>0.54348077687309126</c:v>
                </c:pt>
                <c:pt idx="271">
                  <c:v>0.54237988793768732</c:v>
                </c:pt>
                <c:pt idx="272">
                  <c:v>0.54104142913482067</c:v>
                </c:pt>
                <c:pt idx="273">
                  <c:v>0.5398356909897658</c:v>
                </c:pt>
                <c:pt idx="274">
                  <c:v>0.53880316767453129</c:v>
                </c:pt>
                <c:pt idx="275">
                  <c:v>0.53746203034995721</c:v>
                </c:pt>
                <c:pt idx="276">
                  <c:v>0.536414121563906</c:v>
                </c:pt>
                <c:pt idx="277">
                  <c:v>0.53522187070307037</c:v>
                </c:pt>
                <c:pt idx="278">
                  <c:v>0.53398150875303896</c:v>
                </c:pt>
                <c:pt idx="279">
                  <c:v>0.53305166965556627</c:v>
                </c:pt>
                <c:pt idx="280">
                  <c:v>0.53179770479278898</c:v>
                </c:pt>
                <c:pt idx="281">
                  <c:v>0.53057391756744865</c:v>
                </c:pt>
                <c:pt idx="282">
                  <c:v>0.52946941307743844</c:v>
                </c:pt>
                <c:pt idx="283">
                  <c:v>0.52841659574902589</c:v>
                </c:pt>
                <c:pt idx="284">
                  <c:v>0.5272242330483693</c:v>
                </c:pt>
                <c:pt idx="285">
                  <c:v>0.525889363541448</c:v>
                </c:pt>
                <c:pt idx="286">
                  <c:v>0.52491988136719459</c:v>
                </c:pt>
                <c:pt idx="287">
                  <c:v>0.52364152324949775</c:v>
                </c:pt>
                <c:pt idx="288">
                  <c:v>0.52258711869944452</c:v>
                </c:pt>
                <c:pt idx="289">
                  <c:v>0.52138402361121761</c:v>
                </c:pt>
                <c:pt idx="290">
                  <c:v>0.52031257970412348</c:v>
                </c:pt>
                <c:pt idx="291">
                  <c:v>0.51919721158738374</c:v>
                </c:pt>
                <c:pt idx="292">
                  <c:v>0.51805025263453364</c:v>
                </c:pt>
                <c:pt idx="293">
                  <c:v>0.51671469089993149</c:v>
                </c:pt>
                <c:pt idx="294">
                  <c:v>0.51586715598198629</c:v>
                </c:pt>
                <c:pt idx="295">
                  <c:v>0.5146808742858856</c:v>
                </c:pt>
                <c:pt idx="296">
                  <c:v>0.5135749825821837</c:v>
                </c:pt>
                <c:pt idx="297">
                  <c:v>0.51251492749804028</c:v>
                </c:pt>
                <c:pt idx="298">
                  <c:v>0.5113636013379057</c:v>
                </c:pt>
                <c:pt idx="299">
                  <c:v>0.51040935018113631</c:v>
                </c:pt>
                <c:pt idx="300">
                  <c:v>0.50917124468835906</c:v>
                </c:pt>
                <c:pt idx="301">
                  <c:v>0.50797452970646695</c:v>
                </c:pt>
                <c:pt idx="302">
                  <c:v>0.50691291504382396</c:v>
                </c:pt>
                <c:pt idx="303">
                  <c:v>0.50575406480992824</c:v>
                </c:pt>
                <c:pt idx="304">
                  <c:v>0.50465449121814787</c:v>
                </c:pt>
                <c:pt idx="305">
                  <c:v>0.50372870853146268</c:v>
                </c:pt>
                <c:pt idx="306">
                  <c:v>0.50253422087852251</c:v>
                </c:pt>
                <c:pt idx="307">
                  <c:v>0.50172631533608647</c:v>
                </c:pt>
                <c:pt idx="308">
                  <c:v>0.50076752738685915</c:v>
                </c:pt>
                <c:pt idx="309">
                  <c:v>0.49980876605805058</c:v>
                </c:pt>
                <c:pt idx="310">
                  <c:v>0.4987606182225558</c:v>
                </c:pt>
                <c:pt idx="311">
                  <c:v>0.49775866490425308</c:v>
                </c:pt>
                <c:pt idx="312">
                  <c:v>0.49659774100561294</c:v>
                </c:pt>
                <c:pt idx="313">
                  <c:v>0.49567986592169133</c:v>
                </c:pt>
                <c:pt idx="314">
                  <c:v>0.49449463699644836</c:v>
                </c:pt>
                <c:pt idx="315">
                  <c:v>0.49335964681465994</c:v>
                </c:pt>
                <c:pt idx="316">
                  <c:v>0.49227506037976876</c:v>
                </c:pt>
                <c:pt idx="317">
                  <c:v>0.49108097841896037</c:v>
                </c:pt>
                <c:pt idx="318">
                  <c:v>0.49009442245782742</c:v>
                </c:pt>
                <c:pt idx="319">
                  <c:v>0.48904917266167491</c:v>
                </c:pt>
                <c:pt idx="320">
                  <c:v>0.48818772435835517</c:v>
                </c:pt>
                <c:pt idx="321">
                  <c:v>0.48704694271841481</c:v>
                </c:pt>
                <c:pt idx="322">
                  <c:v>0.48608966857895425</c:v>
                </c:pt>
                <c:pt idx="323">
                  <c:v>0.48491824513473014</c:v>
                </c:pt>
                <c:pt idx="324">
                  <c:v>0.48422911367312138</c:v>
                </c:pt>
                <c:pt idx="325">
                  <c:v>0.48312425426010719</c:v>
                </c:pt>
                <c:pt idx="326">
                  <c:v>0.48215412844914796</c:v>
                </c:pt>
                <c:pt idx="327">
                  <c:v>0.48094571612582476</c:v>
                </c:pt>
                <c:pt idx="328">
                  <c:v>0.47995497210878624</c:v>
                </c:pt>
                <c:pt idx="329">
                  <c:v>0.47902237542831116</c:v>
                </c:pt>
                <c:pt idx="330">
                  <c:v>0.4779539445399556</c:v>
                </c:pt>
                <c:pt idx="331">
                  <c:v>0.47698045649470622</c:v>
                </c:pt>
                <c:pt idx="332">
                  <c:v>0.47576828029830315</c:v>
                </c:pt>
                <c:pt idx="333">
                  <c:v>0.47482416893994073</c:v>
                </c:pt>
                <c:pt idx="334">
                  <c:v>0.47384316089129508</c:v>
                </c:pt>
                <c:pt idx="335">
                  <c:v>0.47295953628907578</c:v>
                </c:pt>
                <c:pt idx="336">
                  <c:v>0.47193924563526213</c:v>
                </c:pt>
                <c:pt idx="337">
                  <c:v>0.47107624627765082</c:v>
                </c:pt>
                <c:pt idx="338">
                  <c:v>0.47000452548054372</c:v>
                </c:pt>
                <c:pt idx="339">
                  <c:v>0.46923237717706023</c:v>
                </c:pt>
                <c:pt idx="340">
                  <c:v>0.46823413718298412</c:v>
                </c:pt>
                <c:pt idx="341">
                  <c:v>0.46751101314601068</c:v>
                </c:pt>
                <c:pt idx="342">
                  <c:v>0.46652241462754757</c:v>
                </c:pt>
                <c:pt idx="343">
                  <c:v>0.46556522485861634</c:v>
                </c:pt>
                <c:pt idx="344">
                  <c:v>0.46470630429301668</c:v>
                </c:pt>
                <c:pt idx="345">
                  <c:v>0.4635260684703153</c:v>
                </c:pt>
                <c:pt idx="346">
                  <c:v>0.4626153161979828</c:v>
                </c:pt>
                <c:pt idx="347">
                  <c:v>0.46168928564237743</c:v>
                </c:pt>
                <c:pt idx="348">
                  <c:v>0.46056238621833634</c:v>
                </c:pt>
                <c:pt idx="349">
                  <c:v>0.45959006916456446</c:v>
                </c:pt>
                <c:pt idx="350">
                  <c:v>0.45886306595782445</c:v>
                </c:pt>
                <c:pt idx="351">
                  <c:v>0.45776444661563565</c:v>
                </c:pt>
                <c:pt idx="352">
                  <c:v>0.45672431147399734</c:v>
                </c:pt>
                <c:pt idx="353">
                  <c:v>0.4557104851906249</c:v>
                </c:pt>
                <c:pt idx="354">
                  <c:v>0.45478500565294361</c:v>
                </c:pt>
                <c:pt idx="355">
                  <c:v>0.45365986669070524</c:v>
                </c:pt>
                <c:pt idx="356">
                  <c:v>0.45252395413898266</c:v>
                </c:pt>
                <c:pt idx="357">
                  <c:v>0.45148147304103659</c:v>
                </c:pt>
                <c:pt idx="358">
                  <c:v>0.45057523434844066</c:v>
                </c:pt>
                <c:pt idx="359">
                  <c:v>0.44949774214191063</c:v>
                </c:pt>
                <c:pt idx="360">
                  <c:v>0.44852810445478758</c:v>
                </c:pt>
                <c:pt idx="361">
                  <c:v>0.44760411464845579</c:v>
                </c:pt>
                <c:pt idx="362">
                  <c:v>0.44668446982778182</c:v>
                </c:pt>
                <c:pt idx="363">
                  <c:v>0.44560680627213178</c:v>
                </c:pt>
                <c:pt idx="364">
                  <c:v>0.44457430711777901</c:v>
                </c:pt>
                <c:pt idx="365">
                  <c:v>0.44356556476524689</c:v>
                </c:pt>
                <c:pt idx="366">
                  <c:v>0.44254249794645473</c:v>
                </c:pt>
                <c:pt idx="367">
                  <c:v>0.44162220544023539</c:v>
                </c:pt>
                <c:pt idx="368">
                  <c:v>0.44046918106563787</c:v>
                </c:pt>
                <c:pt idx="369">
                  <c:v>0.43952950130634355</c:v>
                </c:pt>
                <c:pt idx="370">
                  <c:v>0.43869548434588285</c:v>
                </c:pt>
                <c:pt idx="371">
                  <c:v>0.4377453611740772</c:v>
                </c:pt>
                <c:pt idx="372">
                  <c:v>0.43681931969027737</c:v>
                </c:pt>
                <c:pt idx="373">
                  <c:v>0.43598082041422498</c:v>
                </c:pt>
                <c:pt idx="374">
                  <c:v>0.43494006566806831</c:v>
                </c:pt>
                <c:pt idx="375">
                  <c:v>0.43394523804021951</c:v>
                </c:pt>
                <c:pt idx="376">
                  <c:v>0.43306792782532533</c:v>
                </c:pt>
                <c:pt idx="377">
                  <c:v>0.43210260447271076</c:v>
                </c:pt>
                <c:pt idx="378">
                  <c:v>0.43114014165083347</c:v>
                </c:pt>
                <c:pt idx="379">
                  <c:v>0.43020807999168803</c:v>
                </c:pt>
                <c:pt idx="380">
                  <c:v>0.42925653315979273</c:v>
                </c:pt>
                <c:pt idx="381">
                  <c:v>0.42833885572518704</c:v>
                </c:pt>
                <c:pt idx="382">
                  <c:v>0.42732165423134749</c:v>
                </c:pt>
                <c:pt idx="383">
                  <c:v>0.42620354249433451</c:v>
                </c:pt>
                <c:pt idx="384">
                  <c:v>0.42538944532777373</c:v>
                </c:pt>
                <c:pt idx="385">
                  <c:v>0.42446637731546688</c:v>
                </c:pt>
                <c:pt idx="386">
                  <c:v>0.42336727601870805</c:v>
                </c:pt>
                <c:pt idx="387">
                  <c:v>0.42243731784424599</c:v>
                </c:pt>
                <c:pt idx="388">
                  <c:v>0.42155223710298823</c:v>
                </c:pt>
                <c:pt idx="389">
                  <c:v>0.42068140087883071</c:v>
                </c:pt>
                <c:pt idx="390">
                  <c:v>0.41962174039555339</c:v>
                </c:pt>
                <c:pt idx="391">
                  <c:v>0.41860662535284582</c:v>
                </c:pt>
                <c:pt idx="392">
                  <c:v>0.41769714621623794</c:v>
                </c:pt>
                <c:pt idx="393">
                  <c:v>0.41672458365465759</c:v>
                </c:pt>
                <c:pt idx="394">
                  <c:v>0.41588202792044321</c:v>
                </c:pt>
                <c:pt idx="395">
                  <c:v>0.41495341215873388</c:v>
                </c:pt>
                <c:pt idx="396">
                  <c:v>0.41390956921767325</c:v>
                </c:pt>
                <c:pt idx="397">
                  <c:v>0.41307709591361735</c:v>
                </c:pt>
                <c:pt idx="398">
                  <c:v>0.41216016709302927</c:v>
                </c:pt>
                <c:pt idx="399">
                  <c:v>0.41125354760480332</c:v>
                </c:pt>
                <c:pt idx="400">
                  <c:v>0.41035778463191863</c:v>
                </c:pt>
                <c:pt idx="401">
                  <c:v>0.40963938208341755</c:v>
                </c:pt>
                <c:pt idx="402">
                  <c:v>0.40862813024943045</c:v>
                </c:pt>
                <c:pt idx="403">
                  <c:v>0.40797919589411985</c:v>
                </c:pt>
                <c:pt idx="404">
                  <c:v>0.40734127341973103</c:v>
                </c:pt>
                <c:pt idx="405">
                  <c:v>0.40624265449120273</c:v>
                </c:pt>
                <c:pt idx="406">
                  <c:v>0.40543110016734601</c:v>
                </c:pt>
                <c:pt idx="407">
                  <c:v>0.40443113002239117</c:v>
                </c:pt>
                <c:pt idx="408">
                  <c:v>0.40358851717534416</c:v>
                </c:pt>
                <c:pt idx="409">
                  <c:v>0.40285969109550351</c:v>
                </c:pt>
                <c:pt idx="410">
                  <c:v>0.40181680689518262</c:v>
                </c:pt>
                <c:pt idx="411">
                  <c:v>0.40091902843392485</c:v>
                </c:pt>
                <c:pt idx="412">
                  <c:v>0.40003830685649822</c:v>
                </c:pt>
                <c:pt idx="413">
                  <c:v>0.39905674743180092</c:v>
                </c:pt>
                <c:pt idx="414">
                  <c:v>0.39805332303514518</c:v>
                </c:pt>
                <c:pt idx="415">
                  <c:v>0.39729725438576052</c:v>
                </c:pt>
                <c:pt idx="416">
                  <c:v>0.3964689093716286</c:v>
                </c:pt>
                <c:pt idx="417">
                  <c:v>0.39539135765601346</c:v>
                </c:pt>
                <c:pt idx="418">
                  <c:v>0.39471652135600999</c:v>
                </c:pt>
                <c:pt idx="419">
                  <c:v>0.39378613530344359</c:v>
                </c:pt>
                <c:pt idx="420">
                  <c:v>0.39290060595633802</c:v>
                </c:pt>
                <c:pt idx="421">
                  <c:v>0.39207654417596327</c:v>
                </c:pt>
                <c:pt idx="422">
                  <c:v>0.39121425534012166</c:v>
                </c:pt>
                <c:pt idx="423">
                  <c:v>0.39034533304519708</c:v>
                </c:pt>
                <c:pt idx="424">
                  <c:v>0.38941175772157216</c:v>
                </c:pt>
                <c:pt idx="425">
                  <c:v>0.3885143028591565</c:v>
                </c:pt>
                <c:pt idx="426">
                  <c:v>0.38779789586976521</c:v>
                </c:pt>
                <c:pt idx="427">
                  <c:v>0.38682809398540324</c:v>
                </c:pt>
                <c:pt idx="428">
                  <c:v>0.38595634205640006</c:v>
                </c:pt>
                <c:pt idx="429">
                  <c:v>0.38505084731529537</c:v>
                </c:pt>
                <c:pt idx="430">
                  <c:v>0.38460849171417194</c:v>
                </c:pt>
                <c:pt idx="431">
                  <c:v>0.38346592402657859</c:v>
                </c:pt>
                <c:pt idx="432">
                  <c:v>0.38260795063717884</c:v>
                </c:pt>
                <c:pt idx="433">
                  <c:v>0.38188700271894871</c:v>
                </c:pt>
                <c:pt idx="434">
                  <c:v>0.38102717279593767</c:v>
                </c:pt>
                <c:pt idx="435">
                  <c:v>0.38023202978813786</c:v>
                </c:pt>
                <c:pt idx="436">
                  <c:v>0.37921540288070826</c:v>
                </c:pt>
                <c:pt idx="437">
                  <c:v>0.37834971148597213</c:v>
                </c:pt>
                <c:pt idx="438">
                  <c:v>0.37747721826568814</c:v>
                </c:pt>
                <c:pt idx="439">
                  <c:v>0.37671613514926788</c:v>
                </c:pt>
                <c:pt idx="440">
                  <c:v>0.3759608794106597</c:v>
                </c:pt>
                <c:pt idx="441">
                  <c:v>0.37511465803438587</c:v>
                </c:pt>
                <c:pt idx="442">
                  <c:v>0.37426728948760174</c:v>
                </c:pt>
                <c:pt idx="443">
                  <c:v>0.37328441832358789</c:v>
                </c:pt>
                <c:pt idx="444">
                  <c:v>0.37248269681125468</c:v>
                </c:pt>
                <c:pt idx="445">
                  <c:v>0.37145433171083125</c:v>
                </c:pt>
                <c:pt idx="446">
                  <c:v>0.37082207304716364</c:v>
                </c:pt>
                <c:pt idx="447">
                  <c:v>0.36996231608769281</c:v>
                </c:pt>
                <c:pt idx="448">
                  <c:v>0.36915080482086243</c:v>
                </c:pt>
                <c:pt idx="449">
                  <c:v>0.36827407977408422</c:v>
                </c:pt>
                <c:pt idx="450">
                  <c:v>0.36741555735127257</c:v>
                </c:pt>
                <c:pt idx="451">
                  <c:v>0.36665176733317567</c:v>
                </c:pt>
                <c:pt idx="452">
                  <c:v>0.36589383262050584</c:v>
                </c:pt>
                <c:pt idx="453">
                  <c:v>0.36497363015611894</c:v>
                </c:pt>
                <c:pt idx="454">
                  <c:v>0.36406714588210587</c:v>
                </c:pt>
                <c:pt idx="455">
                  <c:v>0.36354860942441386</c:v>
                </c:pt>
                <c:pt idx="456">
                  <c:v>0.36258196650725533</c:v>
                </c:pt>
                <c:pt idx="457">
                  <c:v>0.36199115280280725</c:v>
                </c:pt>
                <c:pt idx="458">
                  <c:v>0.36091777078435405</c:v>
                </c:pt>
                <c:pt idx="459">
                  <c:v>0.36022654477323424</c:v>
                </c:pt>
                <c:pt idx="460">
                  <c:v>0.35948317754968706</c:v>
                </c:pt>
                <c:pt idx="461">
                  <c:v>0.3589169267982944</c:v>
                </c:pt>
                <c:pt idx="462">
                  <c:v>0.35801652502680137</c:v>
                </c:pt>
                <c:pt idx="463">
                  <c:v>0.35733920659038027</c:v>
                </c:pt>
                <c:pt idx="464">
                  <c:v>0.35668291630827725</c:v>
                </c:pt>
                <c:pt idx="465">
                  <c:v>0.35574921724983077</c:v>
                </c:pt>
                <c:pt idx="466">
                  <c:v>0.35499065284359549</c:v>
                </c:pt>
                <c:pt idx="467">
                  <c:v>0.35434625661605129</c:v>
                </c:pt>
                <c:pt idx="468">
                  <c:v>0.35358432596517358</c:v>
                </c:pt>
                <c:pt idx="469">
                  <c:v>0.35284678043652412</c:v>
                </c:pt>
                <c:pt idx="470">
                  <c:v>0.35195056168118266</c:v>
                </c:pt>
                <c:pt idx="471">
                  <c:v>0.35122138127970071</c:v>
                </c:pt>
                <c:pt idx="472">
                  <c:v>0.35040583660153118</c:v>
                </c:pt>
                <c:pt idx="473">
                  <c:v>0.34952408228803439</c:v>
                </c:pt>
                <c:pt idx="474">
                  <c:v>0.34882265659871536</c:v>
                </c:pt>
                <c:pt idx="475">
                  <c:v>0.34811979257471576</c:v>
                </c:pt>
                <c:pt idx="476">
                  <c:v>0.34727571497703497</c:v>
                </c:pt>
                <c:pt idx="477">
                  <c:v>0.34646377504520037</c:v>
                </c:pt>
                <c:pt idx="478">
                  <c:v>0.34567017798502159</c:v>
                </c:pt>
                <c:pt idx="479">
                  <c:v>0.34494032648913786</c:v>
                </c:pt>
                <c:pt idx="480">
                  <c:v>0.34421772093571501</c:v>
                </c:pt>
                <c:pt idx="481">
                  <c:v>0.34364149706485192</c:v>
                </c:pt>
                <c:pt idx="482">
                  <c:v>0.34272790603178444</c:v>
                </c:pt>
                <c:pt idx="483">
                  <c:v>0.34191554691718146</c:v>
                </c:pt>
                <c:pt idx="484">
                  <c:v>0.34129839988648847</c:v>
                </c:pt>
                <c:pt idx="485">
                  <c:v>0.34072010357880145</c:v>
                </c:pt>
                <c:pt idx="486">
                  <c:v>0.34002612153258427</c:v>
                </c:pt>
                <c:pt idx="487">
                  <c:v>0.33901126135160886</c:v>
                </c:pt>
                <c:pt idx="488">
                  <c:v>0.33843809460684654</c:v>
                </c:pt>
                <c:pt idx="489">
                  <c:v>0.33759779644048377</c:v>
                </c:pt>
                <c:pt idx="490">
                  <c:v>0.33692803284603307</c:v>
                </c:pt>
                <c:pt idx="491">
                  <c:v>0.33636603943917448</c:v>
                </c:pt>
                <c:pt idx="492">
                  <c:v>0.33545481418552214</c:v>
                </c:pt>
                <c:pt idx="493">
                  <c:v>0.33481387520929667</c:v>
                </c:pt>
                <c:pt idx="494">
                  <c:v>0.33405754101202206</c:v>
                </c:pt>
                <c:pt idx="495">
                  <c:v>0.33349102084584187</c:v>
                </c:pt>
                <c:pt idx="496">
                  <c:v>0.3326933625345781</c:v>
                </c:pt>
                <c:pt idx="497">
                  <c:v>0.33186923257301354</c:v>
                </c:pt>
                <c:pt idx="498">
                  <c:v>0.33086848451844275</c:v>
                </c:pt>
                <c:pt idx="499">
                  <c:v>0.33035582352685627</c:v>
                </c:pt>
                <c:pt idx="500">
                  <c:v>0.32953789600191219</c:v>
                </c:pt>
                <c:pt idx="501">
                  <c:v>0.32885934469942413</c:v>
                </c:pt>
                <c:pt idx="502">
                  <c:v>0.328095808833756</c:v>
                </c:pt>
                <c:pt idx="503">
                  <c:v>0.32739985320496018</c:v>
                </c:pt>
                <c:pt idx="504">
                  <c:v>0.32651177418658189</c:v>
                </c:pt>
                <c:pt idx="505">
                  <c:v>0.32586583768949412</c:v>
                </c:pt>
                <c:pt idx="506">
                  <c:v>0.3254325540678572</c:v>
                </c:pt>
                <c:pt idx="507">
                  <c:v>0.32439847479921435</c:v>
                </c:pt>
                <c:pt idx="508">
                  <c:v>0.32380829671655631</c:v>
                </c:pt>
                <c:pt idx="509">
                  <c:v>0.32311847449520192</c:v>
                </c:pt>
                <c:pt idx="510">
                  <c:v>0.32239568890097747</c:v>
                </c:pt>
                <c:pt idx="511">
                  <c:v>0.32172563333134252</c:v>
                </c:pt>
                <c:pt idx="512">
                  <c:v>0.32092925285639634</c:v>
                </c:pt>
                <c:pt idx="513">
                  <c:v>0.32020037348641067</c:v>
                </c:pt>
                <c:pt idx="514">
                  <c:v>0.3194685621054858</c:v>
                </c:pt>
                <c:pt idx="515">
                  <c:v>0.31870501381402494</c:v>
                </c:pt>
                <c:pt idx="516">
                  <c:v>0.31813904832545925</c:v>
                </c:pt>
                <c:pt idx="517">
                  <c:v>0.31740409509013257</c:v>
                </c:pt>
                <c:pt idx="518">
                  <c:v>0.31674216432188329</c:v>
                </c:pt>
                <c:pt idx="519">
                  <c:v>0.31589241197000018</c:v>
                </c:pt>
                <c:pt idx="520">
                  <c:v>0.31534695547231378</c:v>
                </c:pt>
                <c:pt idx="521">
                  <c:v>0.3143858377974158</c:v>
                </c:pt>
                <c:pt idx="522">
                  <c:v>0.31361785223501243</c:v>
                </c:pt>
                <c:pt idx="523">
                  <c:v>0.31288632451301596</c:v>
                </c:pt>
                <c:pt idx="524">
                  <c:v>0.31237517868685311</c:v>
                </c:pt>
                <c:pt idx="525">
                  <c:v>0.3114974509310719</c:v>
                </c:pt>
                <c:pt idx="526">
                  <c:v>0.31087240999031734</c:v>
                </c:pt>
                <c:pt idx="527">
                  <c:v>0.31008655908342431</c:v>
                </c:pt>
                <c:pt idx="528">
                  <c:v>0.30949430447101206</c:v>
                </c:pt>
                <c:pt idx="529">
                  <c:v>0.30881907208565612</c:v>
                </c:pt>
                <c:pt idx="530">
                  <c:v>0.30786683559530376</c:v>
                </c:pt>
                <c:pt idx="531">
                  <c:v>0.3074438114521636</c:v>
                </c:pt>
                <c:pt idx="532">
                  <c:v>0.30661063586625298</c:v>
                </c:pt>
                <c:pt idx="533">
                  <c:v>0.30595987961465276</c:v>
                </c:pt>
                <c:pt idx="534">
                  <c:v>0.30511148383469433</c:v>
                </c:pt>
                <c:pt idx="535">
                  <c:v>0.30472642903010899</c:v>
                </c:pt>
                <c:pt idx="536">
                  <c:v>0.30370937333472076</c:v>
                </c:pt>
                <c:pt idx="537">
                  <c:v>0.30296030011938313</c:v>
                </c:pt>
                <c:pt idx="538">
                  <c:v>0.30248080302048375</c:v>
                </c:pt>
                <c:pt idx="539">
                  <c:v>0.30158618064607845</c:v>
                </c:pt>
                <c:pt idx="540">
                  <c:v>0.30065314358048884</c:v>
                </c:pt>
                <c:pt idx="541">
                  <c:v>0.29986340455730753</c:v>
                </c:pt>
                <c:pt idx="542">
                  <c:v>0.29929888655624687</c:v>
                </c:pt>
                <c:pt idx="543">
                  <c:v>0.29854692449969916</c:v>
                </c:pt>
                <c:pt idx="544">
                  <c:v>0.29758146522406059</c:v>
                </c:pt>
                <c:pt idx="545">
                  <c:v>0.29681052133823932</c:v>
                </c:pt>
                <c:pt idx="546">
                  <c:v>0.29617608886246138</c:v>
                </c:pt>
                <c:pt idx="547">
                  <c:v>0.29555712219259972</c:v>
                </c:pt>
                <c:pt idx="548">
                  <c:v>0.29481220522125029</c:v>
                </c:pt>
                <c:pt idx="549">
                  <c:v>0.29398481486758804</c:v>
                </c:pt>
                <c:pt idx="550">
                  <c:v>0.29335823374648834</c:v>
                </c:pt>
                <c:pt idx="551">
                  <c:v>0.29253278090073631</c:v>
                </c:pt>
                <c:pt idx="552">
                  <c:v>0.29216000295847988</c:v>
                </c:pt>
                <c:pt idx="553">
                  <c:v>0.29116577685277351</c:v>
                </c:pt>
                <c:pt idx="554">
                  <c:v>0.29053346966997762</c:v>
                </c:pt>
                <c:pt idx="555">
                  <c:v>0.28984466554193533</c:v>
                </c:pt>
                <c:pt idx="556">
                  <c:v>0.28935642867864358</c:v>
                </c:pt>
                <c:pt idx="557">
                  <c:v>0.2887571380060413</c:v>
                </c:pt>
                <c:pt idx="558">
                  <c:v>0.28811574559705894</c:v>
                </c:pt>
                <c:pt idx="559">
                  <c:v>0.28738626748031976</c:v>
                </c:pt>
                <c:pt idx="560">
                  <c:v>0.28674233713640479</c:v>
                </c:pt>
                <c:pt idx="561">
                  <c:v>0.28617510686574515</c:v>
                </c:pt>
                <c:pt idx="562">
                  <c:v>0.28520530004974065</c:v>
                </c:pt>
                <c:pt idx="563">
                  <c:v>0.28469721320119007</c:v>
                </c:pt>
                <c:pt idx="564">
                  <c:v>0.28394907339117476</c:v>
                </c:pt>
                <c:pt idx="565">
                  <c:v>0.28326702008978599</c:v>
                </c:pt>
                <c:pt idx="566">
                  <c:v>0.28253432713768462</c:v>
                </c:pt>
                <c:pt idx="567">
                  <c:v>0.28188139192616907</c:v>
                </c:pt>
                <c:pt idx="568">
                  <c:v>0.28132739406672685</c:v>
                </c:pt>
                <c:pt idx="569">
                  <c:v>0.28055766650421538</c:v>
                </c:pt>
                <c:pt idx="570">
                  <c:v>0.2800276294727152</c:v>
                </c:pt>
                <c:pt idx="571">
                  <c:v>0.27928303903796514</c:v>
                </c:pt>
                <c:pt idx="572">
                  <c:v>0.27864845342990602</c:v>
                </c:pt>
                <c:pt idx="573">
                  <c:v>0.27807071053470361</c:v>
                </c:pt>
                <c:pt idx="574">
                  <c:v>0.27743772949862128</c:v>
                </c:pt>
                <c:pt idx="575">
                  <c:v>0.2768893934420647</c:v>
                </c:pt>
                <c:pt idx="576">
                  <c:v>0.27635658040010525</c:v>
                </c:pt>
                <c:pt idx="577">
                  <c:v>0.27556409059360037</c:v>
                </c:pt>
                <c:pt idx="578">
                  <c:v>0.27512367294053813</c:v>
                </c:pt>
                <c:pt idx="579">
                  <c:v>0.27457071248099979</c:v>
                </c:pt>
                <c:pt idx="580">
                  <c:v>0.27398511154423794</c:v>
                </c:pt>
                <c:pt idx="581">
                  <c:v>0.27337919814974132</c:v>
                </c:pt>
                <c:pt idx="582">
                  <c:v>0.27279917356139732</c:v>
                </c:pt>
                <c:pt idx="583">
                  <c:v>0.27207252443574381</c:v>
                </c:pt>
                <c:pt idx="584">
                  <c:v>0.27152081996908844</c:v>
                </c:pt>
                <c:pt idx="585">
                  <c:v>0.27093833751706431</c:v>
                </c:pt>
                <c:pt idx="586">
                  <c:v>0.2702098651109055</c:v>
                </c:pt>
                <c:pt idx="587">
                  <c:v>0.26959546563979264</c:v>
                </c:pt>
                <c:pt idx="588">
                  <c:v>0.26912054207744318</c:v>
                </c:pt>
                <c:pt idx="589">
                  <c:v>0.26877769346068797</c:v>
                </c:pt>
                <c:pt idx="590">
                  <c:v>0.26787755548470737</c:v>
                </c:pt>
                <c:pt idx="591">
                  <c:v>0.2672691041428088</c:v>
                </c:pt>
                <c:pt idx="592">
                  <c:v>0.26664469303822025</c:v>
                </c:pt>
                <c:pt idx="593">
                  <c:v>0.26615427801990521</c:v>
                </c:pt>
                <c:pt idx="594">
                  <c:v>0.265424060823998</c:v>
                </c:pt>
                <c:pt idx="595">
                  <c:v>0.26480044209054515</c:v>
                </c:pt>
                <c:pt idx="596">
                  <c:v>0.2641948111571622</c:v>
                </c:pt>
                <c:pt idx="597">
                  <c:v>0.26354355545039099</c:v>
                </c:pt>
                <c:pt idx="598">
                  <c:v>0.26311944073422777</c:v>
                </c:pt>
                <c:pt idx="599">
                  <c:v>0.26238243495000285</c:v>
                </c:pt>
                <c:pt idx="600">
                  <c:v>0.26201023050940281</c:v>
                </c:pt>
                <c:pt idx="601">
                  <c:v>0.26144190312013726</c:v>
                </c:pt>
                <c:pt idx="602">
                  <c:v>0.26075290484104829</c:v>
                </c:pt>
                <c:pt idx="603">
                  <c:v>0.26034161183567489</c:v>
                </c:pt>
                <c:pt idx="604">
                  <c:v>0.25972817173233115</c:v>
                </c:pt>
                <c:pt idx="605">
                  <c:v>0.25888643735661299</c:v>
                </c:pt>
                <c:pt idx="606">
                  <c:v>0.25849781400085614</c:v>
                </c:pt>
                <c:pt idx="607">
                  <c:v>0.25787045690213845</c:v>
                </c:pt>
                <c:pt idx="608">
                  <c:v>0.25721049323780026</c:v>
                </c:pt>
                <c:pt idx="609">
                  <c:v>0.25661173682859656</c:v>
                </c:pt>
                <c:pt idx="610">
                  <c:v>0.25607976919646852</c:v>
                </c:pt>
                <c:pt idx="611">
                  <c:v>0.25550448710094265</c:v>
                </c:pt>
                <c:pt idx="612">
                  <c:v>0.25493637588931678</c:v>
                </c:pt>
                <c:pt idx="613">
                  <c:v>0.25431642799864751</c:v>
                </c:pt>
                <c:pt idx="614">
                  <c:v>0.25367474577061944</c:v>
                </c:pt>
                <c:pt idx="615">
                  <c:v>0.25334261231947464</c:v>
                </c:pt>
                <c:pt idx="616">
                  <c:v>0.25267645997385552</c:v>
                </c:pt>
                <c:pt idx="617">
                  <c:v>0.25219651091565798</c:v>
                </c:pt>
                <c:pt idx="618">
                  <c:v>0.25160417673840535</c:v>
                </c:pt>
                <c:pt idx="619">
                  <c:v>0.25104208791275479</c:v>
                </c:pt>
                <c:pt idx="620">
                  <c:v>0.25048480923808059</c:v>
                </c:pt>
                <c:pt idx="621">
                  <c:v>0.24970352030107473</c:v>
                </c:pt>
                <c:pt idx="622">
                  <c:v>0.24910127940327256</c:v>
                </c:pt>
                <c:pt idx="623">
                  <c:v>0.24854755284408406</c:v>
                </c:pt>
                <c:pt idx="624">
                  <c:v>0.24820059567612485</c:v>
                </c:pt>
                <c:pt idx="625">
                  <c:v>0.24739398635881824</c:v>
                </c:pt>
                <c:pt idx="626">
                  <c:v>0.24706833306120274</c:v>
                </c:pt>
                <c:pt idx="627">
                  <c:v>0.24635331312938119</c:v>
                </c:pt>
                <c:pt idx="628">
                  <c:v>0.24592274478215384</c:v>
                </c:pt>
                <c:pt idx="629">
                  <c:v>0.24548216878804899</c:v>
                </c:pt>
                <c:pt idx="630">
                  <c:v>0.24473855504040407</c:v>
                </c:pt>
                <c:pt idx="631">
                  <c:v>0.24418129164235172</c:v>
                </c:pt>
                <c:pt idx="632">
                  <c:v>0.24361853233290429</c:v>
                </c:pt>
                <c:pt idx="633">
                  <c:v>0.24328192792991879</c:v>
                </c:pt>
                <c:pt idx="634">
                  <c:v>0.24276838592053862</c:v>
                </c:pt>
                <c:pt idx="635">
                  <c:v>0.24203847529134231</c:v>
                </c:pt>
                <c:pt idx="636">
                  <c:v>0.24158529024387859</c:v>
                </c:pt>
                <c:pt idx="637">
                  <c:v>0.24105061417873461</c:v>
                </c:pt>
                <c:pt idx="638">
                  <c:v>0.24060211849202964</c:v>
                </c:pt>
                <c:pt idx="639">
                  <c:v>0.23988470383006735</c:v>
                </c:pt>
                <c:pt idx="640">
                  <c:v>0.23947877372830598</c:v>
                </c:pt>
                <c:pt idx="641">
                  <c:v>0.2389042671770952</c:v>
                </c:pt>
                <c:pt idx="642">
                  <c:v>0.23816941305543066</c:v>
                </c:pt>
                <c:pt idx="643">
                  <c:v>0.23776506630902991</c:v>
                </c:pt>
                <c:pt idx="644">
                  <c:v>0.23725197065479031</c:v>
                </c:pt>
                <c:pt idx="645">
                  <c:v>0.23710655215277807</c:v>
                </c:pt>
                <c:pt idx="646">
                  <c:v>0.23626444179075848</c:v>
                </c:pt>
                <c:pt idx="647">
                  <c:v>0.23597699551929405</c:v>
                </c:pt>
                <c:pt idx="648">
                  <c:v>0.23548651018604397</c:v>
                </c:pt>
                <c:pt idx="649">
                  <c:v>0.23504230740403489</c:v>
                </c:pt>
                <c:pt idx="650">
                  <c:v>0.23459006356223772</c:v>
                </c:pt>
                <c:pt idx="651">
                  <c:v>0.23389640964676303</c:v>
                </c:pt>
                <c:pt idx="652">
                  <c:v>0.23361178996449319</c:v>
                </c:pt>
                <c:pt idx="653">
                  <c:v>0.23291343150342908</c:v>
                </c:pt>
                <c:pt idx="654">
                  <c:v>0.23256569350400522</c:v>
                </c:pt>
                <c:pt idx="655">
                  <c:v>0.23185681491010626</c:v>
                </c:pt>
                <c:pt idx="656">
                  <c:v>0.23139669314825945</c:v>
                </c:pt>
                <c:pt idx="657">
                  <c:v>0.2307175776773856</c:v>
                </c:pt>
                <c:pt idx="658">
                  <c:v>0.23045590304873723</c:v>
                </c:pt>
                <c:pt idx="659">
                  <c:v>0.22981520633983432</c:v>
                </c:pt>
                <c:pt idx="660">
                  <c:v>0.22902205799697578</c:v>
                </c:pt>
                <c:pt idx="661">
                  <c:v>0.22850890376333965</c:v>
                </c:pt>
                <c:pt idx="662">
                  <c:v>0.2277559208929279</c:v>
                </c:pt>
                <c:pt idx="663">
                  <c:v>0.22734125595741639</c:v>
                </c:pt>
                <c:pt idx="664">
                  <c:v>0.22693052729511018</c:v>
                </c:pt>
                <c:pt idx="665">
                  <c:v>0.22604344800800971</c:v>
                </c:pt>
                <c:pt idx="666">
                  <c:v>0.22573037631711576</c:v>
                </c:pt>
                <c:pt idx="667">
                  <c:v>0.22525547630025794</c:v>
                </c:pt>
                <c:pt idx="668">
                  <c:v>0.22459586471175899</c:v>
                </c:pt>
                <c:pt idx="669">
                  <c:v>0.2241546449208873</c:v>
                </c:pt>
                <c:pt idx="670">
                  <c:v>0.22349080405017607</c:v>
                </c:pt>
                <c:pt idx="671">
                  <c:v>0.22316735171185553</c:v>
                </c:pt>
                <c:pt idx="672">
                  <c:v>0.22237749055554243</c:v>
                </c:pt>
                <c:pt idx="673">
                  <c:v>0.22207329088781236</c:v>
                </c:pt>
                <c:pt idx="674">
                  <c:v>0.22148731838037064</c:v>
                </c:pt>
                <c:pt idx="675">
                  <c:v>0.22094467543378851</c:v>
                </c:pt>
                <c:pt idx="676">
                  <c:v>0.22052254495126949</c:v>
                </c:pt>
                <c:pt idx="677">
                  <c:v>0.21976413239669537</c:v>
                </c:pt>
                <c:pt idx="678">
                  <c:v>0.21950257146893068</c:v>
                </c:pt>
                <c:pt idx="679">
                  <c:v>0.21897557914115964</c:v>
                </c:pt>
                <c:pt idx="680">
                  <c:v>0.2183286388559938</c:v>
                </c:pt>
                <c:pt idx="681">
                  <c:v>0.21784067221169587</c:v>
                </c:pt>
                <c:pt idx="682">
                  <c:v>0.21734349276016149</c:v>
                </c:pt>
                <c:pt idx="683">
                  <c:v>0.21695946743964453</c:v>
                </c:pt>
                <c:pt idx="684">
                  <c:v>0.21635312056845399</c:v>
                </c:pt>
                <c:pt idx="685">
                  <c:v>0.21595445466108179</c:v>
                </c:pt>
                <c:pt idx="686">
                  <c:v>0.21541916711611553</c:v>
                </c:pt>
                <c:pt idx="687">
                  <c:v>0.21490993109266984</c:v>
                </c:pt>
                <c:pt idx="688">
                  <c:v>0.21461389726202679</c:v>
                </c:pt>
                <c:pt idx="689">
                  <c:v>0.21412009076516222</c:v>
                </c:pt>
                <c:pt idx="690">
                  <c:v>0.21362533716046267</c:v>
                </c:pt>
                <c:pt idx="691">
                  <c:v>0.21318656466522537</c:v>
                </c:pt>
                <c:pt idx="692">
                  <c:v>0.21283880963042695</c:v>
                </c:pt>
                <c:pt idx="693">
                  <c:v>0.21216811058857826</c:v>
                </c:pt>
                <c:pt idx="694">
                  <c:v>0.21167151044949256</c:v>
                </c:pt>
                <c:pt idx="695">
                  <c:v>0.2114129633081569</c:v>
                </c:pt>
                <c:pt idx="696">
                  <c:v>0.21068655231720912</c:v>
                </c:pt>
                <c:pt idx="697">
                  <c:v>0.21029528923033691</c:v>
                </c:pt>
                <c:pt idx="698">
                  <c:v>0.20990730417095854</c:v>
                </c:pt>
                <c:pt idx="699">
                  <c:v>0.20937617604548037</c:v>
                </c:pt>
                <c:pt idx="700">
                  <c:v>0.2089893101410478</c:v>
                </c:pt>
                <c:pt idx="701">
                  <c:v>0.20841898118514021</c:v>
                </c:pt>
                <c:pt idx="702">
                  <c:v>0.20825609760012653</c:v>
                </c:pt>
                <c:pt idx="703">
                  <c:v>0.20755880799638016</c:v>
                </c:pt>
                <c:pt idx="704">
                  <c:v>0.20726202392873389</c:v>
                </c:pt>
                <c:pt idx="705">
                  <c:v>0.2067365910654726</c:v>
                </c:pt>
                <c:pt idx="706">
                  <c:v>0.20634021868108912</c:v>
                </c:pt>
                <c:pt idx="707">
                  <c:v>0.20597115504344596</c:v>
                </c:pt>
                <c:pt idx="708">
                  <c:v>0.20540435708207072</c:v>
                </c:pt>
                <c:pt idx="709">
                  <c:v>0.20497609506670592</c:v>
                </c:pt>
                <c:pt idx="710">
                  <c:v>0.20435013503363228</c:v>
                </c:pt>
                <c:pt idx="711">
                  <c:v>0.20398324865401848</c:v>
                </c:pt>
                <c:pt idx="712">
                  <c:v>0.20373562312612276</c:v>
                </c:pt>
                <c:pt idx="713">
                  <c:v>0.20311539751679025</c:v>
                </c:pt>
                <c:pt idx="714">
                  <c:v>0.20253365496882372</c:v>
                </c:pt>
                <c:pt idx="715">
                  <c:v>0.20214060851228183</c:v>
                </c:pt>
                <c:pt idx="716">
                  <c:v>0.20156640624659847</c:v>
                </c:pt>
                <c:pt idx="717">
                  <c:v>0.20108146854393344</c:v>
                </c:pt>
                <c:pt idx="718">
                  <c:v>0.2007318821947133</c:v>
                </c:pt>
                <c:pt idx="719">
                  <c:v>0.20015641758273534</c:v>
                </c:pt>
                <c:pt idx="720">
                  <c:v>0.19965058877665351</c:v>
                </c:pt>
                <c:pt idx="721">
                  <c:v>0.1993776653425085</c:v>
                </c:pt>
                <c:pt idx="722">
                  <c:v>0.19898379424571497</c:v>
                </c:pt>
                <c:pt idx="723">
                  <c:v>0.19828749181775659</c:v>
                </c:pt>
                <c:pt idx="724">
                  <c:v>0.19792551099471992</c:v>
                </c:pt>
                <c:pt idx="725">
                  <c:v>0.19762265503372167</c:v>
                </c:pt>
                <c:pt idx="726">
                  <c:v>0.1968396775791782</c:v>
                </c:pt>
                <c:pt idx="727">
                  <c:v>0.19662569334111757</c:v>
                </c:pt>
                <c:pt idx="728">
                  <c:v>0.19604633839528271</c:v>
                </c:pt>
                <c:pt idx="729">
                  <c:v>0.19555703768848975</c:v>
                </c:pt>
                <c:pt idx="730">
                  <c:v>0.19520622284015071</c:v>
                </c:pt>
                <c:pt idx="731">
                  <c:v>0.19509759220450382</c:v>
                </c:pt>
                <c:pt idx="732">
                  <c:v>0.19449011923918461</c:v>
                </c:pt>
                <c:pt idx="733">
                  <c:v>0.19414846405880443</c:v>
                </c:pt>
                <c:pt idx="734">
                  <c:v>0.19347457532772397</c:v>
                </c:pt>
                <c:pt idx="735">
                  <c:v>0.19309594938415536</c:v>
                </c:pt>
                <c:pt idx="736">
                  <c:v>0.19276609826956767</c:v>
                </c:pt>
                <c:pt idx="737">
                  <c:v>0.19252544899796267</c:v>
                </c:pt>
                <c:pt idx="738">
                  <c:v>0.19198205458752204</c:v>
                </c:pt>
                <c:pt idx="739">
                  <c:v>0.19155313383112149</c:v>
                </c:pt>
                <c:pt idx="740">
                  <c:v>0.19117484850167341</c:v>
                </c:pt>
                <c:pt idx="741">
                  <c:v>0.19103361441307329</c:v>
                </c:pt>
                <c:pt idx="742">
                  <c:v>0.19049710867123498</c:v>
                </c:pt>
                <c:pt idx="743">
                  <c:v>0.19011159643577455</c:v>
                </c:pt>
                <c:pt idx="744">
                  <c:v>0.18974564330329299</c:v>
                </c:pt>
                <c:pt idx="745">
                  <c:v>0.18910842287199151</c:v>
                </c:pt>
                <c:pt idx="746">
                  <c:v>0.18881843041493579</c:v>
                </c:pt>
                <c:pt idx="747">
                  <c:v>0.18852626843049294</c:v>
                </c:pt>
                <c:pt idx="748">
                  <c:v>0.18812648511029309</c:v>
                </c:pt>
                <c:pt idx="749">
                  <c:v>0.18780610267671874</c:v>
                </c:pt>
                <c:pt idx="750">
                  <c:v>0.18757013619596558</c:v>
                </c:pt>
                <c:pt idx="751">
                  <c:v>0.18668343687462163</c:v>
                </c:pt>
                <c:pt idx="752">
                  <c:v>0.18639355521486847</c:v>
                </c:pt>
                <c:pt idx="753">
                  <c:v>0.18585718598530973</c:v>
                </c:pt>
                <c:pt idx="754">
                  <c:v>0.18554197519248725</c:v>
                </c:pt>
                <c:pt idx="755">
                  <c:v>0.18513990221088469</c:v>
                </c:pt>
                <c:pt idx="756">
                  <c:v>0.18484501913962567</c:v>
                </c:pt>
                <c:pt idx="757">
                  <c:v>0.18435000061800988</c:v>
                </c:pt>
                <c:pt idx="758">
                  <c:v>0.18395811137299611</c:v>
                </c:pt>
                <c:pt idx="759">
                  <c:v>0.1836154599126455</c:v>
                </c:pt>
                <c:pt idx="760">
                  <c:v>0.18343746129387919</c:v>
                </c:pt>
                <c:pt idx="761">
                  <c:v>0.18281488885992958</c:v>
                </c:pt>
                <c:pt idx="762">
                  <c:v>0.18246821527855916</c:v>
                </c:pt>
                <c:pt idx="763">
                  <c:v>0.18241186969483902</c:v>
                </c:pt>
                <c:pt idx="764">
                  <c:v>0.18182719506453418</c:v>
                </c:pt>
                <c:pt idx="765">
                  <c:v>0.18212015911402199</c:v>
                </c:pt>
                <c:pt idx="766">
                  <c:v>0.18104553006349339</c:v>
                </c:pt>
                <c:pt idx="767">
                  <c:v>0.18057162915418795</c:v>
                </c:pt>
                <c:pt idx="768">
                  <c:v>0.18027168327376908</c:v>
                </c:pt>
                <c:pt idx="769">
                  <c:v>0.17973417643206313</c:v>
                </c:pt>
                <c:pt idx="770">
                  <c:v>0.17932316572158088</c:v>
                </c:pt>
                <c:pt idx="771">
                  <c:v>0.17903282648099772</c:v>
                </c:pt>
                <c:pt idx="772">
                  <c:v>0.17856645010007485</c:v>
                </c:pt>
                <c:pt idx="773">
                  <c:v>0.17846001216867916</c:v>
                </c:pt>
                <c:pt idx="774">
                  <c:v>0.17793421694230468</c:v>
                </c:pt>
                <c:pt idx="775">
                  <c:v>0.17759884247688995</c:v>
                </c:pt>
                <c:pt idx="776">
                  <c:v>0.17686301780876915</c:v>
                </c:pt>
                <c:pt idx="777">
                  <c:v>0.17634529425847068</c:v>
                </c:pt>
                <c:pt idx="778">
                  <c:v>0.17607822934169429</c:v>
                </c:pt>
                <c:pt idx="779">
                  <c:v>0.17599491875148665</c:v>
                </c:pt>
                <c:pt idx="780">
                  <c:v>0.17577690389445899</c:v>
                </c:pt>
                <c:pt idx="781">
                  <c:v>0.17524725493729396</c:v>
                </c:pt>
                <c:pt idx="782">
                  <c:v>0.17506777297648995</c:v>
                </c:pt>
                <c:pt idx="783">
                  <c:v>0.17465403885629324</c:v>
                </c:pt>
                <c:pt idx="784">
                  <c:v>0.17425915523688709</c:v>
                </c:pt>
                <c:pt idx="785">
                  <c:v>0.17406975566338764</c:v>
                </c:pt>
                <c:pt idx="786">
                  <c:v>0.17374759155450822</c:v>
                </c:pt>
                <c:pt idx="787">
                  <c:v>0.17345484648800288</c:v>
                </c:pt>
                <c:pt idx="788">
                  <c:v>0.17328852179466164</c:v>
                </c:pt>
                <c:pt idx="789">
                  <c:v>0.17296144411674025</c:v>
                </c:pt>
                <c:pt idx="790">
                  <c:v>0.17248753361240332</c:v>
                </c:pt>
                <c:pt idx="791">
                  <c:v>0.17212182962454511</c:v>
                </c:pt>
                <c:pt idx="792">
                  <c:v>0.1717396664578624</c:v>
                </c:pt>
                <c:pt idx="793">
                  <c:v>0.1715049948117488</c:v>
                </c:pt>
                <c:pt idx="794">
                  <c:v>0.17122044298948427</c:v>
                </c:pt>
                <c:pt idx="795">
                  <c:v>0.17086922058809004</c:v>
                </c:pt>
                <c:pt idx="796">
                  <c:v>0.17051617830930957</c:v>
                </c:pt>
                <c:pt idx="797">
                  <c:v>0.17009541424915439</c:v>
                </c:pt>
                <c:pt idx="798">
                  <c:v>0.16994897912865067</c:v>
                </c:pt>
                <c:pt idx="799">
                  <c:v>0.16956593838542453</c:v>
                </c:pt>
                <c:pt idx="800">
                  <c:v>0.1692311321189833</c:v>
                </c:pt>
                <c:pt idx="801">
                  <c:v>0.16891109002556323</c:v>
                </c:pt>
                <c:pt idx="802">
                  <c:v>0.16848925736337686</c:v>
                </c:pt>
                <c:pt idx="803">
                  <c:v>0.16802455137738745</c:v>
                </c:pt>
                <c:pt idx="804">
                  <c:v>0.16793512056836354</c:v>
                </c:pt>
                <c:pt idx="805">
                  <c:v>0.16729674458541155</c:v>
                </c:pt>
                <c:pt idx="806">
                  <c:v>0.16716239544306746</c:v>
                </c:pt>
                <c:pt idx="807">
                  <c:v>0.16680718260209282</c:v>
                </c:pt>
                <c:pt idx="808">
                  <c:v>0.16631944730168444</c:v>
                </c:pt>
                <c:pt idx="809">
                  <c:v>0.16583990217880346</c:v>
                </c:pt>
                <c:pt idx="810">
                  <c:v>0.16563685845402659</c:v>
                </c:pt>
                <c:pt idx="811">
                  <c:v>0.16553551891384238</c:v>
                </c:pt>
                <c:pt idx="812">
                  <c:v>0.16506402628300915</c:v>
                </c:pt>
                <c:pt idx="813">
                  <c:v>0.16468827250815482</c:v>
                </c:pt>
                <c:pt idx="814">
                  <c:v>0.16440949375347799</c:v>
                </c:pt>
                <c:pt idx="815">
                  <c:v>0.16401863730747029</c:v>
                </c:pt>
                <c:pt idx="816">
                  <c:v>0.16367677621133969</c:v>
                </c:pt>
                <c:pt idx="817">
                  <c:v>0.16359769396304602</c:v>
                </c:pt>
                <c:pt idx="818">
                  <c:v>0.16295762104023248</c:v>
                </c:pt>
                <c:pt idx="819">
                  <c:v>0.16281855284983282</c:v>
                </c:pt>
                <c:pt idx="820">
                  <c:v>0.1624303275782662</c:v>
                </c:pt>
                <c:pt idx="821">
                  <c:v>0.16202886346451345</c:v>
                </c:pt>
                <c:pt idx="822">
                  <c:v>0.16167775613307198</c:v>
                </c:pt>
                <c:pt idx="823">
                  <c:v>0.16153117680741119</c:v>
                </c:pt>
                <c:pt idx="824">
                  <c:v>0.1615052243303764</c:v>
                </c:pt>
                <c:pt idx="825">
                  <c:v>0.16107901179483342</c:v>
                </c:pt>
                <c:pt idx="826">
                  <c:v>0.16085224016076674</c:v>
                </c:pt>
                <c:pt idx="827">
                  <c:v>0.16052217081325565</c:v>
                </c:pt>
                <c:pt idx="828">
                  <c:v>0.16018909448438393</c:v>
                </c:pt>
                <c:pt idx="829">
                  <c:v>0.15989817395947506</c:v>
                </c:pt>
                <c:pt idx="830">
                  <c:v>0.15948424582028634</c:v>
                </c:pt>
                <c:pt idx="831">
                  <c:v>0.15915741905361752</c:v>
                </c:pt>
                <c:pt idx="832">
                  <c:v>0.15862924836378003</c:v>
                </c:pt>
                <c:pt idx="833">
                  <c:v>0.1585244522651858</c:v>
                </c:pt>
                <c:pt idx="834">
                  <c:v>0.1580114557327704</c:v>
                </c:pt>
                <c:pt idx="835">
                  <c:v>0.15768595842829525</c:v>
                </c:pt>
                <c:pt idx="836">
                  <c:v>0.15733826042880131</c:v>
                </c:pt>
                <c:pt idx="837">
                  <c:v>0.15734798079929821</c:v>
                </c:pt>
                <c:pt idx="838">
                  <c:v>0.15675765146358642</c:v>
                </c:pt>
                <c:pt idx="839">
                  <c:v>0.15642155489137638</c:v>
                </c:pt>
                <c:pt idx="840">
                  <c:v>0.15617833998464734</c:v>
                </c:pt>
                <c:pt idx="841">
                  <c:v>0.15566870492590953</c:v>
                </c:pt>
                <c:pt idx="842">
                  <c:v>0.15524251645793294</c:v>
                </c:pt>
                <c:pt idx="843">
                  <c:v>0.1551216088664229</c:v>
                </c:pt>
                <c:pt idx="844">
                  <c:v>0.15467476018566012</c:v>
                </c:pt>
                <c:pt idx="845">
                  <c:v>0.15439301303818953</c:v>
                </c:pt>
                <c:pt idx="846">
                  <c:v>0.15391542280332973</c:v>
                </c:pt>
                <c:pt idx="847">
                  <c:v>0.15361506118386792</c:v>
                </c:pt>
                <c:pt idx="848">
                  <c:v>0.15342093020997521</c:v>
                </c:pt>
                <c:pt idx="849">
                  <c:v>0.15298724739971808</c:v>
                </c:pt>
                <c:pt idx="850">
                  <c:v>0.1525886473261108</c:v>
                </c:pt>
                <c:pt idx="851">
                  <c:v>0.15249103184167856</c:v>
                </c:pt>
                <c:pt idx="852">
                  <c:v>0.15188274124169579</c:v>
                </c:pt>
                <c:pt idx="853">
                  <c:v>0.15157428214225266</c:v>
                </c:pt>
                <c:pt idx="854">
                  <c:v>0.15113379736966856</c:v>
                </c:pt>
                <c:pt idx="855">
                  <c:v>0.15107326741993821</c:v>
                </c:pt>
                <c:pt idx="856">
                  <c:v>0.15058061647697812</c:v>
                </c:pt>
                <c:pt idx="857">
                  <c:v>0.15054303226756491</c:v>
                </c:pt>
                <c:pt idx="858">
                  <c:v>0.14995126130461534</c:v>
                </c:pt>
                <c:pt idx="859">
                  <c:v>0.15001275424294058</c:v>
                </c:pt>
                <c:pt idx="860">
                  <c:v>0.14936736750690041</c:v>
                </c:pt>
                <c:pt idx="861">
                  <c:v>0.14939861973135157</c:v>
                </c:pt>
                <c:pt idx="862">
                  <c:v>0.14894736743507217</c:v>
                </c:pt>
                <c:pt idx="863">
                  <c:v>0.14859515408670634</c:v>
                </c:pt>
                <c:pt idx="864">
                  <c:v>0.14813110816590855</c:v>
                </c:pt>
                <c:pt idx="865">
                  <c:v>0.14785922400095453</c:v>
                </c:pt>
                <c:pt idx="866">
                  <c:v>0.14741518795099684</c:v>
                </c:pt>
                <c:pt idx="867">
                  <c:v>0.14720070284047593</c:v>
                </c:pt>
                <c:pt idx="868">
                  <c:v>0.14696614122683024</c:v>
                </c:pt>
                <c:pt idx="869">
                  <c:v>0.14657640890194104</c:v>
                </c:pt>
                <c:pt idx="870">
                  <c:v>0.14603306363125007</c:v>
                </c:pt>
                <c:pt idx="871">
                  <c:v>0.1460139645445438</c:v>
                </c:pt>
                <c:pt idx="872">
                  <c:v>0.14562627990955634</c:v>
                </c:pt>
                <c:pt idx="873">
                  <c:v>0.14543517993445618</c:v>
                </c:pt>
                <c:pt idx="874">
                  <c:v>0.14503747318967011</c:v>
                </c:pt>
                <c:pt idx="875">
                  <c:v>0.14452136242193669</c:v>
                </c:pt>
                <c:pt idx="876">
                  <c:v>0.14412983474924312</c:v>
                </c:pt>
                <c:pt idx="877">
                  <c:v>0.14401211656136698</c:v>
                </c:pt>
                <c:pt idx="878">
                  <c:v>0.14379970250144433</c:v>
                </c:pt>
                <c:pt idx="879">
                  <c:v>0.14343806796065964</c:v>
                </c:pt>
                <c:pt idx="880">
                  <c:v>0.14303272155009034</c:v>
                </c:pt>
                <c:pt idx="881">
                  <c:v>0.14293394791238756</c:v>
                </c:pt>
                <c:pt idx="882">
                  <c:v>0.14244972056824068</c:v>
                </c:pt>
                <c:pt idx="883">
                  <c:v>0.14208094131474938</c:v>
                </c:pt>
                <c:pt idx="884">
                  <c:v>0.14201635643720337</c:v>
                </c:pt>
                <c:pt idx="885">
                  <c:v>0.14180460855011914</c:v>
                </c:pt>
                <c:pt idx="886">
                  <c:v>0.14147544596537864</c:v>
                </c:pt>
                <c:pt idx="887">
                  <c:v>0.1414008336595855</c:v>
                </c:pt>
                <c:pt idx="888">
                  <c:v>0.14087442554199045</c:v>
                </c:pt>
                <c:pt idx="889">
                  <c:v>0.14077223866902888</c:v>
                </c:pt>
                <c:pt idx="890">
                  <c:v>0.14038882068097874</c:v>
                </c:pt>
                <c:pt idx="891">
                  <c:v>0.13992802248343622</c:v>
                </c:pt>
                <c:pt idx="892">
                  <c:v>0.13974106995426924</c:v>
                </c:pt>
                <c:pt idx="893">
                  <c:v>0.13929386636640503</c:v>
                </c:pt>
                <c:pt idx="894">
                  <c:v>0.13904769532142047</c:v>
                </c:pt>
                <c:pt idx="895">
                  <c:v>0.13867764465710392</c:v>
                </c:pt>
                <c:pt idx="896">
                  <c:v>0.13841989379887404</c:v>
                </c:pt>
                <c:pt idx="897">
                  <c:v>0.1381919612796895</c:v>
                </c:pt>
                <c:pt idx="898">
                  <c:v>0.13791132565924591</c:v>
                </c:pt>
                <c:pt idx="899">
                  <c:v>0.13770335359296326</c:v>
                </c:pt>
                <c:pt idx="900">
                  <c:v>0.13737781451857331</c:v>
                </c:pt>
                <c:pt idx="901">
                  <c:v>0.13717713382777202</c:v>
                </c:pt>
                <c:pt idx="902">
                  <c:v>0.13701502297671855</c:v>
                </c:pt>
                <c:pt idx="903">
                  <c:v>0.13668568904543188</c:v>
                </c:pt>
                <c:pt idx="904">
                  <c:v>0.13640915250180646</c:v>
                </c:pt>
                <c:pt idx="905">
                  <c:v>0.13641100351068422</c:v>
                </c:pt>
                <c:pt idx="906">
                  <c:v>0.13592210530248314</c:v>
                </c:pt>
                <c:pt idx="907">
                  <c:v>0.13585794337075685</c:v>
                </c:pt>
                <c:pt idx="908">
                  <c:v>0.13557341599103598</c:v>
                </c:pt>
                <c:pt idx="909">
                  <c:v>0.13529501421666096</c:v>
                </c:pt>
                <c:pt idx="910">
                  <c:v>0.1351602747254986</c:v>
                </c:pt>
                <c:pt idx="911">
                  <c:v>0.13481774851827202</c:v>
                </c:pt>
                <c:pt idx="912">
                  <c:v>0.13436634769444064</c:v>
                </c:pt>
                <c:pt idx="913">
                  <c:v>0.13391198121568254</c:v>
                </c:pt>
                <c:pt idx="914">
                  <c:v>0.13354652312107532</c:v>
                </c:pt>
                <c:pt idx="915">
                  <c:v>0.13329054844787142</c:v>
                </c:pt>
                <c:pt idx="916">
                  <c:v>0.13307006347181155</c:v>
                </c:pt>
                <c:pt idx="917">
                  <c:v>0.13278843236086149</c:v>
                </c:pt>
                <c:pt idx="918">
                  <c:v>0.13246768461144906</c:v>
                </c:pt>
                <c:pt idx="919">
                  <c:v>0.13197329120431908</c:v>
                </c:pt>
                <c:pt idx="920">
                  <c:v>0.13178993993442778</c:v>
                </c:pt>
                <c:pt idx="921">
                  <c:v>0.13151211294987242</c:v>
                </c:pt>
                <c:pt idx="922">
                  <c:v>0.13130614331428617</c:v>
                </c:pt>
                <c:pt idx="923">
                  <c:v>0.13095380022241657</c:v>
                </c:pt>
                <c:pt idx="924">
                  <c:v>0.13080475048997783</c:v>
                </c:pt>
                <c:pt idx="925">
                  <c:v>0.13042903128004957</c:v>
                </c:pt>
                <c:pt idx="926">
                  <c:v>0.13019956362115348</c:v>
                </c:pt>
                <c:pt idx="927">
                  <c:v>0.1297963679437768</c:v>
                </c:pt>
                <c:pt idx="928">
                  <c:v>0.12966856122488638</c:v>
                </c:pt>
                <c:pt idx="929">
                  <c:v>0.12937757678292322</c:v>
                </c:pt>
                <c:pt idx="930">
                  <c:v>0.12910053035172425</c:v>
                </c:pt>
                <c:pt idx="931">
                  <c:v>0.12892129666179042</c:v>
                </c:pt>
                <c:pt idx="932">
                  <c:v>0.12863738732306462</c:v>
                </c:pt>
                <c:pt idx="933">
                  <c:v>0.12807991644783054</c:v>
                </c:pt>
                <c:pt idx="934">
                  <c:v>0.12793064249485195</c:v>
                </c:pt>
                <c:pt idx="935">
                  <c:v>0.12763603683634955</c:v>
                </c:pt>
                <c:pt idx="936">
                  <c:v>0.12747960563521302</c:v>
                </c:pt>
                <c:pt idx="937">
                  <c:v>0.12705091700051244</c:v>
                </c:pt>
                <c:pt idx="938">
                  <c:v>0.12703121919237631</c:v>
                </c:pt>
                <c:pt idx="939">
                  <c:v>0.12697366968356427</c:v>
                </c:pt>
                <c:pt idx="940">
                  <c:v>0.12663554873611182</c:v>
                </c:pt>
                <c:pt idx="941">
                  <c:v>0.12633792556437654</c:v>
                </c:pt>
                <c:pt idx="942">
                  <c:v>0.1259287609474917</c:v>
                </c:pt>
                <c:pt idx="943">
                  <c:v>0.12565280653357916</c:v>
                </c:pt>
                <c:pt idx="944">
                  <c:v>0.125434471368533</c:v>
                </c:pt>
                <c:pt idx="945">
                  <c:v>0.12520603277234463</c:v>
                </c:pt>
                <c:pt idx="946">
                  <c:v>0.12500523568017596</c:v>
                </c:pt>
                <c:pt idx="947">
                  <c:v>0.12488719921434878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F5F-4B7F-B74F-7EB7B099B656}"/>
            </c:ext>
          </c:extLst>
        </c:ser>
        <c:ser>
          <c:idx val="1"/>
          <c:order val="1"/>
          <c:tx>
            <c:strRef>
              <c:f>'Part 3 Data'!$G$2</c:f>
              <c:strCache>
                <c:ptCount val="1"/>
                <c:pt idx="0">
                  <c:v>Theta_n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'Part 3 Data'!$A$3:$A$1919</c:f>
              <c:numCache>
                <c:formatCode>0.0</c:formatCode>
                <c:ptCount val="1917"/>
                <c:pt idx="0">
                  <c:v>0</c:v>
                </c:pt>
                <c:pt idx="1">
                  <c:v>0.56399999999999995</c:v>
                </c:pt>
                <c:pt idx="2">
                  <c:v>1.1279999999999999</c:v>
                </c:pt>
                <c:pt idx="3">
                  <c:v>1.6919999999999999</c:v>
                </c:pt>
                <c:pt idx="4">
                  <c:v>2.2559999999999998</c:v>
                </c:pt>
                <c:pt idx="5">
                  <c:v>2.82</c:v>
                </c:pt>
                <c:pt idx="6">
                  <c:v>3.3839999999999999</c:v>
                </c:pt>
                <c:pt idx="7">
                  <c:v>3.948</c:v>
                </c:pt>
                <c:pt idx="8">
                  <c:v>4.5119999999999996</c:v>
                </c:pt>
                <c:pt idx="9">
                  <c:v>5.0759999999999996</c:v>
                </c:pt>
                <c:pt idx="10">
                  <c:v>5.64</c:v>
                </c:pt>
                <c:pt idx="11">
                  <c:v>6.2039999999999997</c:v>
                </c:pt>
                <c:pt idx="12">
                  <c:v>6.7679999999999998</c:v>
                </c:pt>
                <c:pt idx="13">
                  <c:v>7.3319999999999999</c:v>
                </c:pt>
                <c:pt idx="14">
                  <c:v>7.8959999999999999</c:v>
                </c:pt>
                <c:pt idx="15">
                  <c:v>8.4600000000000009</c:v>
                </c:pt>
                <c:pt idx="16">
                  <c:v>9.0239999999999991</c:v>
                </c:pt>
                <c:pt idx="17">
                  <c:v>9.5879999999999992</c:v>
                </c:pt>
                <c:pt idx="18">
                  <c:v>10.151999999999999</c:v>
                </c:pt>
                <c:pt idx="19">
                  <c:v>10.715999999999999</c:v>
                </c:pt>
                <c:pt idx="20">
                  <c:v>11.28</c:v>
                </c:pt>
                <c:pt idx="21">
                  <c:v>11.843999999999999</c:v>
                </c:pt>
                <c:pt idx="22">
                  <c:v>12.407999999999999</c:v>
                </c:pt>
                <c:pt idx="23">
                  <c:v>12.972</c:v>
                </c:pt>
                <c:pt idx="24">
                  <c:v>13.536</c:v>
                </c:pt>
                <c:pt idx="25">
                  <c:v>14.1</c:v>
                </c:pt>
                <c:pt idx="26">
                  <c:v>14.664</c:v>
                </c:pt>
                <c:pt idx="27">
                  <c:v>15.228</c:v>
                </c:pt>
                <c:pt idx="28">
                  <c:v>15.792</c:v>
                </c:pt>
                <c:pt idx="29">
                  <c:v>16.356000000000002</c:v>
                </c:pt>
                <c:pt idx="30">
                  <c:v>16.920000000000002</c:v>
                </c:pt>
                <c:pt idx="31">
                  <c:v>17.484000000000002</c:v>
                </c:pt>
                <c:pt idx="32">
                  <c:v>18.047999999999998</c:v>
                </c:pt>
                <c:pt idx="33">
                  <c:v>18.611999999999998</c:v>
                </c:pt>
                <c:pt idx="34">
                  <c:v>19.175999999999998</c:v>
                </c:pt>
                <c:pt idx="35">
                  <c:v>19.739999999999998</c:v>
                </c:pt>
                <c:pt idx="36">
                  <c:v>20.303999999999998</c:v>
                </c:pt>
                <c:pt idx="37">
                  <c:v>20.867999999999999</c:v>
                </c:pt>
                <c:pt idx="38">
                  <c:v>21.431999999999999</c:v>
                </c:pt>
                <c:pt idx="39">
                  <c:v>21.995999999999999</c:v>
                </c:pt>
                <c:pt idx="40">
                  <c:v>22.56</c:v>
                </c:pt>
                <c:pt idx="41">
                  <c:v>23.123999999999999</c:v>
                </c:pt>
                <c:pt idx="42">
                  <c:v>23.687999999999999</c:v>
                </c:pt>
                <c:pt idx="43">
                  <c:v>24.251999999999999</c:v>
                </c:pt>
                <c:pt idx="44">
                  <c:v>24.815999999999999</c:v>
                </c:pt>
                <c:pt idx="45">
                  <c:v>25.38</c:v>
                </c:pt>
                <c:pt idx="46">
                  <c:v>25.943999999999999</c:v>
                </c:pt>
                <c:pt idx="47">
                  <c:v>26.507999999999999</c:v>
                </c:pt>
                <c:pt idx="48">
                  <c:v>27.071999999999999</c:v>
                </c:pt>
                <c:pt idx="49">
                  <c:v>27.635999999999999</c:v>
                </c:pt>
                <c:pt idx="50">
                  <c:v>28.2</c:v>
                </c:pt>
                <c:pt idx="51">
                  <c:v>28.763999999999999</c:v>
                </c:pt>
                <c:pt idx="52">
                  <c:v>29.327999999999999</c:v>
                </c:pt>
                <c:pt idx="53">
                  <c:v>29.891999999999999</c:v>
                </c:pt>
                <c:pt idx="54">
                  <c:v>30.456</c:v>
                </c:pt>
                <c:pt idx="55">
                  <c:v>31.02</c:v>
                </c:pt>
                <c:pt idx="56">
                  <c:v>31.584</c:v>
                </c:pt>
                <c:pt idx="57">
                  <c:v>32.148000000000003</c:v>
                </c:pt>
                <c:pt idx="58">
                  <c:v>32.712000000000003</c:v>
                </c:pt>
                <c:pt idx="59">
                  <c:v>33.276000000000003</c:v>
                </c:pt>
                <c:pt idx="60">
                  <c:v>33.840000000000003</c:v>
                </c:pt>
                <c:pt idx="61">
                  <c:v>34.404000000000003</c:v>
                </c:pt>
                <c:pt idx="62">
                  <c:v>34.968000000000004</c:v>
                </c:pt>
                <c:pt idx="63">
                  <c:v>35.531999999999996</c:v>
                </c:pt>
                <c:pt idx="64">
                  <c:v>36.095999999999997</c:v>
                </c:pt>
                <c:pt idx="65">
                  <c:v>36.659999999999997</c:v>
                </c:pt>
                <c:pt idx="66">
                  <c:v>37.223999999999997</c:v>
                </c:pt>
                <c:pt idx="67">
                  <c:v>37.787999999999997</c:v>
                </c:pt>
                <c:pt idx="68">
                  <c:v>38.351999999999997</c:v>
                </c:pt>
                <c:pt idx="69">
                  <c:v>38.915999999999997</c:v>
                </c:pt>
                <c:pt idx="70">
                  <c:v>39.479999999999997</c:v>
                </c:pt>
                <c:pt idx="71">
                  <c:v>40.043999999999997</c:v>
                </c:pt>
                <c:pt idx="72">
                  <c:v>40.607999999999997</c:v>
                </c:pt>
                <c:pt idx="73">
                  <c:v>41.171999999999997</c:v>
                </c:pt>
                <c:pt idx="74">
                  <c:v>41.735999999999997</c:v>
                </c:pt>
                <c:pt idx="75">
                  <c:v>42.3</c:v>
                </c:pt>
                <c:pt idx="76">
                  <c:v>42.863999999999997</c:v>
                </c:pt>
                <c:pt idx="77">
                  <c:v>43.427999999999997</c:v>
                </c:pt>
                <c:pt idx="78">
                  <c:v>43.991999999999997</c:v>
                </c:pt>
                <c:pt idx="79">
                  <c:v>44.555999999999997</c:v>
                </c:pt>
                <c:pt idx="80">
                  <c:v>45.12</c:v>
                </c:pt>
                <c:pt idx="81">
                  <c:v>45.683999999999997</c:v>
                </c:pt>
                <c:pt idx="82">
                  <c:v>46.247999999999998</c:v>
                </c:pt>
                <c:pt idx="83">
                  <c:v>46.811999999999998</c:v>
                </c:pt>
                <c:pt idx="84">
                  <c:v>47.375999999999998</c:v>
                </c:pt>
                <c:pt idx="85">
                  <c:v>47.94</c:v>
                </c:pt>
                <c:pt idx="86">
                  <c:v>48.503999999999998</c:v>
                </c:pt>
                <c:pt idx="87">
                  <c:v>49.067999999999998</c:v>
                </c:pt>
                <c:pt idx="88">
                  <c:v>49.631999999999998</c:v>
                </c:pt>
                <c:pt idx="89">
                  <c:v>50.195999999999998</c:v>
                </c:pt>
                <c:pt idx="90">
                  <c:v>50.76</c:v>
                </c:pt>
                <c:pt idx="91">
                  <c:v>51.323999999999998</c:v>
                </c:pt>
                <c:pt idx="92">
                  <c:v>51.887999999999998</c:v>
                </c:pt>
                <c:pt idx="93">
                  <c:v>52.451999999999998</c:v>
                </c:pt>
                <c:pt idx="94">
                  <c:v>53.015999999999998</c:v>
                </c:pt>
                <c:pt idx="95">
                  <c:v>53.58</c:v>
                </c:pt>
                <c:pt idx="96">
                  <c:v>54.143999999999998</c:v>
                </c:pt>
                <c:pt idx="97">
                  <c:v>54.707999999999998</c:v>
                </c:pt>
                <c:pt idx="98">
                  <c:v>55.271999999999998</c:v>
                </c:pt>
                <c:pt idx="99">
                  <c:v>55.835999999999999</c:v>
                </c:pt>
                <c:pt idx="100">
                  <c:v>56.4</c:v>
                </c:pt>
                <c:pt idx="101">
                  <c:v>56.963999999999999</c:v>
                </c:pt>
                <c:pt idx="102">
                  <c:v>57.527999999999999</c:v>
                </c:pt>
                <c:pt idx="103">
                  <c:v>58.091999999999999</c:v>
                </c:pt>
                <c:pt idx="104">
                  <c:v>58.655999999999999</c:v>
                </c:pt>
                <c:pt idx="105">
                  <c:v>59.22</c:v>
                </c:pt>
                <c:pt idx="106">
                  <c:v>59.783999999999999</c:v>
                </c:pt>
                <c:pt idx="107">
                  <c:v>60.347999999999999</c:v>
                </c:pt>
                <c:pt idx="108">
                  <c:v>60.911999999999999</c:v>
                </c:pt>
                <c:pt idx="109">
                  <c:v>61.475999999999999</c:v>
                </c:pt>
                <c:pt idx="110">
                  <c:v>62.04</c:v>
                </c:pt>
                <c:pt idx="111">
                  <c:v>62.603999999999999</c:v>
                </c:pt>
                <c:pt idx="112">
                  <c:v>63.167999999999999</c:v>
                </c:pt>
                <c:pt idx="113">
                  <c:v>63.731999999999999</c:v>
                </c:pt>
                <c:pt idx="114">
                  <c:v>64.296000000000006</c:v>
                </c:pt>
                <c:pt idx="115">
                  <c:v>64.86</c:v>
                </c:pt>
                <c:pt idx="116">
                  <c:v>65.424000000000007</c:v>
                </c:pt>
                <c:pt idx="117">
                  <c:v>65.988</c:v>
                </c:pt>
                <c:pt idx="118">
                  <c:v>66.552000000000007</c:v>
                </c:pt>
                <c:pt idx="119">
                  <c:v>67.116</c:v>
                </c:pt>
                <c:pt idx="120">
                  <c:v>67.680000000000007</c:v>
                </c:pt>
                <c:pt idx="121">
                  <c:v>68.244</c:v>
                </c:pt>
                <c:pt idx="122">
                  <c:v>68.808000000000007</c:v>
                </c:pt>
                <c:pt idx="123">
                  <c:v>69.372</c:v>
                </c:pt>
                <c:pt idx="124">
                  <c:v>69.936000000000007</c:v>
                </c:pt>
                <c:pt idx="125">
                  <c:v>70.5</c:v>
                </c:pt>
                <c:pt idx="126">
                  <c:v>71.063999999999993</c:v>
                </c:pt>
                <c:pt idx="127">
                  <c:v>71.628</c:v>
                </c:pt>
                <c:pt idx="128">
                  <c:v>72.191999999999993</c:v>
                </c:pt>
                <c:pt idx="129">
                  <c:v>72.756</c:v>
                </c:pt>
                <c:pt idx="130">
                  <c:v>73.319999999999993</c:v>
                </c:pt>
                <c:pt idx="131">
                  <c:v>73.884</c:v>
                </c:pt>
                <c:pt idx="132">
                  <c:v>74.447999999999993</c:v>
                </c:pt>
                <c:pt idx="133">
                  <c:v>75.012</c:v>
                </c:pt>
                <c:pt idx="134">
                  <c:v>75.575999999999993</c:v>
                </c:pt>
                <c:pt idx="135">
                  <c:v>76.14</c:v>
                </c:pt>
                <c:pt idx="136">
                  <c:v>76.703999999999994</c:v>
                </c:pt>
                <c:pt idx="137">
                  <c:v>77.268000000000001</c:v>
                </c:pt>
                <c:pt idx="138">
                  <c:v>77.831999999999994</c:v>
                </c:pt>
                <c:pt idx="139">
                  <c:v>78.396000000000001</c:v>
                </c:pt>
                <c:pt idx="140">
                  <c:v>78.959999999999994</c:v>
                </c:pt>
                <c:pt idx="141">
                  <c:v>79.524000000000001</c:v>
                </c:pt>
                <c:pt idx="142">
                  <c:v>80.087999999999994</c:v>
                </c:pt>
                <c:pt idx="143">
                  <c:v>80.652000000000001</c:v>
                </c:pt>
                <c:pt idx="144">
                  <c:v>81.215999999999994</c:v>
                </c:pt>
                <c:pt idx="145">
                  <c:v>81.78</c:v>
                </c:pt>
                <c:pt idx="146">
                  <c:v>82.343999999999994</c:v>
                </c:pt>
                <c:pt idx="147">
                  <c:v>82.908000000000001</c:v>
                </c:pt>
                <c:pt idx="148">
                  <c:v>83.471999999999994</c:v>
                </c:pt>
                <c:pt idx="149">
                  <c:v>84.036000000000001</c:v>
                </c:pt>
                <c:pt idx="150">
                  <c:v>84.6</c:v>
                </c:pt>
                <c:pt idx="151">
                  <c:v>85.164000000000001</c:v>
                </c:pt>
                <c:pt idx="152">
                  <c:v>85.727999999999994</c:v>
                </c:pt>
                <c:pt idx="153">
                  <c:v>86.292000000000002</c:v>
                </c:pt>
                <c:pt idx="154">
                  <c:v>86.855999999999995</c:v>
                </c:pt>
                <c:pt idx="155">
                  <c:v>87.42</c:v>
                </c:pt>
                <c:pt idx="156">
                  <c:v>87.983999999999995</c:v>
                </c:pt>
                <c:pt idx="157">
                  <c:v>88.548000000000002</c:v>
                </c:pt>
                <c:pt idx="158">
                  <c:v>89.111999999999995</c:v>
                </c:pt>
                <c:pt idx="159">
                  <c:v>89.676000000000002</c:v>
                </c:pt>
                <c:pt idx="160">
                  <c:v>90.24</c:v>
                </c:pt>
                <c:pt idx="161">
                  <c:v>90.804000000000002</c:v>
                </c:pt>
                <c:pt idx="162">
                  <c:v>91.367999999999995</c:v>
                </c:pt>
                <c:pt idx="163">
                  <c:v>91.932000000000002</c:v>
                </c:pt>
                <c:pt idx="164">
                  <c:v>92.495999999999995</c:v>
                </c:pt>
                <c:pt idx="165">
                  <c:v>93.06</c:v>
                </c:pt>
                <c:pt idx="166">
                  <c:v>93.623999999999995</c:v>
                </c:pt>
                <c:pt idx="167">
                  <c:v>94.188000000000002</c:v>
                </c:pt>
                <c:pt idx="168">
                  <c:v>94.751999999999995</c:v>
                </c:pt>
                <c:pt idx="169">
                  <c:v>95.316000000000003</c:v>
                </c:pt>
                <c:pt idx="170">
                  <c:v>95.88</c:v>
                </c:pt>
                <c:pt idx="171">
                  <c:v>96.444000000000003</c:v>
                </c:pt>
                <c:pt idx="172">
                  <c:v>97.007999999999996</c:v>
                </c:pt>
                <c:pt idx="173">
                  <c:v>97.572000000000003</c:v>
                </c:pt>
                <c:pt idx="174">
                  <c:v>98.135999999999996</c:v>
                </c:pt>
                <c:pt idx="175">
                  <c:v>98.7</c:v>
                </c:pt>
                <c:pt idx="176">
                  <c:v>99.263999999999996</c:v>
                </c:pt>
                <c:pt idx="177">
                  <c:v>99.828000000000003</c:v>
                </c:pt>
                <c:pt idx="178">
                  <c:v>100.392</c:v>
                </c:pt>
                <c:pt idx="179">
                  <c:v>100.956</c:v>
                </c:pt>
                <c:pt idx="180">
                  <c:v>101.52</c:v>
                </c:pt>
                <c:pt idx="181">
                  <c:v>102.084</c:v>
                </c:pt>
                <c:pt idx="182">
                  <c:v>102.648</c:v>
                </c:pt>
                <c:pt idx="183">
                  <c:v>103.212</c:v>
                </c:pt>
                <c:pt idx="184">
                  <c:v>103.776</c:v>
                </c:pt>
                <c:pt idx="185">
                  <c:v>104.34</c:v>
                </c:pt>
                <c:pt idx="186">
                  <c:v>104.904</c:v>
                </c:pt>
                <c:pt idx="187">
                  <c:v>105.468</c:v>
                </c:pt>
                <c:pt idx="188">
                  <c:v>106.032</c:v>
                </c:pt>
                <c:pt idx="189">
                  <c:v>106.596</c:v>
                </c:pt>
                <c:pt idx="190">
                  <c:v>107.16</c:v>
                </c:pt>
                <c:pt idx="191">
                  <c:v>107.724</c:v>
                </c:pt>
                <c:pt idx="192">
                  <c:v>108.288</c:v>
                </c:pt>
                <c:pt idx="193">
                  <c:v>108.852</c:v>
                </c:pt>
                <c:pt idx="194">
                  <c:v>109.416</c:v>
                </c:pt>
                <c:pt idx="195">
                  <c:v>109.98</c:v>
                </c:pt>
                <c:pt idx="196">
                  <c:v>110.544</c:v>
                </c:pt>
                <c:pt idx="197">
                  <c:v>111.108</c:v>
                </c:pt>
                <c:pt idx="198">
                  <c:v>111.672</c:v>
                </c:pt>
                <c:pt idx="199">
                  <c:v>112.236</c:v>
                </c:pt>
                <c:pt idx="200">
                  <c:v>112.8</c:v>
                </c:pt>
                <c:pt idx="201">
                  <c:v>113.364</c:v>
                </c:pt>
                <c:pt idx="202">
                  <c:v>113.928</c:v>
                </c:pt>
                <c:pt idx="203">
                  <c:v>114.492</c:v>
                </c:pt>
                <c:pt idx="204">
                  <c:v>115.056</c:v>
                </c:pt>
                <c:pt idx="205">
                  <c:v>115.62</c:v>
                </c:pt>
                <c:pt idx="206">
                  <c:v>116.184</c:v>
                </c:pt>
                <c:pt idx="207">
                  <c:v>116.748</c:v>
                </c:pt>
                <c:pt idx="208">
                  <c:v>117.312</c:v>
                </c:pt>
                <c:pt idx="209">
                  <c:v>117.876</c:v>
                </c:pt>
                <c:pt idx="210">
                  <c:v>118.44</c:v>
                </c:pt>
                <c:pt idx="211">
                  <c:v>119.004</c:v>
                </c:pt>
                <c:pt idx="212">
                  <c:v>119.568</c:v>
                </c:pt>
                <c:pt idx="213">
                  <c:v>120.13200000000001</c:v>
                </c:pt>
                <c:pt idx="214">
                  <c:v>120.696</c:v>
                </c:pt>
                <c:pt idx="215">
                  <c:v>121.26</c:v>
                </c:pt>
                <c:pt idx="216">
                  <c:v>121.824</c:v>
                </c:pt>
                <c:pt idx="217">
                  <c:v>122.38800000000001</c:v>
                </c:pt>
                <c:pt idx="218">
                  <c:v>122.952</c:v>
                </c:pt>
                <c:pt idx="219">
                  <c:v>123.51600000000001</c:v>
                </c:pt>
                <c:pt idx="220">
                  <c:v>124.08</c:v>
                </c:pt>
                <c:pt idx="221">
                  <c:v>124.64400000000001</c:v>
                </c:pt>
                <c:pt idx="222">
                  <c:v>125.208</c:v>
                </c:pt>
                <c:pt idx="223">
                  <c:v>125.77200000000001</c:v>
                </c:pt>
                <c:pt idx="224">
                  <c:v>126.336</c:v>
                </c:pt>
                <c:pt idx="225">
                  <c:v>126.9</c:v>
                </c:pt>
                <c:pt idx="226">
                  <c:v>127.464</c:v>
                </c:pt>
                <c:pt idx="227">
                  <c:v>128.02799999999999</c:v>
                </c:pt>
                <c:pt idx="228">
                  <c:v>128.59200000000001</c:v>
                </c:pt>
                <c:pt idx="229">
                  <c:v>129.15600000000001</c:v>
                </c:pt>
                <c:pt idx="230">
                  <c:v>129.72</c:v>
                </c:pt>
                <c:pt idx="231">
                  <c:v>130.28399999999999</c:v>
                </c:pt>
                <c:pt idx="232">
                  <c:v>130.84800000000001</c:v>
                </c:pt>
                <c:pt idx="233">
                  <c:v>131.41200000000001</c:v>
                </c:pt>
                <c:pt idx="234">
                  <c:v>131.976</c:v>
                </c:pt>
                <c:pt idx="235">
                  <c:v>132.54</c:v>
                </c:pt>
                <c:pt idx="236">
                  <c:v>133.10400000000001</c:v>
                </c:pt>
                <c:pt idx="237">
                  <c:v>133.66800000000001</c:v>
                </c:pt>
                <c:pt idx="238">
                  <c:v>134.232</c:v>
                </c:pt>
                <c:pt idx="239">
                  <c:v>134.79599999999999</c:v>
                </c:pt>
                <c:pt idx="240">
                  <c:v>135.36000000000001</c:v>
                </c:pt>
                <c:pt idx="241">
                  <c:v>135.92400000000001</c:v>
                </c:pt>
                <c:pt idx="242">
                  <c:v>136.488</c:v>
                </c:pt>
                <c:pt idx="243">
                  <c:v>137.05199999999999</c:v>
                </c:pt>
                <c:pt idx="244">
                  <c:v>137.61600000000001</c:v>
                </c:pt>
                <c:pt idx="245">
                  <c:v>138.18</c:v>
                </c:pt>
                <c:pt idx="246">
                  <c:v>138.744</c:v>
                </c:pt>
                <c:pt idx="247">
                  <c:v>139.30799999999999</c:v>
                </c:pt>
                <c:pt idx="248">
                  <c:v>139.87200000000001</c:v>
                </c:pt>
                <c:pt idx="249">
                  <c:v>140.43600000000001</c:v>
                </c:pt>
                <c:pt idx="250">
                  <c:v>141</c:v>
                </c:pt>
                <c:pt idx="251">
                  <c:v>141.56399999999999</c:v>
                </c:pt>
                <c:pt idx="252">
                  <c:v>142.12799999999999</c:v>
                </c:pt>
                <c:pt idx="253">
                  <c:v>142.69200000000001</c:v>
                </c:pt>
                <c:pt idx="254">
                  <c:v>143.256</c:v>
                </c:pt>
                <c:pt idx="255">
                  <c:v>143.82</c:v>
                </c:pt>
                <c:pt idx="256">
                  <c:v>144.38399999999999</c:v>
                </c:pt>
                <c:pt idx="257">
                  <c:v>144.94800000000001</c:v>
                </c:pt>
                <c:pt idx="258">
                  <c:v>145.512</c:v>
                </c:pt>
                <c:pt idx="259">
                  <c:v>146.07599999999999</c:v>
                </c:pt>
                <c:pt idx="260">
                  <c:v>146.63999999999999</c:v>
                </c:pt>
                <c:pt idx="261">
                  <c:v>147.20400000000001</c:v>
                </c:pt>
                <c:pt idx="262">
                  <c:v>147.768</c:v>
                </c:pt>
                <c:pt idx="263">
                  <c:v>148.33199999999999</c:v>
                </c:pt>
                <c:pt idx="264">
                  <c:v>148.89599999999999</c:v>
                </c:pt>
                <c:pt idx="265">
                  <c:v>149.46</c:v>
                </c:pt>
                <c:pt idx="266">
                  <c:v>150.024</c:v>
                </c:pt>
                <c:pt idx="267">
                  <c:v>150.58799999999999</c:v>
                </c:pt>
                <c:pt idx="268">
                  <c:v>151.15199999999999</c:v>
                </c:pt>
                <c:pt idx="269">
                  <c:v>151.71600000000001</c:v>
                </c:pt>
                <c:pt idx="270">
                  <c:v>152.28</c:v>
                </c:pt>
                <c:pt idx="271">
                  <c:v>152.84399999999999</c:v>
                </c:pt>
                <c:pt idx="272">
                  <c:v>153.40799999999999</c:v>
                </c:pt>
                <c:pt idx="273">
                  <c:v>153.97200000000001</c:v>
                </c:pt>
                <c:pt idx="274">
                  <c:v>154.536</c:v>
                </c:pt>
                <c:pt idx="275">
                  <c:v>155.1</c:v>
                </c:pt>
                <c:pt idx="276">
                  <c:v>155.66399999999999</c:v>
                </c:pt>
                <c:pt idx="277">
                  <c:v>156.22800000000001</c:v>
                </c:pt>
                <c:pt idx="278">
                  <c:v>156.792</c:v>
                </c:pt>
                <c:pt idx="279">
                  <c:v>157.35599999999999</c:v>
                </c:pt>
                <c:pt idx="280">
                  <c:v>157.91999999999999</c:v>
                </c:pt>
                <c:pt idx="281">
                  <c:v>158.48400000000001</c:v>
                </c:pt>
                <c:pt idx="282">
                  <c:v>159.048</c:v>
                </c:pt>
                <c:pt idx="283">
                  <c:v>159.61199999999999</c:v>
                </c:pt>
                <c:pt idx="284">
                  <c:v>160.17599999999999</c:v>
                </c:pt>
                <c:pt idx="285">
                  <c:v>160.74</c:v>
                </c:pt>
                <c:pt idx="286">
                  <c:v>161.304</c:v>
                </c:pt>
                <c:pt idx="287">
                  <c:v>161.86799999999999</c:v>
                </c:pt>
                <c:pt idx="288">
                  <c:v>162.43199999999999</c:v>
                </c:pt>
                <c:pt idx="289">
                  <c:v>162.99600000000001</c:v>
                </c:pt>
                <c:pt idx="290">
                  <c:v>163.56</c:v>
                </c:pt>
                <c:pt idx="291">
                  <c:v>164.124</c:v>
                </c:pt>
                <c:pt idx="292">
                  <c:v>164.68799999999999</c:v>
                </c:pt>
                <c:pt idx="293">
                  <c:v>165.25200000000001</c:v>
                </c:pt>
                <c:pt idx="294">
                  <c:v>165.816</c:v>
                </c:pt>
                <c:pt idx="295">
                  <c:v>166.38</c:v>
                </c:pt>
                <c:pt idx="296">
                  <c:v>166.94399999999999</c:v>
                </c:pt>
                <c:pt idx="297">
                  <c:v>167.50800000000001</c:v>
                </c:pt>
                <c:pt idx="298">
                  <c:v>168.072</c:v>
                </c:pt>
                <c:pt idx="299">
                  <c:v>168.636</c:v>
                </c:pt>
                <c:pt idx="300">
                  <c:v>169.2</c:v>
                </c:pt>
                <c:pt idx="301">
                  <c:v>169.76400000000001</c:v>
                </c:pt>
                <c:pt idx="302">
                  <c:v>170.328</c:v>
                </c:pt>
                <c:pt idx="303">
                  <c:v>170.892</c:v>
                </c:pt>
                <c:pt idx="304">
                  <c:v>171.45599999999999</c:v>
                </c:pt>
                <c:pt idx="305">
                  <c:v>172.02</c:v>
                </c:pt>
                <c:pt idx="306">
                  <c:v>172.584</c:v>
                </c:pt>
                <c:pt idx="307">
                  <c:v>173.148</c:v>
                </c:pt>
                <c:pt idx="308">
                  <c:v>173.71199999999999</c:v>
                </c:pt>
                <c:pt idx="309">
                  <c:v>174.27600000000001</c:v>
                </c:pt>
                <c:pt idx="310">
                  <c:v>174.84</c:v>
                </c:pt>
                <c:pt idx="311">
                  <c:v>175.404</c:v>
                </c:pt>
                <c:pt idx="312">
                  <c:v>175.96799999999999</c:v>
                </c:pt>
                <c:pt idx="313">
                  <c:v>176.53200000000001</c:v>
                </c:pt>
                <c:pt idx="314">
                  <c:v>177.096</c:v>
                </c:pt>
                <c:pt idx="315">
                  <c:v>177.66</c:v>
                </c:pt>
                <c:pt idx="316">
                  <c:v>178.22399999999999</c:v>
                </c:pt>
                <c:pt idx="317">
                  <c:v>178.78800000000001</c:v>
                </c:pt>
                <c:pt idx="318">
                  <c:v>179.352</c:v>
                </c:pt>
                <c:pt idx="319">
                  <c:v>179.916</c:v>
                </c:pt>
                <c:pt idx="320">
                  <c:v>180.48</c:v>
                </c:pt>
                <c:pt idx="321">
                  <c:v>181.04400000000001</c:v>
                </c:pt>
                <c:pt idx="322">
                  <c:v>181.608</c:v>
                </c:pt>
                <c:pt idx="323">
                  <c:v>182.172</c:v>
                </c:pt>
                <c:pt idx="324">
                  <c:v>182.73599999999999</c:v>
                </c:pt>
                <c:pt idx="325">
                  <c:v>183.3</c:v>
                </c:pt>
                <c:pt idx="326">
                  <c:v>183.864</c:v>
                </c:pt>
                <c:pt idx="327">
                  <c:v>184.428</c:v>
                </c:pt>
                <c:pt idx="328">
                  <c:v>184.99199999999999</c:v>
                </c:pt>
                <c:pt idx="329">
                  <c:v>185.55600000000001</c:v>
                </c:pt>
                <c:pt idx="330">
                  <c:v>186.12</c:v>
                </c:pt>
                <c:pt idx="331">
                  <c:v>186.684</c:v>
                </c:pt>
                <c:pt idx="332">
                  <c:v>187.24799999999999</c:v>
                </c:pt>
                <c:pt idx="333">
                  <c:v>187.81200000000001</c:v>
                </c:pt>
                <c:pt idx="334">
                  <c:v>188.376</c:v>
                </c:pt>
                <c:pt idx="335">
                  <c:v>188.94</c:v>
                </c:pt>
                <c:pt idx="336">
                  <c:v>189.50399999999999</c:v>
                </c:pt>
                <c:pt idx="337">
                  <c:v>190.06800000000001</c:v>
                </c:pt>
                <c:pt idx="338">
                  <c:v>190.63200000000001</c:v>
                </c:pt>
                <c:pt idx="339">
                  <c:v>191.196</c:v>
                </c:pt>
                <c:pt idx="340">
                  <c:v>191.76</c:v>
                </c:pt>
                <c:pt idx="341">
                  <c:v>192.32400000000001</c:v>
                </c:pt>
                <c:pt idx="342">
                  <c:v>192.88800000000001</c:v>
                </c:pt>
                <c:pt idx="343">
                  <c:v>193.452</c:v>
                </c:pt>
                <c:pt idx="344">
                  <c:v>194.01599999999999</c:v>
                </c:pt>
                <c:pt idx="345">
                  <c:v>194.58</c:v>
                </c:pt>
                <c:pt idx="346">
                  <c:v>195.14400000000001</c:v>
                </c:pt>
                <c:pt idx="347">
                  <c:v>195.708</c:v>
                </c:pt>
                <c:pt idx="348">
                  <c:v>196.27199999999999</c:v>
                </c:pt>
                <c:pt idx="349">
                  <c:v>196.83600000000001</c:v>
                </c:pt>
                <c:pt idx="350">
                  <c:v>197.4</c:v>
                </c:pt>
                <c:pt idx="351">
                  <c:v>197.964</c:v>
                </c:pt>
                <c:pt idx="352">
                  <c:v>198.52799999999999</c:v>
                </c:pt>
                <c:pt idx="353">
                  <c:v>199.09200000000001</c:v>
                </c:pt>
                <c:pt idx="354">
                  <c:v>199.65600000000001</c:v>
                </c:pt>
                <c:pt idx="355">
                  <c:v>200.22</c:v>
                </c:pt>
                <c:pt idx="356">
                  <c:v>200.78399999999999</c:v>
                </c:pt>
                <c:pt idx="357">
                  <c:v>201.34800000000001</c:v>
                </c:pt>
                <c:pt idx="358">
                  <c:v>201.91200000000001</c:v>
                </c:pt>
                <c:pt idx="359">
                  <c:v>202.476</c:v>
                </c:pt>
                <c:pt idx="360">
                  <c:v>203.04</c:v>
                </c:pt>
                <c:pt idx="361">
                  <c:v>203.60400000000001</c:v>
                </c:pt>
                <c:pt idx="362">
                  <c:v>204.16800000000001</c:v>
                </c:pt>
                <c:pt idx="363">
                  <c:v>204.732</c:v>
                </c:pt>
                <c:pt idx="364">
                  <c:v>205.29599999999999</c:v>
                </c:pt>
                <c:pt idx="365">
                  <c:v>205.86</c:v>
                </c:pt>
                <c:pt idx="366">
                  <c:v>206.42400000000001</c:v>
                </c:pt>
                <c:pt idx="367">
                  <c:v>206.988</c:v>
                </c:pt>
                <c:pt idx="368">
                  <c:v>207.55199999999999</c:v>
                </c:pt>
                <c:pt idx="369">
                  <c:v>208.11600000000001</c:v>
                </c:pt>
                <c:pt idx="370">
                  <c:v>208.68</c:v>
                </c:pt>
                <c:pt idx="371">
                  <c:v>209.244</c:v>
                </c:pt>
                <c:pt idx="372">
                  <c:v>209.80799999999999</c:v>
                </c:pt>
                <c:pt idx="373">
                  <c:v>210.37200000000001</c:v>
                </c:pt>
                <c:pt idx="374">
                  <c:v>210.93600000000001</c:v>
                </c:pt>
                <c:pt idx="375">
                  <c:v>211.5</c:v>
                </c:pt>
                <c:pt idx="376">
                  <c:v>212.06399999999999</c:v>
                </c:pt>
                <c:pt idx="377">
                  <c:v>212.62799999999999</c:v>
                </c:pt>
                <c:pt idx="378">
                  <c:v>213.19200000000001</c:v>
                </c:pt>
                <c:pt idx="379">
                  <c:v>213.756</c:v>
                </c:pt>
                <c:pt idx="380">
                  <c:v>214.32</c:v>
                </c:pt>
                <c:pt idx="381">
                  <c:v>214.88399999999999</c:v>
                </c:pt>
                <c:pt idx="382">
                  <c:v>215.44800000000001</c:v>
                </c:pt>
                <c:pt idx="383">
                  <c:v>216.012</c:v>
                </c:pt>
                <c:pt idx="384">
                  <c:v>216.57599999999999</c:v>
                </c:pt>
                <c:pt idx="385">
                  <c:v>217.14</c:v>
                </c:pt>
                <c:pt idx="386">
                  <c:v>217.70400000000001</c:v>
                </c:pt>
                <c:pt idx="387">
                  <c:v>218.268</c:v>
                </c:pt>
                <c:pt idx="388">
                  <c:v>218.83199999999999</c:v>
                </c:pt>
                <c:pt idx="389">
                  <c:v>219.39599999999999</c:v>
                </c:pt>
                <c:pt idx="390">
                  <c:v>219.96</c:v>
                </c:pt>
                <c:pt idx="391">
                  <c:v>220.524</c:v>
                </c:pt>
                <c:pt idx="392">
                  <c:v>221.08799999999999</c:v>
                </c:pt>
                <c:pt idx="393">
                  <c:v>221.65199999999999</c:v>
                </c:pt>
                <c:pt idx="394">
                  <c:v>222.21600000000001</c:v>
                </c:pt>
                <c:pt idx="395">
                  <c:v>222.78</c:v>
                </c:pt>
                <c:pt idx="396">
                  <c:v>223.34399999999999</c:v>
                </c:pt>
                <c:pt idx="397">
                  <c:v>223.90799999999999</c:v>
                </c:pt>
                <c:pt idx="398">
                  <c:v>224.47200000000001</c:v>
                </c:pt>
                <c:pt idx="399">
                  <c:v>225.036</c:v>
                </c:pt>
                <c:pt idx="400">
                  <c:v>225.6</c:v>
                </c:pt>
                <c:pt idx="401">
                  <c:v>226.16399999999999</c:v>
                </c:pt>
                <c:pt idx="402">
                  <c:v>226.72800000000001</c:v>
                </c:pt>
                <c:pt idx="403">
                  <c:v>227.292</c:v>
                </c:pt>
                <c:pt idx="404">
                  <c:v>227.85599999999999</c:v>
                </c:pt>
                <c:pt idx="405">
                  <c:v>228.42</c:v>
                </c:pt>
                <c:pt idx="406">
                  <c:v>228.98400000000001</c:v>
                </c:pt>
                <c:pt idx="407">
                  <c:v>229.548</c:v>
                </c:pt>
                <c:pt idx="408">
                  <c:v>230.11199999999999</c:v>
                </c:pt>
                <c:pt idx="409">
                  <c:v>230.67599999999999</c:v>
                </c:pt>
                <c:pt idx="410">
                  <c:v>231.24</c:v>
                </c:pt>
                <c:pt idx="411">
                  <c:v>231.804</c:v>
                </c:pt>
                <c:pt idx="412">
                  <c:v>232.36799999999999</c:v>
                </c:pt>
                <c:pt idx="413">
                  <c:v>232.93199999999999</c:v>
                </c:pt>
                <c:pt idx="414">
                  <c:v>233.49600000000001</c:v>
                </c:pt>
                <c:pt idx="415">
                  <c:v>234.06</c:v>
                </c:pt>
                <c:pt idx="416">
                  <c:v>234.624</c:v>
                </c:pt>
                <c:pt idx="417">
                  <c:v>235.18799999999999</c:v>
                </c:pt>
                <c:pt idx="418">
                  <c:v>235.75200000000001</c:v>
                </c:pt>
                <c:pt idx="419">
                  <c:v>236.316</c:v>
                </c:pt>
                <c:pt idx="420">
                  <c:v>236.88</c:v>
                </c:pt>
                <c:pt idx="421">
                  <c:v>237.44399999999999</c:v>
                </c:pt>
                <c:pt idx="422">
                  <c:v>238.00800000000001</c:v>
                </c:pt>
                <c:pt idx="423">
                  <c:v>238.572</c:v>
                </c:pt>
                <c:pt idx="424">
                  <c:v>239.136</c:v>
                </c:pt>
                <c:pt idx="425">
                  <c:v>239.7</c:v>
                </c:pt>
                <c:pt idx="426">
                  <c:v>240.26400000000001</c:v>
                </c:pt>
                <c:pt idx="427">
                  <c:v>240.828</c:v>
                </c:pt>
                <c:pt idx="428">
                  <c:v>241.392</c:v>
                </c:pt>
                <c:pt idx="429">
                  <c:v>241.95599999999999</c:v>
                </c:pt>
                <c:pt idx="430">
                  <c:v>242.52</c:v>
                </c:pt>
                <c:pt idx="431">
                  <c:v>243.084</c:v>
                </c:pt>
                <c:pt idx="432">
                  <c:v>243.648</c:v>
                </c:pt>
                <c:pt idx="433">
                  <c:v>244.21199999999999</c:v>
                </c:pt>
                <c:pt idx="434">
                  <c:v>244.77600000000001</c:v>
                </c:pt>
                <c:pt idx="435">
                  <c:v>245.34</c:v>
                </c:pt>
                <c:pt idx="436">
                  <c:v>245.904</c:v>
                </c:pt>
                <c:pt idx="437">
                  <c:v>246.46799999999999</c:v>
                </c:pt>
                <c:pt idx="438">
                  <c:v>247.03200000000001</c:v>
                </c:pt>
                <c:pt idx="439">
                  <c:v>247.596</c:v>
                </c:pt>
                <c:pt idx="440">
                  <c:v>248.16</c:v>
                </c:pt>
                <c:pt idx="441">
                  <c:v>248.72399999999999</c:v>
                </c:pt>
                <c:pt idx="442">
                  <c:v>249.28800000000001</c:v>
                </c:pt>
                <c:pt idx="443">
                  <c:v>249.852</c:v>
                </c:pt>
                <c:pt idx="444">
                  <c:v>250.416</c:v>
                </c:pt>
                <c:pt idx="445">
                  <c:v>250.98</c:v>
                </c:pt>
                <c:pt idx="446">
                  <c:v>251.54400000000001</c:v>
                </c:pt>
                <c:pt idx="447">
                  <c:v>252.108</c:v>
                </c:pt>
                <c:pt idx="448">
                  <c:v>252.672</c:v>
                </c:pt>
                <c:pt idx="449">
                  <c:v>253.23599999999999</c:v>
                </c:pt>
                <c:pt idx="450">
                  <c:v>253.8</c:v>
                </c:pt>
                <c:pt idx="451">
                  <c:v>254.364</c:v>
                </c:pt>
                <c:pt idx="452">
                  <c:v>254.928</c:v>
                </c:pt>
                <c:pt idx="453">
                  <c:v>255.49199999999999</c:v>
                </c:pt>
                <c:pt idx="454">
                  <c:v>256.05599999999998</c:v>
                </c:pt>
                <c:pt idx="455">
                  <c:v>256.62</c:v>
                </c:pt>
                <c:pt idx="456">
                  <c:v>257.18400000000003</c:v>
                </c:pt>
                <c:pt idx="457">
                  <c:v>257.74799999999999</c:v>
                </c:pt>
                <c:pt idx="458">
                  <c:v>258.31200000000001</c:v>
                </c:pt>
                <c:pt idx="459">
                  <c:v>258.87599999999998</c:v>
                </c:pt>
                <c:pt idx="460">
                  <c:v>259.44</c:v>
                </c:pt>
                <c:pt idx="461">
                  <c:v>260.00400000000002</c:v>
                </c:pt>
                <c:pt idx="462">
                  <c:v>260.56799999999998</c:v>
                </c:pt>
                <c:pt idx="463">
                  <c:v>261.13200000000001</c:v>
                </c:pt>
                <c:pt idx="464">
                  <c:v>261.69600000000003</c:v>
                </c:pt>
                <c:pt idx="465">
                  <c:v>262.26</c:v>
                </c:pt>
                <c:pt idx="466">
                  <c:v>262.82400000000001</c:v>
                </c:pt>
                <c:pt idx="467">
                  <c:v>263.38799999999998</c:v>
                </c:pt>
                <c:pt idx="468">
                  <c:v>263.952</c:v>
                </c:pt>
                <c:pt idx="469">
                  <c:v>264.51600000000002</c:v>
                </c:pt>
                <c:pt idx="470">
                  <c:v>265.08</c:v>
                </c:pt>
                <c:pt idx="471">
                  <c:v>265.64400000000001</c:v>
                </c:pt>
                <c:pt idx="472">
                  <c:v>266.20800000000003</c:v>
                </c:pt>
                <c:pt idx="473">
                  <c:v>266.77199999999999</c:v>
                </c:pt>
                <c:pt idx="474">
                  <c:v>267.33600000000001</c:v>
                </c:pt>
                <c:pt idx="475">
                  <c:v>267.89999999999998</c:v>
                </c:pt>
                <c:pt idx="476">
                  <c:v>268.464</c:v>
                </c:pt>
                <c:pt idx="477">
                  <c:v>269.02800000000002</c:v>
                </c:pt>
                <c:pt idx="478">
                  <c:v>269.59199999999998</c:v>
                </c:pt>
                <c:pt idx="479">
                  <c:v>270.15600000000001</c:v>
                </c:pt>
                <c:pt idx="480">
                  <c:v>270.72000000000003</c:v>
                </c:pt>
                <c:pt idx="481">
                  <c:v>271.28399999999999</c:v>
                </c:pt>
                <c:pt idx="482">
                  <c:v>271.84800000000001</c:v>
                </c:pt>
                <c:pt idx="483">
                  <c:v>272.41199999999998</c:v>
                </c:pt>
                <c:pt idx="484">
                  <c:v>272.976</c:v>
                </c:pt>
                <c:pt idx="485">
                  <c:v>273.54000000000002</c:v>
                </c:pt>
                <c:pt idx="486">
                  <c:v>274.10399999999998</c:v>
                </c:pt>
                <c:pt idx="487">
                  <c:v>274.66800000000001</c:v>
                </c:pt>
                <c:pt idx="488">
                  <c:v>275.23200000000003</c:v>
                </c:pt>
                <c:pt idx="489">
                  <c:v>275.79599999999999</c:v>
                </c:pt>
                <c:pt idx="490">
                  <c:v>276.36</c:v>
                </c:pt>
                <c:pt idx="491">
                  <c:v>276.92399999999998</c:v>
                </c:pt>
                <c:pt idx="492">
                  <c:v>277.488</c:v>
                </c:pt>
                <c:pt idx="493">
                  <c:v>278.05200000000002</c:v>
                </c:pt>
                <c:pt idx="494">
                  <c:v>278.61599999999999</c:v>
                </c:pt>
                <c:pt idx="495">
                  <c:v>279.18</c:v>
                </c:pt>
                <c:pt idx="496">
                  <c:v>279.74400000000003</c:v>
                </c:pt>
                <c:pt idx="497">
                  <c:v>280.30799999999999</c:v>
                </c:pt>
                <c:pt idx="498">
                  <c:v>280.87200000000001</c:v>
                </c:pt>
                <c:pt idx="499">
                  <c:v>281.43599999999998</c:v>
                </c:pt>
                <c:pt idx="500">
                  <c:v>282</c:v>
                </c:pt>
                <c:pt idx="501">
                  <c:v>282.56400000000002</c:v>
                </c:pt>
                <c:pt idx="502">
                  <c:v>283.12799999999999</c:v>
                </c:pt>
                <c:pt idx="503">
                  <c:v>283.69200000000001</c:v>
                </c:pt>
                <c:pt idx="504">
                  <c:v>284.25599999999997</c:v>
                </c:pt>
                <c:pt idx="505">
                  <c:v>284.82</c:v>
                </c:pt>
                <c:pt idx="506">
                  <c:v>285.38400000000001</c:v>
                </c:pt>
                <c:pt idx="507">
                  <c:v>285.94799999999998</c:v>
                </c:pt>
                <c:pt idx="508">
                  <c:v>286.512</c:v>
                </c:pt>
                <c:pt idx="509">
                  <c:v>287.07600000000002</c:v>
                </c:pt>
                <c:pt idx="510">
                  <c:v>287.64</c:v>
                </c:pt>
                <c:pt idx="511">
                  <c:v>288.20400000000001</c:v>
                </c:pt>
                <c:pt idx="512">
                  <c:v>288.76799999999997</c:v>
                </c:pt>
                <c:pt idx="513">
                  <c:v>289.33199999999999</c:v>
                </c:pt>
                <c:pt idx="514">
                  <c:v>289.89600000000002</c:v>
                </c:pt>
                <c:pt idx="515">
                  <c:v>290.45999999999998</c:v>
                </c:pt>
                <c:pt idx="516">
                  <c:v>291.024</c:v>
                </c:pt>
                <c:pt idx="517">
                  <c:v>291.58800000000002</c:v>
                </c:pt>
                <c:pt idx="518">
                  <c:v>292.15199999999999</c:v>
                </c:pt>
                <c:pt idx="519">
                  <c:v>292.71600000000001</c:v>
                </c:pt>
                <c:pt idx="520">
                  <c:v>293.27999999999997</c:v>
                </c:pt>
                <c:pt idx="521">
                  <c:v>293.84399999999999</c:v>
                </c:pt>
                <c:pt idx="522">
                  <c:v>294.40800000000002</c:v>
                </c:pt>
                <c:pt idx="523">
                  <c:v>294.97199999999998</c:v>
                </c:pt>
                <c:pt idx="524">
                  <c:v>295.536</c:v>
                </c:pt>
                <c:pt idx="525">
                  <c:v>296.10000000000002</c:v>
                </c:pt>
                <c:pt idx="526">
                  <c:v>296.66399999999999</c:v>
                </c:pt>
                <c:pt idx="527">
                  <c:v>297.22800000000001</c:v>
                </c:pt>
                <c:pt idx="528">
                  <c:v>297.79199999999997</c:v>
                </c:pt>
                <c:pt idx="529">
                  <c:v>298.35599999999999</c:v>
                </c:pt>
                <c:pt idx="530">
                  <c:v>298.92</c:v>
                </c:pt>
                <c:pt idx="531">
                  <c:v>299.48399999999998</c:v>
                </c:pt>
                <c:pt idx="532">
                  <c:v>300.048</c:v>
                </c:pt>
                <c:pt idx="533">
                  <c:v>300.61200000000002</c:v>
                </c:pt>
                <c:pt idx="534">
                  <c:v>301.17599999999999</c:v>
                </c:pt>
                <c:pt idx="535">
                  <c:v>301.74</c:v>
                </c:pt>
                <c:pt idx="536">
                  <c:v>302.30399999999997</c:v>
                </c:pt>
                <c:pt idx="537">
                  <c:v>302.86799999999999</c:v>
                </c:pt>
                <c:pt idx="538">
                  <c:v>303.43200000000002</c:v>
                </c:pt>
                <c:pt idx="539">
                  <c:v>303.99599999999998</c:v>
                </c:pt>
                <c:pt idx="540">
                  <c:v>304.56</c:v>
                </c:pt>
                <c:pt idx="541">
                  <c:v>305.12400000000002</c:v>
                </c:pt>
                <c:pt idx="542">
                  <c:v>305.68799999999999</c:v>
                </c:pt>
                <c:pt idx="543">
                  <c:v>306.25200000000001</c:v>
                </c:pt>
                <c:pt idx="544">
                  <c:v>306.81599999999997</c:v>
                </c:pt>
                <c:pt idx="545">
                  <c:v>307.38</c:v>
                </c:pt>
                <c:pt idx="546">
                  <c:v>307.94400000000002</c:v>
                </c:pt>
                <c:pt idx="547">
                  <c:v>308.50799999999998</c:v>
                </c:pt>
                <c:pt idx="548">
                  <c:v>309.072</c:v>
                </c:pt>
                <c:pt idx="549">
                  <c:v>309.63600000000002</c:v>
                </c:pt>
                <c:pt idx="550">
                  <c:v>310.2</c:v>
                </c:pt>
                <c:pt idx="551">
                  <c:v>310.76400000000001</c:v>
                </c:pt>
                <c:pt idx="552">
                  <c:v>311.32799999999997</c:v>
                </c:pt>
                <c:pt idx="553">
                  <c:v>311.892</c:v>
                </c:pt>
                <c:pt idx="554">
                  <c:v>312.45600000000002</c:v>
                </c:pt>
                <c:pt idx="555">
                  <c:v>313.02</c:v>
                </c:pt>
                <c:pt idx="556">
                  <c:v>313.584</c:v>
                </c:pt>
                <c:pt idx="557">
                  <c:v>314.14800000000002</c:v>
                </c:pt>
                <c:pt idx="558">
                  <c:v>314.71199999999999</c:v>
                </c:pt>
                <c:pt idx="559">
                  <c:v>315.27600000000001</c:v>
                </c:pt>
                <c:pt idx="560">
                  <c:v>315.83999999999997</c:v>
                </c:pt>
                <c:pt idx="561">
                  <c:v>316.404</c:v>
                </c:pt>
                <c:pt idx="562">
                  <c:v>316.96800000000002</c:v>
                </c:pt>
                <c:pt idx="563">
                  <c:v>317.53199999999998</c:v>
                </c:pt>
                <c:pt idx="564">
                  <c:v>318.096</c:v>
                </c:pt>
                <c:pt idx="565">
                  <c:v>318.66000000000003</c:v>
                </c:pt>
                <c:pt idx="566">
                  <c:v>319.22399999999999</c:v>
                </c:pt>
                <c:pt idx="567">
                  <c:v>319.78800000000001</c:v>
                </c:pt>
                <c:pt idx="568">
                  <c:v>320.35199999999998</c:v>
                </c:pt>
                <c:pt idx="569">
                  <c:v>320.916</c:v>
                </c:pt>
                <c:pt idx="570">
                  <c:v>321.48</c:v>
                </c:pt>
                <c:pt idx="571">
                  <c:v>322.04399999999998</c:v>
                </c:pt>
                <c:pt idx="572">
                  <c:v>322.608</c:v>
                </c:pt>
                <c:pt idx="573">
                  <c:v>323.17200000000003</c:v>
                </c:pt>
                <c:pt idx="574">
                  <c:v>323.73599999999999</c:v>
                </c:pt>
                <c:pt idx="575">
                  <c:v>324.3</c:v>
                </c:pt>
                <c:pt idx="576">
                  <c:v>324.86399999999998</c:v>
                </c:pt>
                <c:pt idx="577">
                  <c:v>325.428</c:v>
                </c:pt>
                <c:pt idx="578">
                  <c:v>325.99200000000002</c:v>
                </c:pt>
                <c:pt idx="579">
                  <c:v>326.55599999999998</c:v>
                </c:pt>
                <c:pt idx="580">
                  <c:v>327.12</c:v>
                </c:pt>
                <c:pt idx="581">
                  <c:v>327.68400000000003</c:v>
                </c:pt>
                <c:pt idx="582">
                  <c:v>328.24799999999999</c:v>
                </c:pt>
                <c:pt idx="583">
                  <c:v>328.81200000000001</c:v>
                </c:pt>
                <c:pt idx="584">
                  <c:v>329.37599999999998</c:v>
                </c:pt>
                <c:pt idx="585">
                  <c:v>329.94</c:v>
                </c:pt>
                <c:pt idx="586">
                  <c:v>330.50400000000002</c:v>
                </c:pt>
                <c:pt idx="587">
                  <c:v>331.06799999999998</c:v>
                </c:pt>
                <c:pt idx="588">
                  <c:v>331.63200000000001</c:v>
                </c:pt>
                <c:pt idx="589">
                  <c:v>332.19600000000003</c:v>
                </c:pt>
                <c:pt idx="590">
                  <c:v>332.76</c:v>
                </c:pt>
                <c:pt idx="591">
                  <c:v>333.32400000000001</c:v>
                </c:pt>
                <c:pt idx="592">
                  <c:v>333.88799999999998</c:v>
                </c:pt>
                <c:pt idx="593">
                  <c:v>334.452</c:v>
                </c:pt>
                <c:pt idx="594">
                  <c:v>335.01600000000002</c:v>
                </c:pt>
                <c:pt idx="595">
                  <c:v>335.58</c:v>
                </c:pt>
                <c:pt idx="596">
                  <c:v>336.14400000000001</c:v>
                </c:pt>
                <c:pt idx="597">
                  <c:v>336.70800000000003</c:v>
                </c:pt>
                <c:pt idx="598">
                  <c:v>337.27199999999999</c:v>
                </c:pt>
                <c:pt idx="599">
                  <c:v>337.83600000000001</c:v>
                </c:pt>
                <c:pt idx="600">
                  <c:v>338.4</c:v>
                </c:pt>
                <c:pt idx="601">
                  <c:v>338.964</c:v>
                </c:pt>
                <c:pt idx="602">
                  <c:v>339.52800000000002</c:v>
                </c:pt>
                <c:pt idx="603">
                  <c:v>340.09199999999998</c:v>
                </c:pt>
                <c:pt idx="604">
                  <c:v>340.65600000000001</c:v>
                </c:pt>
                <c:pt idx="605">
                  <c:v>341.22</c:v>
                </c:pt>
                <c:pt idx="606">
                  <c:v>341.78399999999999</c:v>
                </c:pt>
                <c:pt idx="607">
                  <c:v>342.34800000000001</c:v>
                </c:pt>
                <c:pt idx="608">
                  <c:v>342.91199999999998</c:v>
                </c:pt>
                <c:pt idx="609">
                  <c:v>343.476</c:v>
                </c:pt>
                <c:pt idx="610">
                  <c:v>344.04</c:v>
                </c:pt>
                <c:pt idx="611">
                  <c:v>344.60399999999998</c:v>
                </c:pt>
                <c:pt idx="612">
                  <c:v>345.16800000000001</c:v>
                </c:pt>
                <c:pt idx="613">
                  <c:v>345.73200000000003</c:v>
                </c:pt>
                <c:pt idx="614">
                  <c:v>346.29599999999999</c:v>
                </c:pt>
                <c:pt idx="615">
                  <c:v>346.86</c:v>
                </c:pt>
                <c:pt idx="616">
                  <c:v>347.42399999999998</c:v>
                </c:pt>
                <c:pt idx="617">
                  <c:v>347.988</c:v>
                </c:pt>
                <c:pt idx="618">
                  <c:v>348.55200000000002</c:v>
                </c:pt>
                <c:pt idx="619">
                  <c:v>349.11599999999999</c:v>
                </c:pt>
                <c:pt idx="620">
                  <c:v>349.68</c:v>
                </c:pt>
                <c:pt idx="621">
                  <c:v>350.24400000000003</c:v>
                </c:pt>
                <c:pt idx="622">
                  <c:v>350.80799999999999</c:v>
                </c:pt>
                <c:pt idx="623">
                  <c:v>351.37200000000001</c:v>
                </c:pt>
                <c:pt idx="624">
                  <c:v>351.93599999999998</c:v>
                </c:pt>
                <c:pt idx="625">
                  <c:v>352.5</c:v>
                </c:pt>
                <c:pt idx="626">
                  <c:v>353.06400000000002</c:v>
                </c:pt>
                <c:pt idx="627">
                  <c:v>353.62799999999999</c:v>
                </c:pt>
                <c:pt idx="628">
                  <c:v>354.19200000000001</c:v>
                </c:pt>
                <c:pt idx="629">
                  <c:v>354.75599999999997</c:v>
                </c:pt>
                <c:pt idx="630">
                  <c:v>355.32</c:v>
                </c:pt>
                <c:pt idx="631">
                  <c:v>355.88400000000001</c:v>
                </c:pt>
                <c:pt idx="632">
                  <c:v>356.44799999999998</c:v>
                </c:pt>
                <c:pt idx="633">
                  <c:v>357.012</c:v>
                </c:pt>
                <c:pt idx="634">
                  <c:v>357.57600000000002</c:v>
                </c:pt>
                <c:pt idx="635">
                  <c:v>358.14</c:v>
                </c:pt>
                <c:pt idx="636">
                  <c:v>358.70400000000001</c:v>
                </c:pt>
                <c:pt idx="637">
                  <c:v>359.26799999999997</c:v>
                </c:pt>
                <c:pt idx="638">
                  <c:v>359.83199999999999</c:v>
                </c:pt>
                <c:pt idx="639">
                  <c:v>360.39600000000002</c:v>
                </c:pt>
                <c:pt idx="640">
                  <c:v>360.96</c:v>
                </c:pt>
                <c:pt idx="641">
                  <c:v>361.524</c:v>
                </c:pt>
                <c:pt idx="642">
                  <c:v>362.08800000000002</c:v>
                </c:pt>
                <c:pt idx="643">
                  <c:v>362.65199999999999</c:v>
                </c:pt>
                <c:pt idx="644">
                  <c:v>363.21600000000001</c:v>
                </c:pt>
                <c:pt idx="645">
                  <c:v>363.78</c:v>
                </c:pt>
                <c:pt idx="646">
                  <c:v>364.34399999999999</c:v>
                </c:pt>
                <c:pt idx="647">
                  <c:v>364.90800000000002</c:v>
                </c:pt>
                <c:pt idx="648">
                  <c:v>365.47199999999998</c:v>
                </c:pt>
                <c:pt idx="649">
                  <c:v>366.036</c:v>
                </c:pt>
                <c:pt idx="650">
                  <c:v>366.6</c:v>
                </c:pt>
                <c:pt idx="651">
                  <c:v>367.16399999999999</c:v>
                </c:pt>
                <c:pt idx="652">
                  <c:v>367.72800000000001</c:v>
                </c:pt>
                <c:pt idx="653">
                  <c:v>368.29199999999997</c:v>
                </c:pt>
                <c:pt idx="654">
                  <c:v>368.85599999999999</c:v>
                </c:pt>
                <c:pt idx="655">
                  <c:v>369.42</c:v>
                </c:pt>
                <c:pt idx="656">
                  <c:v>369.98399999999998</c:v>
                </c:pt>
                <c:pt idx="657">
                  <c:v>370.548</c:v>
                </c:pt>
                <c:pt idx="658">
                  <c:v>371.11200000000002</c:v>
                </c:pt>
                <c:pt idx="659">
                  <c:v>371.67599999999999</c:v>
                </c:pt>
                <c:pt idx="660">
                  <c:v>372.24</c:v>
                </c:pt>
                <c:pt idx="661">
                  <c:v>372.80399999999997</c:v>
                </c:pt>
                <c:pt idx="662">
                  <c:v>373.36799999999999</c:v>
                </c:pt>
                <c:pt idx="663">
                  <c:v>373.93200000000002</c:v>
                </c:pt>
                <c:pt idx="664">
                  <c:v>374.49599999999998</c:v>
                </c:pt>
                <c:pt idx="665">
                  <c:v>375.06</c:v>
                </c:pt>
                <c:pt idx="666">
                  <c:v>375.62400000000002</c:v>
                </c:pt>
                <c:pt idx="667">
                  <c:v>376.18799999999999</c:v>
                </c:pt>
                <c:pt idx="668">
                  <c:v>376.75200000000001</c:v>
                </c:pt>
                <c:pt idx="669">
                  <c:v>377.31599999999997</c:v>
                </c:pt>
                <c:pt idx="670">
                  <c:v>377.88</c:v>
                </c:pt>
                <c:pt idx="671">
                  <c:v>378.44400000000002</c:v>
                </c:pt>
                <c:pt idx="672">
                  <c:v>379.00799999999998</c:v>
                </c:pt>
                <c:pt idx="673">
                  <c:v>379.572</c:v>
                </c:pt>
                <c:pt idx="674">
                  <c:v>380.13600000000002</c:v>
                </c:pt>
                <c:pt idx="675">
                  <c:v>380.7</c:v>
                </c:pt>
                <c:pt idx="676">
                  <c:v>381.26400000000001</c:v>
                </c:pt>
                <c:pt idx="677">
                  <c:v>381.82799999999997</c:v>
                </c:pt>
                <c:pt idx="678">
                  <c:v>382.392</c:v>
                </c:pt>
                <c:pt idx="679">
                  <c:v>382.95600000000002</c:v>
                </c:pt>
                <c:pt idx="680">
                  <c:v>383.52</c:v>
                </c:pt>
                <c:pt idx="681">
                  <c:v>384.084</c:v>
                </c:pt>
                <c:pt idx="682">
                  <c:v>384.64800000000002</c:v>
                </c:pt>
                <c:pt idx="683">
                  <c:v>385.21199999999999</c:v>
                </c:pt>
                <c:pt idx="684">
                  <c:v>385.77600000000001</c:v>
                </c:pt>
                <c:pt idx="685">
                  <c:v>386.34</c:v>
                </c:pt>
                <c:pt idx="686">
                  <c:v>386.904</c:v>
                </c:pt>
                <c:pt idx="687">
                  <c:v>387.46800000000002</c:v>
                </c:pt>
                <c:pt idx="688">
                  <c:v>388.03199999999998</c:v>
                </c:pt>
                <c:pt idx="689">
                  <c:v>388.596</c:v>
                </c:pt>
                <c:pt idx="690">
                  <c:v>389.16</c:v>
                </c:pt>
                <c:pt idx="691">
                  <c:v>389.72399999999999</c:v>
                </c:pt>
                <c:pt idx="692">
                  <c:v>390.28800000000001</c:v>
                </c:pt>
                <c:pt idx="693">
                  <c:v>390.85199999999998</c:v>
                </c:pt>
                <c:pt idx="694">
                  <c:v>391.416</c:v>
                </c:pt>
                <c:pt idx="695">
                  <c:v>391.98</c:v>
                </c:pt>
                <c:pt idx="696">
                  <c:v>392.54399999999998</c:v>
                </c:pt>
                <c:pt idx="697">
                  <c:v>393.108</c:v>
                </c:pt>
                <c:pt idx="698">
                  <c:v>393.67200000000003</c:v>
                </c:pt>
                <c:pt idx="699">
                  <c:v>394.23599999999999</c:v>
                </c:pt>
                <c:pt idx="700">
                  <c:v>394.8</c:v>
                </c:pt>
                <c:pt idx="701">
                  <c:v>395.36399999999998</c:v>
                </c:pt>
                <c:pt idx="702">
                  <c:v>395.928</c:v>
                </c:pt>
                <c:pt idx="703">
                  <c:v>396.49200000000002</c:v>
                </c:pt>
                <c:pt idx="704">
                  <c:v>397.05599999999998</c:v>
                </c:pt>
                <c:pt idx="705">
                  <c:v>397.62</c:v>
                </c:pt>
                <c:pt idx="706">
                  <c:v>398.18400000000003</c:v>
                </c:pt>
                <c:pt idx="707">
                  <c:v>398.74799999999999</c:v>
                </c:pt>
                <c:pt idx="708">
                  <c:v>399.31200000000001</c:v>
                </c:pt>
                <c:pt idx="709">
                  <c:v>399.87599999999998</c:v>
                </c:pt>
                <c:pt idx="710">
                  <c:v>400.44</c:v>
                </c:pt>
                <c:pt idx="711">
                  <c:v>401.00400000000002</c:v>
                </c:pt>
                <c:pt idx="712">
                  <c:v>401.56799999999998</c:v>
                </c:pt>
                <c:pt idx="713">
                  <c:v>402.13200000000001</c:v>
                </c:pt>
                <c:pt idx="714">
                  <c:v>402.69600000000003</c:v>
                </c:pt>
                <c:pt idx="715">
                  <c:v>403.26</c:v>
                </c:pt>
                <c:pt idx="716">
                  <c:v>403.82400000000001</c:v>
                </c:pt>
                <c:pt idx="717">
                  <c:v>404.38799999999998</c:v>
                </c:pt>
                <c:pt idx="718">
                  <c:v>404.952</c:v>
                </c:pt>
                <c:pt idx="719">
                  <c:v>405.51600000000002</c:v>
                </c:pt>
                <c:pt idx="720">
                  <c:v>406.08</c:v>
                </c:pt>
                <c:pt idx="721">
                  <c:v>406.64400000000001</c:v>
                </c:pt>
                <c:pt idx="722">
                  <c:v>407.20800000000003</c:v>
                </c:pt>
                <c:pt idx="723">
                  <c:v>407.77199999999999</c:v>
                </c:pt>
                <c:pt idx="724">
                  <c:v>408.33600000000001</c:v>
                </c:pt>
                <c:pt idx="725">
                  <c:v>408.9</c:v>
                </c:pt>
                <c:pt idx="726">
                  <c:v>409.464</c:v>
                </c:pt>
                <c:pt idx="727">
                  <c:v>410.02800000000002</c:v>
                </c:pt>
                <c:pt idx="728">
                  <c:v>410.59199999999998</c:v>
                </c:pt>
                <c:pt idx="729">
                  <c:v>411.15600000000001</c:v>
                </c:pt>
                <c:pt idx="730">
                  <c:v>411.72</c:v>
                </c:pt>
                <c:pt idx="731">
                  <c:v>412.28399999999999</c:v>
                </c:pt>
                <c:pt idx="732">
                  <c:v>412.84800000000001</c:v>
                </c:pt>
                <c:pt idx="733">
                  <c:v>413.41199999999998</c:v>
                </c:pt>
                <c:pt idx="734">
                  <c:v>413.976</c:v>
                </c:pt>
                <c:pt idx="735">
                  <c:v>414.54</c:v>
                </c:pt>
                <c:pt idx="736">
                  <c:v>415.10399999999998</c:v>
                </c:pt>
                <c:pt idx="737">
                  <c:v>415.66800000000001</c:v>
                </c:pt>
                <c:pt idx="738">
                  <c:v>416.23200000000003</c:v>
                </c:pt>
                <c:pt idx="739">
                  <c:v>416.79599999999999</c:v>
                </c:pt>
                <c:pt idx="740">
                  <c:v>417.36</c:v>
                </c:pt>
                <c:pt idx="741">
                  <c:v>417.92399999999998</c:v>
                </c:pt>
                <c:pt idx="742">
                  <c:v>418.488</c:v>
                </c:pt>
                <c:pt idx="743">
                  <c:v>419.05200000000002</c:v>
                </c:pt>
                <c:pt idx="744">
                  <c:v>419.61599999999999</c:v>
                </c:pt>
                <c:pt idx="745">
                  <c:v>420.18</c:v>
                </c:pt>
                <c:pt idx="746">
                  <c:v>420.74400000000003</c:v>
                </c:pt>
                <c:pt idx="747">
                  <c:v>421.30799999999999</c:v>
                </c:pt>
                <c:pt idx="748">
                  <c:v>421.87200000000001</c:v>
                </c:pt>
                <c:pt idx="749">
                  <c:v>422.43599999999998</c:v>
                </c:pt>
                <c:pt idx="750">
                  <c:v>423</c:v>
                </c:pt>
                <c:pt idx="751">
                  <c:v>423.56400000000002</c:v>
                </c:pt>
                <c:pt idx="752">
                  <c:v>424.12799999999999</c:v>
                </c:pt>
                <c:pt idx="753">
                  <c:v>424.69200000000001</c:v>
                </c:pt>
                <c:pt idx="754">
                  <c:v>425.25599999999997</c:v>
                </c:pt>
                <c:pt idx="755">
                  <c:v>425.82</c:v>
                </c:pt>
                <c:pt idx="756">
                  <c:v>426.38400000000001</c:v>
                </c:pt>
                <c:pt idx="757">
                  <c:v>426.94799999999998</c:v>
                </c:pt>
                <c:pt idx="758">
                  <c:v>427.512</c:v>
                </c:pt>
                <c:pt idx="759">
                  <c:v>428.07600000000002</c:v>
                </c:pt>
                <c:pt idx="760">
                  <c:v>428.64</c:v>
                </c:pt>
                <c:pt idx="761">
                  <c:v>429.20400000000001</c:v>
                </c:pt>
                <c:pt idx="762">
                  <c:v>429.76799999999997</c:v>
                </c:pt>
                <c:pt idx="763">
                  <c:v>430.33199999999999</c:v>
                </c:pt>
                <c:pt idx="764">
                  <c:v>430.89600000000002</c:v>
                </c:pt>
                <c:pt idx="765">
                  <c:v>431.46</c:v>
                </c:pt>
                <c:pt idx="766">
                  <c:v>432.024</c:v>
                </c:pt>
                <c:pt idx="767">
                  <c:v>432.58800000000002</c:v>
                </c:pt>
                <c:pt idx="768">
                  <c:v>433.15199999999999</c:v>
                </c:pt>
                <c:pt idx="769">
                  <c:v>433.71600000000001</c:v>
                </c:pt>
                <c:pt idx="770">
                  <c:v>434.28</c:v>
                </c:pt>
                <c:pt idx="771">
                  <c:v>434.84399999999999</c:v>
                </c:pt>
                <c:pt idx="772">
                  <c:v>435.40800000000002</c:v>
                </c:pt>
                <c:pt idx="773">
                  <c:v>435.97199999999998</c:v>
                </c:pt>
                <c:pt idx="774">
                  <c:v>436.536</c:v>
                </c:pt>
                <c:pt idx="775">
                  <c:v>437.1</c:v>
                </c:pt>
                <c:pt idx="776">
                  <c:v>437.66399999999999</c:v>
                </c:pt>
                <c:pt idx="777">
                  <c:v>438.22800000000001</c:v>
                </c:pt>
                <c:pt idx="778">
                  <c:v>438.79199999999997</c:v>
                </c:pt>
                <c:pt idx="779">
                  <c:v>439.35599999999999</c:v>
                </c:pt>
                <c:pt idx="780">
                  <c:v>439.92</c:v>
                </c:pt>
                <c:pt idx="781">
                  <c:v>440.48399999999998</c:v>
                </c:pt>
                <c:pt idx="782">
                  <c:v>441.048</c:v>
                </c:pt>
                <c:pt idx="783">
                  <c:v>441.61200000000002</c:v>
                </c:pt>
                <c:pt idx="784">
                  <c:v>442.17599999999999</c:v>
                </c:pt>
                <c:pt idx="785">
                  <c:v>442.74</c:v>
                </c:pt>
                <c:pt idx="786">
                  <c:v>443.30399999999997</c:v>
                </c:pt>
                <c:pt idx="787">
                  <c:v>443.86799999999999</c:v>
                </c:pt>
                <c:pt idx="788">
                  <c:v>444.43200000000002</c:v>
                </c:pt>
                <c:pt idx="789">
                  <c:v>444.99599999999998</c:v>
                </c:pt>
                <c:pt idx="790">
                  <c:v>445.56</c:v>
                </c:pt>
                <c:pt idx="791">
                  <c:v>446.12400000000002</c:v>
                </c:pt>
                <c:pt idx="792">
                  <c:v>446.68799999999999</c:v>
                </c:pt>
                <c:pt idx="793">
                  <c:v>447.25200000000001</c:v>
                </c:pt>
                <c:pt idx="794">
                  <c:v>447.81599999999997</c:v>
                </c:pt>
                <c:pt idx="795">
                  <c:v>448.38</c:v>
                </c:pt>
                <c:pt idx="796">
                  <c:v>448.94400000000002</c:v>
                </c:pt>
                <c:pt idx="797">
                  <c:v>449.50799999999998</c:v>
                </c:pt>
                <c:pt idx="798">
                  <c:v>450.072</c:v>
                </c:pt>
                <c:pt idx="799">
                  <c:v>450.63600000000002</c:v>
                </c:pt>
                <c:pt idx="800">
                  <c:v>451.2</c:v>
                </c:pt>
                <c:pt idx="801">
                  <c:v>451.76400000000001</c:v>
                </c:pt>
                <c:pt idx="802">
                  <c:v>452.32799999999997</c:v>
                </c:pt>
                <c:pt idx="803">
                  <c:v>452.892</c:v>
                </c:pt>
                <c:pt idx="804">
                  <c:v>453.45600000000002</c:v>
                </c:pt>
                <c:pt idx="805">
                  <c:v>454.02</c:v>
                </c:pt>
                <c:pt idx="806">
                  <c:v>454.584</c:v>
                </c:pt>
                <c:pt idx="807">
                  <c:v>455.14800000000002</c:v>
                </c:pt>
                <c:pt idx="808">
                  <c:v>455.71199999999999</c:v>
                </c:pt>
                <c:pt idx="809">
                  <c:v>456.27600000000001</c:v>
                </c:pt>
                <c:pt idx="810">
                  <c:v>456.84</c:v>
                </c:pt>
                <c:pt idx="811">
                  <c:v>457.404</c:v>
                </c:pt>
                <c:pt idx="812">
                  <c:v>457.96800000000002</c:v>
                </c:pt>
                <c:pt idx="813">
                  <c:v>458.53199999999998</c:v>
                </c:pt>
                <c:pt idx="814">
                  <c:v>459.096</c:v>
                </c:pt>
                <c:pt idx="815">
                  <c:v>459.66</c:v>
                </c:pt>
                <c:pt idx="816">
                  <c:v>460.22399999999999</c:v>
                </c:pt>
                <c:pt idx="817">
                  <c:v>460.78800000000001</c:v>
                </c:pt>
                <c:pt idx="818">
                  <c:v>461.35199999999998</c:v>
                </c:pt>
                <c:pt idx="819">
                  <c:v>461.916</c:v>
                </c:pt>
                <c:pt idx="820">
                  <c:v>462.48</c:v>
                </c:pt>
                <c:pt idx="821">
                  <c:v>463.04399999999998</c:v>
                </c:pt>
                <c:pt idx="822">
                  <c:v>463.608</c:v>
                </c:pt>
                <c:pt idx="823">
                  <c:v>464.17200000000003</c:v>
                </c:pt>
                <c:pt idx="824">
                  <c:v>464.73599999999999</c:v>
                </c:pt>
                <c:pt idx="825">
                  <c:v>465.3</c:v>
                </c:pt>
                <c:pt idx="826">
                  <c:v>465.86399999999998</c:v>
                </c:pt>
                <c:pt idx="827">
                  <c:v>466.428</c:v>
                </c:pt>
                <c:pt idx="828">
                  <c:v>466.99200000000002</c:v>
                </c:pt>
                <c:pt idx="829">
                  <c:v>467.55599999999998</c:v>
                </c:pt>
                <c:pt idx="830">
                  <c:v>468.12</c:v>
                </c:pt>
                <c:pt idx="831">
                  <c:v>468.68400000000003</c:v>
                </c:pt>
                <c:pt idx="832">
                  <c:v>469.24799999999999</c:v>
                </c:pt>
                <c:pt idx="833">
                  <c:v>469.81200000000001</c:v>
                </c:pt>
                <c:pt idx="834">
                  <c:v>470.37599999999998</c:v>
                </c:pt>
                <c:pt idx="835">
                  <c:v>470.94</c:v>
                </c:pt>
                <c:pt idx="836">
                  <c:v>471.50400000000002</c:v>
                </c:pt>
                <c:pt idx="837">
                  <c:v>472.06799999999998</c:v>
                </c:pt>
                <c:pt idx="838">
                  <c:v>472.63200000000001</c:v>
                </c:pt>
                <c:pt idx="839">
                  <c:v>473.19600000000003</c:v>
                </c:pt>
                <c:pt idx="840">
                  <c:v>473.76</c:v>
                </c:pt>
                <c:pt idx="841">
                  <c:v>474.32400000000001</c:v>
                </c:pt>
                <c:pt idx="842">
                  <c:v>474.88799999999998</c:v>
                </c:pt>
                <c:pt idx="843">
                  <c:v>475.452</c:v>
                </c:pt>
                <c:pt idx="844">
                  <c:v>476.01600000000002</c:v>
                </c:pt>
                <c:pt idx="845">
                  <c:v>476.58</c:v>
                </c:pt>
                <c:pt idx="846">
                  <c:v>477.14400000000001</c:v>
                </c:pt>
                <c:pt idx="847">
                  <c:v>477.70800000000003</c:v>
                </c:pt>
                <c:pt idx="848">
                  <c:v>478.27199999999999</c:v>
                </c:pt>
                <c:pt idx="849">
                  <c:v>478.83600000000001</c:v>
                </c:pt>
                <c:pt idx="850">
                  <c:v>479.4</c:v>
                </c:pt>
                <c:pt idx="851">
                  <c:v>479.964</c:v>
                </c:pt>
                <c:pt idx="852">
                  <c:v>480.52800000000002</c:v>
                </c:pt>
                <c:pt idx="853">
                  <c:v>481.09199999999998</c:v>
                </c:pt>
                <c:pt idx="854">
                  <c:v>481.65600000000001</c:v>
                </c:pt>
                <c:pt idx="855">
                  <c:v>482.22</c:v>
                </c:pt>
                <c:pt idx="856">
                  <c:v>482.78399999999999</c:v>
                </c:pt>
                <c:pt idx="857">
                  <c:v>483.34800000000001</c:v>
                </c:pt>
                <c:pt idx="858">
                  <c:v>483.91199999999998</c:v>
                </c:pt>
                <c:pt idx="859">
                  <c:v>484.476</c:v>
                </c:pt>
                <c:pt idx="860">
                  <c:v>485.04</c:v>
                </c:pt>
                <c:pt idx="861">
                  <c:v>485.60399999999998</c:v>
                </c:pt>
                <c:pt idx="862">
                  <c:v>486.16800000000001</c:v>
                </c:pt>
                <c:pt idx="863">
                  <c:v>486.73200000000003</c:v>
                </c:pt>
                <c:pt idx="864">
                  <c:v>487.29599999999999</c:v>
                </c:pt>
                <c:pt idx="865">
                  <c:v>487.86</c:v>
                </c:pt>
                <c:pt idx="866">
                  <c:v>488.42399999999998</c:v>
                </c:pt>
                <c:pt idx="867">
                  <c:v>488.988</c:v>
                </c:pt>
                <c:pt idx="868">
                  <c:v>489.55200000000002</c:v>
                </c:pt>
                <c:pt idx="869">
                  <c:v>490.11599999999999</c:v>
                </c:pt>
                <c:pt idx="870">
                  <c:v>490.68</c:v>
                </c:pt>
                <c:pt idx="871">
                  <c:v>491.24400000000003</c:v>
                </c:pt>
                <c:pt idx="872">
                  <c:v>491.80799999999999</c:v>
                </c:pt>
                <c:pt idx="873">
                  <c:v>492.37200000000001</c:v>
                </c:pt>
                <c:pt idx="874">
                  <c:v>492.93599999999998</c:v>
                </c:pt>
                <c:pt idx="875">
                  <c:v>493.5</c:v>
                </c:pt>
                <c:pt idx="876">
                  <c:v>494.06400000000002</c:v>
                </c:pt>
                <c:pt idx="877">
                  <c:v>494.62799999999999</c:v>
                </c:pt>
                <c:pt idx="878">
                  <c:v>495.19200000000001</c:v>
                </c:pt>
                <c:pt idx="879">
                  <c:v>495.75599999999997</c:v>
                </c:pt>
                <c:pt idx="880">
                  <c:v>496.32</c:v>
                </c:pt>
                <c:pt idx="881">
                  <c:v>496.88400000000001</c:v>
                </c:pt>
                <c:pt idx="882">
                  <c:v>497.44799999999998</c:v>
                </c:pt>
                <c:pt idx="883">
                  <c:v>498.012</c:v>
                </c:pt>
                <c:pt idx="884">
                  <c:v>498.57600000000002</c:v>
                </c:pt>
                <c:pt idx="885">
                  <c:v>499.14</c:v>
                </c:pt>
                <c:pt idx="886">
                  <c:v>499.70400000000001</c:v>
                </c:pt>
                <c:pt idx="887">
                  <c:v>500.26799999999997</c:v>
                </c:pt>
                <c:pt idx="888">
                  <c:v>500.83199999999999</c:v>
                </c:pt>
                <c:pt idx="889">
                  <c:v>501.39600000000002</c:v>
                </c:pt>
                <c:pt idx="890">
                  <c:v>501.96</c:v>
                </c:pt>
                <c:pt idx="891">
                  <c:v>502.524</c:v>
                </c:pt>
                <c:pt idx="892">
                  <c:v>503.08800000000002</c:v>
                </c:pt>
                <c:pt idx="893">
                  <c:v>503.65199999999999</c:v>
                </c:pt>
                <c:pt idx="894">
                  <c:v>504.21600000000001</c:v>
                </c:pt>
                <c:pt idx="895">
                  <c:v>504.78</c:v>
                </c:pt>
                <c:pt idx="896">
                  <c:v>505.34399999999999</c:v>
                </c:pt>
                <c:pt idx="897">
                  <c:v>505.90800000000002</c:v>
                </c:pt>
                <c:pt idx="898">
                  <c:v>506.47199999999998</c:v>
                </c:pt>
                <c:pt idx="899">
                  <c:v>507.036</c:v>
                </c:pt>
                <c:pt idx="900">
                  <c:v>507.6</c:v>
                </c:pt>
                <c:pt idx="901">
                  <c:v>508.16399999999999</c:v>
                </c:pt>
                <c:pt idx="902">
                  <c:v>508.72800000000001</c:v>
                </c:pt>
                <c:pt idx="903">
                  <c:v>509.29199999999997</c:v>
                </c:pt>
                <c:pt idx="904">
                  <c:v>509.85599999999999</c:v>
                </c:pt>
                <c:pt idx="905">
                  <c:v>510.42</c:v>
                </c:pt>
                <c:pt idx="906">
                  <c:v>510.98399999999998</c:v>
                </c:pt>
                <c:pt idx="907">
                  <c:v>511.548</c:v>
                </c:pt>
                <c:pt idx="908">
                  <c:v>512.11199999999997</c:v>
                </c:pt>
                <c:pt idx="909">
                  <c:v>512.67600000000004</c:v>
                </c:pt>
                <c:pt idx="910">
                  <c:v>513.24</c:v>
                </c:pt>
                <c:pt idx="911">
                  <c:v>513.80399999999997</c:v>
                </c:pt>
                <c:pt idx="912">
                  <c:v>514.36800000000005</c:v>
                </c:pt>
                <c:pt idx="913">
                  <c:v>514.93200000000002</c:v>
                </c:pt>
                <c:pt idx="914">
                  <c:v>515.49599999999998</c:v>
                </c:pt>
                <c:pt idx="915">
                  <c:v>516.05999999999995</c:v>
                </c:pt>
                <c:pt idx="916">
                  <c:v>516.62400000000002</c:v>
                </c:pt>
                <c:pt idx="917">
                  <c:v>517.18799999999999</c:v>
                </c:pt>
                <c:pt idx="918">
                  <c:v>517.75199999999995</c:v>
                </c:pt>
                <c:pt idx="919">
                  <c:v>518.31600000000003</c:v>
                </c:pt>
                <c:pt idx="920">
                  <c:v>518.88</c:v>
                </c:pt>
                <c:pt idx="921">
                  <c:v>519.44399999999996</c:v>
                </c:pt>
                <c:pt idx="922">
                  <c:v>520.00800000000004</c:v>
                </c:pt>
                <c:pt idx="923">
                  <c:v>520.572</c:v>
                </c:pt>
                <c:pt idx="924">
                  <c:v>521.13599999999997</c:v>
                </c:pt>
                <c:pt idx="925">
                  <c:v>521.70000000000005</c:v>
                </c:pt>
                <c:pt idx="926">
                  <c:v>522.26400000000001</c:v>
                </c:pt>
                <c:pt idx="927">
                  <c:v>522.82799999999997</c:v>
                </c:pt>
                <c:pt idx="928">
                  <c:v>523.39200000000005</c:v>
                </c:pt>
                <c:pt idx="929">
                  <c:v>523.95600000000002</c:v>
                </c:pt>
                <c:pt idx="930">
                  <c:v>524.52</c:v>
                </c:pt>
                <c:pt idx="931">
                  <c:v>525.08399999999995</c:v>
                </c:pt>
                <c:pt idx="932">
                  <c:v>525.64800000000002</c:v>
                </c:pt>
                <c:pt idx="933">
                  <c:v>526.21199999999999</c:v>
                </c:pt>
                <c:pt idx="934">
                  <c:v>526.77599999999995</c:v>
                </c:pt>
                <c:pt idx="935">
                  <c:v>527.34</c:v>
                </c:pt>
                <c:pt idx="936">
                  <c:v>527.904</c:v>
                </c:pt>
                <c:pt idx="937">
                  <c:v>528.46799999999996</c:v>
                </c:pt>
                <c:pt idx="938">
                  <c:v>529.03200000000004</c:v>
                </c:pt>
                <c:pt idx="939">
                  <c:v>529.596</c:v>
                </c:pt>
                <c:pt idx="940">
                  <c:v>530.16</c:v>
                </c:pt>
                <c:pt idx="941">
                  <c:v>530.72400000000005</c:v>
                </c:pt>
                <c:pt idx="942">
                  <c:v>531.28800000000001</c:v>
                </c:pt>
                <c:pt idx="943">
                  <c:v>531.85199999999998</c:v>
                </c:pt>
                <c:pt idx="944">
                  <c:v>532.41600000000005</c:v>
                </c:pt>
                <c:pt idx="945">
                  <c:v>532.98</c:v>
                </c:pt>
                <c:pt idx="946">
                  <c:v>533.54399999999998</c:v>
                </c:pt>
                <c:pt idx="947">
                  <c:v>534.10799999999995</c:v>
                </c:pt>
              </c:numCache>
            </c:numRef>
          </c:xVal>
          <c:yVal>
            <c:numRef>
              <c:f>'Part 3 Data'!$G$3:$G$1919</c:f>
              <c:numCache>
                <c:formatCode>0.00</c:formatCode>
                <c:ptCount val="1917"/>
                <c:pt idx="0">
                  <c:v>0.99583073134075195</c:v>
                </c:pt>
                <c:pt idx="1">
                  <c:v>0.99472120292526023</c:v>
                </c:pt>
                <c:pt idx="2">
                  <c:v>0.99368043801936456</c:v>
                </c:pt>
                <c:pt idx="3">
                  <c:v>0.99248714549687023</c:v>
                </c:pt>
                <c:pt idx="4">
                  <c:v>0.99132934446782039</c:v>
                </c:pt>
                <c:pt idx="5">
                  <c:v>0.99054317857147989</c:v>
                </c:pt>
                <c:pt idx="6">
                  <c:v>0.9895815884826229</c:v>
                </c:pt>
                <c:pt idx="7">
                  <c:v>0.98839184343544861</c:v>
                </c:pt>
                <c:pt idx="8">
                  <c:v>0.98750204878023196</c:v>
                </c:pt>
                <c:pt idx="9">
                  <c:v>0.98632332128604394</c:v>
                </c:pt>
                <c:pt idx="10">
                  <c:v>0.98551763346914478</c:v>
                </c:pt>
                <c:pt idx="11">
                  <c:v>0.98445899649201485</c:v>
                </c:pt>
                <c:pt idx="12">
                  <c:v>0.98344803757564681</c:v>
                </c:pt>
                <c:pt idx="13">
                  <c:v>0.98268389660687205</c:v>
                </c:pt>
                <c:pt idx="14">
                  <c:v>0.9815510960312438</c:v>
                </c:pt>
                <c:pt idx="15">
                  <c:v>0.98075864150767311</c:v>
                </c:pt>
                <c:pt idx="16">
                  <c:v>0.98001208441681997</c:v>
                </c:pt>
                <c:pt idx="17">
                  <c:v>0.97897472944190933</c:v>
                </c:pt>
                <c:pt idx="18">
                  <c:v>0.97842205285075223</c:v>
                </c:pt>
                <c:pt idx="19">
                  <c:v>0.97776043825391379</c:v>
                </c:pt>
                <c:pt idx="20">
                  <c:v>0.9767897390382303</c:v>
                </c:pt>
                <c:pt idx="21">
                  <c:v>0.97613149040718084</c:v>
                </c:pt>
                <c:pt idx="22">
                  <c:v>0.97560249238424968</c:v>
                </c:pt>
                <c:pt idx="23">
                  <c:v>0.9746643606219586</c:v>
                </c:pt>
                <c:pt idx="24">
                  <c:v>0.97392673161646459</c:v>
                </c:pt>
                <c:pt idx="25">
                  <c:v>0.97320097131058858</c:v>
                </c:pt>
                <c:pt idx="26">
                  <c:v>0.97252533514303618</c:v>
                </c:pt>
                <c:pt idx="27">
                  <c:v>0.9717309473542326</c:v>
                </c:pt>
                <c:pt idx="28">
                  <c:v>0.97101107958912147</c:v>
                </c:pt>
                <c:pt idx="29">
                  <c:v>0.97042524383888018</c:v>
                </c:pt>
                <c:pt idx="30">
                  <c:v>0.96975657923844827</c:v>
                </c:pt>
                <c:pt idx="31">
                  <c:v>0.96901311615721741</c:v>
                </c:pt>
                <c:pt idx="32">
                  <c:v>0.96845676000821768</c:v>
                </c:pt>
                <c:pt idx="33">
                  <c:v>0.96784108292537108</c:v>
                </c:pt>
                <c:pt idx="34">
                  <c:v>0.96726873837338145</c:v>
                </c:pt>
                <c:pt idx="35">
                  <c:v>0.96671743827874923</c:v>
                </c:pt>
                <c:pt idx="36">
                  <c:v>0.9661640670072883</c:v>
                </c:pt>
                <c:pt idx="37">
                  <c:v>0.96570337231185821</c:v>
                </c:pt>
                <c:pt idx="38">
                  <c:v>0.96525986254955676</c:v>
                </c:pt>
                <c:pt idx="39">
                  <c:v>0.96461063319906482</c:v>
                </c:pt>
                <c:pt idx="40">
                  <c:v>0.96406833497890898</c:v>
                </c:pt>
                <c:pt idx="41">
                  <c:v>0.9636413499614267</c:v>
                </c:pt>
                <c:pt idx="42">
                  <c:v>0.96316168691822901</c:v>
                </c:pt>
                <c:pt idx="43">
                  <c:v>0.96271904725293234</c:v>
                </c:pt>
                <c:pt idx="44">
                  <c:v>0.96217833054762225</c:v>
                </c:pt>
                <c:pt idx="45">
                  <c:v>0.96169039916603793</c:v>
                </c:pt>
                <c:pt idx="46">
                  <c:v>0.96130931753684912</c:v>
                </c:pt>
                <c:pt idx="47">
                  <c:v>0.96072904658646663</c:v>
                </c:pt>
                <c:pt idx="48">
                  <c:v>0.9602166112034225</c:v>
                </c:pt>
                <c:pt idx="49">
                  <c:v>0.95967713546376165</c:v>
                </c:pt>
                <c:pt idx="50">
                  <c:v>0.95917476792739798</c:v>
                </c:pt>
                <c:pt idx="51">
                  <c:v>0.95872652754137588</c:v>
                </c:pt>
                <c:pt idx="52">
                  <c:v>0.95817739251239242</c:v>
                </c:pt>
                <c:pt idx="53">
                  <c:v>0.95761265872606105</c:v>
                </c:pt>
                <c:pt idx="54">
                  <c:v>0.95714811054533544</c:v>
                </c:pt>
                <c:pt idx="55">
                  <c:v>0.95665471622207632</c:v>
                </c:pt>
                <c:pt idx="56">
                  <c:v>0.95630349952221883</c:v>
                </c:pt>
                <c:pt idx="57">
                  <c:v>0.95566854030525417</c:v>
                </c:pt>
                <c:pt idx="58">
                  <c:v>0.95520687808234339</c:v>
                </c:pt>
                <c:pt idx="59">
                  <c:v>0.95466565370977474</c:v>
                </c:pt>
                <c:pt idx="60">
                  <c:v>0.95422236394673698</c:v>
                </c:pt>
                <c:pt idx="61">
                  <c:v>0.9534294970511723</c:v>
                </c:pt>
                <c:pt idx="62">
                  <c:v>0.95322695211493302</c:v>
                </c:pt>
                <c:pt idx="63">
                  <c:v>0.95280649326561095</c:v>
                </c:pt>
                <c:pt idx="64">
                  <c:v>0.95226727665312927</c:v>
                </c:pt>
                <c:pt idx="65">
                  <c:v>0.95167490372936203</c:v>
                </c:pt>
                <c:pt idx="66">
                  <c:v>0.95108410019796175</c:v>
                </c:pt>
                <c:pt idx="67">
                  <c:v>0.9505505252404598</c:v>
                </c:pt>
                <c:pt idx="68">
                  <c:v>0.9499427697674182</c:v>
                </c:pt>
                <c:pt idx="69">
                  <c:v>0.94952292832678165</c:v>
                </c:pt>
                <c:pt idx="70">
                  <c:v>0.9490513459210882</c:v>
                </c:pt>
                <c:pt idx="71">
                  <c:v>0.94858153870931206</c:v>
                </c:pt>
                <c:pt idx="72">
                  <c:v>0.94817203111961079</c:v>
                </c:pt>
                <c:pt idx="73">
                  <c:v>0.94772708513259463</c:v>
                </c:pt>
                <c:pt idx="74">
                  <c:v>0.94727604067888205</c:v>
                </c:pt>
                <c:pt idx="75">
                  <c:v>0.94672507325718536</c:v>
                </c:pt>
                <c:pt idx="76">
                  <c:v>0.94624596698513219</c:v>
                </c:pt>
                <c:pt idx="77">
                  <c:v>0.94581989325625437</c:v>
                </c:pt>
                <c:pt idx="78">
                  <c:v>0.94515611173102587</c:v>
                </c:pt>
                <c:pt idx="79">
                  <c:v>0.94476984459543789</c:v>
                </c:pt>
                <c:pt idx="80">
                  <c:v>0.94421399240904935</c:v>
                </c:pt>
                <c:pt idx="81">
                  <c:v>0.94359607388448097</c:v>
                </c:pt>
                <c:pt idx="82">
                  <c:v>0.94340078585336873</c:v>
                </c:pt>
                <c:pt idx="83">
                  <c:v>0.9427311120820242</c:v>
                </c:pt>
                <c:pt idx="84">
                  <c:v>0.94229412435849147</c:v>
                </c:pt>
                <c:pt idx="85">
                  <c:v>0.94171005641122152</c:v>
                </c:pt>
                <c:pt idx="86">
                  <c:v>0.94135999799590242</c:v>
                </c:pt>
                <c:pt idx="87">
                  <c:v>0.94086634450251239</c:v>
                </c:pt>
                <c:pt idx="88">
                  <c:v>0.94027986739175362</c:v>
                </c:pt>
                <c:pt idx="89">
                  <c:v>0.9398516679184391</c:v>
                </c:pt>
                <c:pt idx="90">
                  <c:v>0.93930132674480393</c:v>
                </c:pt>
                <c:pt idx="91">
                  <c:v>0.93881481337876205</c:v>
                </c:pt>
                <c:pt idx="92">
                  <c:v>0.93839332400353204</c:v>
                </c:pt>
                <c:pt idx="93">
                  <c:v>0.9378820092910003</c:v>
                </c:pt>
                <c:pt idx="94">
                  <c:v>0.93725242346114124</c:v>
                </c:pt>
                <c:pt idx="95">
                  <c:v>0.93682302080960211</c:v>
                </c:pt>
                <c:pt idx="96">
                  <c:v>0.93624450179538521</c:v>
                </c:pt>
                <c:pt idx="97">
                  <c:v>0.93575423766958588</c:v>
                </c:pt>
                <c:pt idx="98">
                  <c:v>0.93527007156442399</c:v>
                </c:pt>
                <c:pt idx="99">
                  <c:v>0.934724821566842</c:v>
                </c:pt>
                <c:pt idx="100">
                  <c:v>0.93430134803908216</c:v>
                </c:pt>
                <c:pt idx="101">
                  <c:v>0.9337892846567275</c:v>
                </c:pt>
                <c:pt idx="102">
                  <c:v>0.93318111226388301</c:v>
                </c:pt>
                <c:pt idx="103">
                  <c:v>0.93281073664005676</c:v>
                </c:pt>
                <c:pt idx="104">
                  <c:v>0.93233500854354312</c:v>
                </c:pt>
                <c:pt idx="105">
                  <c:v>0.93194795928257579</c:v>
                </c:pt>
                <c:pt idx="106">
                  <c:v>0.93130274914891054</c:v>
                </c:pt>
                <c:pt idx="107">
                  <c:v>0.9308425413324225</c:v>
                </c:pt>
                <c:pt idx="108">
                  <c:v>0.93032226964250309</c:v>
                </c:pt>
                <c:pt idx="109">
                  <c:v>0.92974869168390584</c:v>
                </c:pt>
                <c:pt idx="110">
                  <c:v>0.92907813877393997</c:v>
                </c:pt>
                <c:pt idx="111">
                  <c:v>0.92875111081623229</c:v>
                </c:pt>
                <c:pt idx="112">
                  <c:v>0.92822203918923496</c:v>
                </c:pt>
                <c:pt idx="113">
                  <c:v>0.92771711521437183</c:v>
                </c:pt>
                <c:pt idx="114">
                  <c:v>0.92710762302301231</c:v>
                </c:pt>
                <c:pt idx="115">
                  <c:v>0.92669785183240494</c:v>
                </c:pt>
                <c:pt idx="116">
                  <c:v>0.92622401584252512</c:v>
                </c:pt>
                <c:pt idx="117">
                  <c:v>0.9257796646844999</c:v>
                </c:pt>
                <c:pt idx="118">
                  <c:v>0.92522785387231365</c:v>
                </c:pt>
                <c:pt idx="119">
                  <c:v>0.92477161097660898</c:v>
                </c:pt>
                <c:pt idx="120">
                  <c:v>0.92433398471754025</c:v>
                </c:pt>
                <c:pt idx="121">
                  <c:v>0.92401006420632414</c:v>
                </c:pt>
                <c:pt idx="122">
                  <c:v>0.92350887245802471</c:v>
                </c:pt>
                <c:pt idx="123">
                  <c:v>0.92314075471612556</c:v>
                </c:pt>
                <c:pt idx="124">
                  <c:v>0.92253090133761073</c:v>
                </c:pt>
                <c:pt idx="125">
                  <c:v>0.92201762018546074</c:v>
                </c:pt>
                <c:pt idx="126">
                  <c:v>0.92167120474304831</c:v>
                </c:pt>
                <c:pt idx="127">
                  <c:v>0.92118335407369512</c:v>
                </c:pt>
                <c:pt idx="128">
                  <c:v>0.92068941756933953</c:v>
                </c:pt>
                <c:pt idx="129">
                  <c:v>0.92025589868883528</c:v>
                </c:pt>
                <c:pt idx="130">
                  <c:v>0.91980153973747913</c:v>
                </c:pt>
                <c:pt idx="131">
                  <c:v>0.91942524432300921</c:v>
                </c:pt>
                <c:pt idx="132">
                  <c:v>0.91891586764751221</c:v>
                </c:pt>
                <c:pt idx="133">
                  <c:v>0.91843810477844057</c:v>
                </c:pt>
                <c:pt idx="134">
                  <c:v>0.91808802934246114</c:v>
                </c:pt>
                <c:pt idx="135">
                  <c:v>0.91766234993641416</c:v>
                </c:pt>
                <c:pt idx="136">
                  <c:v>0.9171582525787495</c:v>
                </c:pt>
                <c:pt idx="137">
                  <c:v>0.91658422532815198</c:v>
                </c:pt>
                <c:pt idx="138">
                  <c:v>0.91636933209024096</c:v>
                </c:pt>
                <c:pt idx="139">
                  <c:v>0.91578048683246849</c:v>
                </c:pt>
                <c:pt idx="140">
                  <c:v>0.91529340268552639</c:v>
                </c:pt>
                <c:pt idx="141">
                  <c:v>0.91480113245160399</c:v>
                </c:pt>
                <c:pt idx="142">
                  <c:v>0.91430624702638108</c:v>
                </c:pt>
                <c:pt idx="143">
                  <c:v>0.91374972979528435</c:v>
                </c:pt>
                <c:pt idx="144">
                  <c:v>0.91340548025994373</c:v>
                </c:pt>
                <c:pt idx="145">
                  <c:v>0.91280849522199448</c:v>
                </c:pt>
                <c:pt idx="146">
                  <c:v>0.91221028423801942</c:v>
                </c:pt>
                <c:pt idx="147">
                  <c:v>0.91196712954037684</c:v>
                </c:pt>
                <c:pt idx="148">
                  <c:v>0.911298309160126</c:v>
                </c:pt>
                <c:pt idx="149">
                  <c:v>0.91094773844065724</c:v>
                </c:pt>
                <c:pt idx="150">
                  <c:v>0.91041264910782904</c:v>
                </c:pt>
                <c:pt idx="151">
                  <c:v>0.90993175795751269</c:v>
                </c:pt>
                <c:pt idx="152">
                  <c:v>0.90937105496852688</c:v>
                </c:pt>
                <c:pt idx="153">
                  <c:v>0.90885647486273802</c:v>
                </c:pt>
                <c:pt idx="154">
                  <c:v>0.90840043711876983</c:v>
                </c:pt>
                <c:pt idx="155">
                  <c:v>0.9080200050532985</c:v>
                </c:pt>
                <c:pt idx="156">
                  <c:v>0.90749342847623116</c:v>
                </c:pt>
                <c:pt idx="157">
                  <c:v>0.90712310943718166</c:v>
                </c:pt>
                <c:pt idx="158">
                  <c:v>0.90675577400065088</c:v>
                </c:pt>
                <c:pt idx="159">
                  <c:v>0.90615513939027825</c:v>
                </c:pt>
                <c:pt idx="160">
                  <c:v>0.90571891476133592</c:v>
                </c:pt>
                <c:pt idx="161">
                  <c:v>0.90528725009632138</c:v>
                </c:pt>
                <c:pt idx="162">
                  <c:v>0.90469674966698266</c:v>
                </c:pt>
                <c:pt idx="163">
                  <c:v>0.90437804289764567</c:v>
                </c:pt>
                <c:pt idx="164">
                  <c:v>0.90387134005905234</c:v>
                </c:pt>
                <c:pt idx="165">
                  <c:v>0.90338074549705449</c:v>
                </c:pt>
                <c:pt idx="166">
                  <c:v>0.90296725963806568</c:v>
                </c:pt>
                <c:pt idx="167">
                  <c:v>0.90249796203669264</c:v>
                </c:pt>
                <c:pt idx="168">
                  <c:v>0.90200997115944404</c:v>
                </c:pt>
                <c:pt idx="169">
                  <c:v>0.90172283306111334</c:v>
                </c:pt>
                <c:pt idx="170">
                  <c:v>0.9011694489284966</c:v>
                </c:pt>
                <c:pt idx="171">
                  <c:v>0.90066303999362896</c:v>
                </c:pt>
                <c:pt idx="172">
                  <c:v>0.90034478796877049</c:v>
                </c:pt>
                <c:pt idx="173">
                  <c:v>0.89979922962727865</c:v>
                </c:pt>
                <c:pt idx="174">
                  <c:v>0.89942085182986597</c:v>
                </c:pt>
                <c:pt idx="175">
                  <c:v>0.89897736301535092</c:v>
                </c:pt>
                <c:pt idx="176">
                  <c:v>0.89838815670888839</c:v>
                </c:pt>
                <c:pt idx="177">
                  <c:v>0.89805036470075872</c:v>
                </c:pt>
                <c:pt idx="178">
                  <c:v>0.89761219098984957</c:v>
                </c:pt>
                <c:pt idx="179">
                  <c:v>0.89718184903960063</c:v>
                </c:pt>
                <c:pt idx="180">
                  <c:v>0.89667842767019168</c:v>
                </c:pt>
                <c:pt idx="181">
                  <c:v>0.89615360379888731</c:v>
                </c:pt>
                <c:pt idx="182">
                  <c:v>0.89577242366828136</c:v>
                </c:pt>
                <c:pt idx="183">
                  <c:v>0.89524796368025805</c:v>
                </c:pt>
                <c:pt idx="184">
                  <c:v>0.89468478811781182</c:v>
                </c:pt>
                <c:pt idx="185">
                  <c:v>0.89435045772566324</c:v>
                </c:pt>
                <c:pt idx="186">
                  <c:v>0.89383031464722973</c:v>
                </c:pt>
                <c:pt idx="187">
                  <c:v>0.8934154794888165</c:v>
                </c:pt>
                <c:pt idx="188">
                  <c:v>0.89298148360161278</c:v>
                </c:pt>
                <c:pt idx="189">
                  <c:v>0.89237887364272439</c:v>
                </c:pt>
                <c:pt idx="190">
                  <c:v>0.89200625902011588</c:v>
                </c:pt>
                <c:pt idx="191">
                  <c:v>0.89154242175164133</c:v>
                </c:pt>
                <c:pt idx="192">
                  <c:v>0.89091538040780272</c:v>
                </c:pt>
                <c:pt idx="193">
                  <c:v>0.89061712666339277</c:v>
                </c:pt>
                <c:pt idx="194">
                  <c:v>0.89015591360786106</c:v>
                </c:pt>
                <c:pt idx="195">
                  <c:v>0.8897148447120391</c:v>
                </c:pt>
                <c:pt idx="196">
                  <c:v>0.88914194796472756</c:v>
                </c:pt>
                <c:pt idx="197">
                  <c:v>0.88867032482053387</c:v>
                </c:pt>
                <c:pt idx="198">
                  <c:v>0.88822011500725273</c:v>
                </c:pt>
                <c:pt idx="199">
                  <c:v>0.88766664379531546</c:v>
                </c:pt>
                <c:pt idx="200">
                  <c:v>0.88723724532843207</c:v>
                </c:pt>
                <c:pt idx="201">
                  <c:v>0.88660555604801861</c:v>
                </c:pt>
                <c:pt idx="202">
                  <c:v>0.88630415586637212</c:v>
                </c:pt>
                <c:pt idx="203">
                  <c:v>0.88579902742459193</c:v>
                </c:pt>
                <c:pt idx="204">
                  <c:v>0.88522379069909085</c:v>
                </c:pt>
                <c:pt idx="205">
                  <c:v>0.88482755540195435</c:v>
                </c:pt>
                <c:pt idx="206">
                  <c:v>0.88435847306268622</c:v>
                </c:pt>
                <c:pt idx="207">
                  <c:v>0.88400605942142318</c:v>
                </c:pt>
                <c:pt idx="208">
                  <c:v>0.88354556756919345</c:v>
                </c:pt>
                <c:pt idx="209">
                  <c:v>0.88309380929613357</c:v>
                </c:pt>
                <c:pt idx="210">
                  <c:v>0.88267304507341127</c:v>
                </c:pt>
                <c:pt idx="211">
                  <c:v>0.88213367865585746</c:v>
                </c:pt>
                <c:pt idx="212">
                  <c:v>0.8816461605437973</c:v>
                </c:pt>
                <c:pt idx="213">
                  <c:v>0.88121272418156227</c:v>
                </c:pt>
                <c:pt idx="214">
                  <c:v>0.88080729082691955</c:v>
                </c:pt>
                <c:pt idx="215">
                  <c:v>0.8802542976504083</c:v>
                </c:pt>
                <c:pt idx="216">
                  <c:v>0.87978399278189168</c:v>
                </c:pt>
                <c:pt idx="217">
                  <c:v>0.87934159622229624</c:v>
                </c:pt>
                <c:pt idx="218">
                  <c:v>0.87882649311401517</c:v>
                </c:pt>
                <c:pt idx="219">
                  <c:v>0.87838329995544362</c:v>
                </c:pt>
                <c:pt idx="220">
                  <c:v>0.87779687445848653</c:v>
                </c:pt>
                <c:pt idx="221">
                  <c:v>0.87733812746547524</c:v>
                </c:pt>
                <c:pt idx="222">
                  <c:v>0.87712718589828131</c:v>
                </c:pt>
                <c:pt idx="223">
                  <c:v>0.87662073193120782</c:v>
                </c:pt>
                <c:pt idx="224">
                  <c:v>0.87631133442637066</c:v>
                </c:pt>
                <c:pt idx="225">
                  <c:v>0.87565083137552013</c:v>
                </c:pt>
                <c:pt idx="226">
                  <c:v>0.87524775953428935</c:v>
                </c:pt>
                <c:pt idx="227">
                  <c:v>0.87467792050225601</c:v>
                </c:pt>
                <c:pt idx="228">
                  <c:v>0.87415659470446883</c:v>
                </c:pt>
                <c:pt idx="229">
                  <c:v>0.87377154870815299</c:v>
                </c:pt>
                <c:pt idx="230">
                  <c:v>0.87328759931468858</c:v>
                </c:pt>
                <c:pt idx="231">
                  <c:v>0.87286752506459697</c:v>
                </c:pt>
                <c:pt idx="232">
                  <c:v>0.872344940171498</c:v>
                </c:pt>
                <c:pt idx="233">
                  <c:v>0.87203880565147673</c:v>
                </c:pt>
                <c:pt idx="234">
                  <c:v>0.87148644827569366</c:v>
                </c:pt>
                <c:pt idx="235">
                  <c:v>0.87096752533858657</c:v>
                </c:pt>
                <c:pt idx="236">
                  <c:v>0.8704595824827166</c:v>
                </c:pt>
                <c:pt idx="237">
                  <c:v>0.87017253971410591</c:v>
                </c:pt>
                <c:pt idx="238">
                  <c:v>0.8697647829387033</c:v>
                </c:pt>
                <c:pt idx="239">
                  <c:v>0.86926523699872327</c:v>
                </c:pt>
                <c:pt idx="240">
                  <c:v>0.86872613283840128</c:v>
                </c:pt>
                <c:pt idx="241">
                  <c:v>0.86819460739931931</c:v>
                </c:pt>
                <c:pt idx="242">
                  <c:v>0.86774046060805554</c:v>
                </c:pt>
                <c:pt idx="243">
                  <c:v>0.86734997456458451</c:v>
                </c:pt>
                <c:pt idx="244">
                  <c:v>0.8670145145171031</c:v>
                </c:pt>
                <c:pt idx="245">
                  <c:v>0.86661492095858528</c:v>
                </c:pt>
                <c:pt idx="246">
                  <c:v>0.86596066821686013</c:v>
                </c:pt>
                <c:pt idx="247">
                  <c:v>0.8654523044562431</c:v>
                </c:pt>
                <c:pt idx="248">
                  <c:v>0.86512775375680206</c:v>
                </c:pt>
                <c:pt idx="249">
                  <c:v>0.86468328519998616</c:v>
                </c:pt>
                <c:pt idx="250">
                  <c:v>0.86426339812126818</c:v>
                </c:pt>
                <c:pt idx="251">
                  <c:v>0.86374337255638689</c:v>
                </c:pt>
                <c:pt idx="252">
                  <c:v>0.86329785941340453</c:v>
                </c:pt>
                <c:pt idx="253">
                  <c:v>0.86292229092491579</c:v>
                </c:pt>
                <c:pt idx="254">
                  <c:v>0.86248881486035855</c:v>
                </c:pt>
                <c:pt idx="255">
                  <c:v>0.86193945617753465</c:v>
                </c:pt>
                <c:pt idx="256">
                  <c:v>0.86153995543239703</c:v>
                </c:pt>
                <c:pt idx="257">
                  <c:v>0.86098385687572687</c:v>
                </c:pt>
                <c:pt idx="258">
                  <c:v>0.86045982719107506</c:v>
                </c:pt>
                <c:pt idx="259">
                  <c:v>0.86022738636812701</c:v>
                </c:pt>
                <c:pt idx="260">
                  <c:v>0.85952168077384472</c:v>
                </c:pt>
                <c:pt idx="261">
                  <c:v>0.8592640570685578</c:v>
                </c:pt>
                <c:pt idx="262">
                  <c:v>0.85864218551547056</c:v>
                </c:pt>
                <c:pt idx="263">
                  <c:v>0.85847550232916092</c:v>
                </c:pt>
                <c:pt idx="264">
                  <c:v>0.85788238772528702</c:v>
                </c:pt>
                <c:pt idx="265">
                  <c:v>0.85752376493970983</c:v>
                </c:pt>
                <c:pt idx="266">
                  <c:v>0.85694120641773563</c:v>
                </c:pt>
                <c:pt idx="267">
                  <c:v>0.85639381202613329</c:v>
                </c:pt>
                <c:pt idx="268">
                  <c:v>0.85600142654903366</c:v>
                </c:pt>
                <c:pt idx="269">
                  <c:v>0.85566799529463489</c:v>
                </c:pt>
                <c:pt idx="270">
                  <c:v>0.85523634456640674</c:v>
                </c:pt>
                <c:pt idx="271">
                  <c:v>0.8548732626013853</c:v>
                </c:pt>
                <c:pt idx="272">
                  <c:v>0.85436502018063853</c:v>
                </c:pt>
                <c:pt idx="273">
                  <c:v>0.85382345662526626</c:v>
                </c:pt>
                <c:pt idx="274">
                  <c:v>0.85350923857907057</c:v>
                </c:pt>
                <c:pt idx="275">
                  <c:v>0.85295979800440991</c:v>
                </c:pt>
                <c:pt idx="276">
                  <c:v>0.85245059786531285</c:v>
                </c:pt>
                <c:pt idx="277">
                  <c:v>0.85219641052792616</c:v>
                </c:pt>
                <c:pt idx="278">
                  <c:v>0.85170405825511919</c:v>
                </c:pt>
                <c:pt idx="279">
                  <c:v>0.85130808512901635</c:v>
                </c:pt>
                <c:pt idx="280">
                  <c:v>0.85075078012352889</c:v>
                </c:pt>
                <c:pt idx="281">
                  <c:v>0.85030407709375377</c:v>
                </c:pt>
                <c:pt idx="282">
                  <c:v>0.85006697874198078</c:v>
                </c:pt>
                <c:pt idx="283">
                  <c:v>0.84948540752447543</c:v>
                </c:pt>
                <c:pt idx="284">
                  <c:v>0.84905478596059858</c:v>
                </c:pt>
                <c:pt idx="285">
                  <c:v>0.84861575563639891</c:v>
                </c:pt>
                <c:pt idx="286">
                  <c:v>0.84819097592520576</c:v>
                </c:pt>
                <c:pt idx="287">
                  <c:v>0.84760253149305853</c:v>
                </c:pt>
                <c:pt idx="288">
                  <c:v>0.84735012977315161</c:v>
                </c:pt>
                <c:pt idx="289">
                  <c:v>0.84676391533552686</c:v>
                </c:pt>
                <c:pt idx="290">
                  <c:v>0.84646582861125275</c:v>
                </c:pt>
                <c:pt idx="291">
                  <c:v>0.84582143134401466</c:v>
                </c:pt>
                <c:pt idx="292">
                  <c:v>0.84552714455905109</c:v>
                </c:pt>
                <c:pt idx="293">
                  <c:v>0.84511031882233512</c:v>
                </c:pt>
                <c:pt idx="294">
                  <c:v>0.84473614337893299</c:v>
                </c:pt>
                <c:pt idx="295">
                  <c:v>0.84429817932450557</c:v>
                </c:pt>
                <c:pt idx="296">
                  <c:v>0.843814133837542</c:v>
                </c:pt>
                <c:pt idx="297">
                  <c:v>0.84344114218009991</c:v>
                </c:pt>
                <c:pt idx="298">
                  <c:v>0.84306963208534147</c:v>
                </c:pt>
                <c:pt idx="299">
                  <c:v>0.84255653200960989</c:v>
                </c:pt>
                <c:pt idx="300">
                  <c:v>0.84210977922794172</c:v>
                </c:pt>
                <c:pt idx="301">
                  <c:v>0.84163201698353207</c:v>
                </c:pt>
                <c:pt idx="302">
                  <c:v>0.84107158718134711</c:v>
                </c:pt>
                <c:pt idx="303">
                  <c:v>0.84088246743558681</c:v>
                </c:pt>
                <c:pt idx="304">
                  <c:v>0.84031658237627616</c:v>
                </c:pt>
                <c:pt idx="305">
                  <c:v>0.84007685114352681</c:v>
                </c:pt>
                <c:pt idx="306">
                  <c:v>0.83949851648266494</c:v>
                </c:pt>
                <c:pt idx="307">
                  <c:v>0.83915017427935545</c:v>
                </c:pt>
                <c:pt idx="308">
                  <c:v>0.83877068805604649</c:v>
                </c:pt>
                <c:pt idx="309">
                  <c:v>0.83834915681980737</c:v>
                </c:pt>
                <c:pt idx="310">
                  <c:v>0.83795985106390691</c:v>
                </c:pt>
                <c:pt idx="311">
                  <c:v>0.83733827835796248</c:v>
                </c:pt>
                <c:pt idx="312">
                  <c:v>0.83693810903900534</c:v>
                </c:pt>
                <c:pt idx="313">
                  <c:v>0.83665391433571223</c:v>
                </c:pt>
                <c:pt idx="314">
                  <c:v>0.83609402640599262</c:v>
                </c:pt>
                <c:pt idx="315">
                  <c:v>0.83567359016502052</c:v>
                </c:pt>
                <c:pt idx="316">
                  <c:v>0.83523562724942801</c:v>
                </c:pt>
                <c:pt idx="317">
                  <c:v>0.83484751845451077</c:v>
                </c:pt>
                <c:pt idx="318">
                  <c:v>0.83443295821346908</c:v>
                </c:pt>
                <c:pt idx="319">
                  <c:v>0.83399638215073524</c:v>
                </c:pt>
                <c:pt idx="320">
                  <c:v>0.83340253697806999</c:v>
                </c:pt>
                <c:pt idx="321">
                  <c:v>0.83301572817573666</c:v>
                </c:pt>
                <c:pt idx="322">
                  <c:v>0.83249470908313516</c:v>
                </c:pt>
                <c:pt idx="323">
                  <c:v>0.83206963196080497</c:v>
                </c:pt>
                <c:pt idx="324">
                  <c:v>0.83184953219216051</c:v>
                </c:pt>
                <c:pt idx="325">
                  <c:v>0.83108995051506451</c:v>
                </c:pt>
                <c:pt idx="326">
                  <c:v>0.83077749654656485</c:v>
                </c:pt>
                <c:pt idx="327">
                  <c:v>0.83019785704371474</c:v>
                </c:pt>
                <c:pt idx="328">
                  <c:v>0.82996615005476237</c:v>
                </c:pt>
                <c:pt idx="329">
                  <c:v>0.82945677708624632</c:v>
                </c:pt>
                <c:pt idx="330">
                  <c:v>0.82897286516056712</c:v>
                </c:pt>
                <c:pt idx="331">
                  <c:v>0.82852524044209785</c:v>
                </c:pt>
                <c:pt idx="332">
                  <c:v>0.82811216397211229</c:v>
                </c:pt>
                <c:pt idx="333">
                  <c:v>0.82789051564602689</c:v>
                </c:pt>
                <c:pt idx="334">
                  <c:v>0.82736717302575769</c:v>
                </c:pt>
                <c:pt idx="335">
                  <c:v>0.82690622942633318</c:v>
                </c:pt>
                <c:pt idx="336">
                  <c:v>0.82653690147961789</c:v>
                </c:pt>
                <c:pt idx="337">
                  <c:v>0.82615524550513264</c:v>
                </c:pt>
                <c:pt idx="338">
                  <c:v>0.82569687343057863</c:v>
                </c:pt>
                <c:pt idx="339">
                  <c:v>0.8253552519038192</c:v>
                </c:pt>
                <c:pt idx="340">
                  <c:v>0.82493086900735613</c:v>
                </c:pt>
                <c:pt idx="341">
                  <c:v>0.82443446926473041</c:v>
                </c:pt>
                <c:pt idx="342">
                  <c:v>0.82395713202844034</c:v>
                </c:pt>
                <c:pt idx="343">
                  <c:v>0.82367673658457075</c:v>
                </c:pt>
                <c:pt idx="344">
                  <c:v>0.82322912539212167</c:v>
                </c:pt>
                <c:pt idx="345">
                  <c:v>0.8228174160566244</c:v>
                </c:pt>
                <c:pt idx="346">
                  <c:v>0.82237354277431085</c:v>
                </c:pt>
                <c:pt idx="347">
                  <c:v>0.8217987010987633</c:v>
                </c:pt>
                <c:pt idx="348">
                  <c:v>0.82135260080723538</c:v>
                </c:pt>
                <c:pt idx="349">
                  <c:v>0.82088746214790509</c:v>
                </c:pt>
                <c:pt idx="350">
                  <c:v>0.82052288603866419</c:v>
                </c:pt>
                <c:pt idx="351">
                  <c:v>0.82011342460550718</c:v>
                </c:pt>
                <c:pt idx="352">
                  <c:v>0.81951731093148517</c:v>
                </c:pt>
                <c:pt idx="353">
                  <c:v>0.81939966142305021</c:v>
                </c:pt>
                <c:pt idx="354">
                  <c:v>0.81866398144751518</c:v>
                </c:pt>
                <c:pt idx="355">
                  <c:v>0.81826806158861798</c:v>
                </c:pt>
                <c:pt idx="356">
                  <c:v>0.81779468918844345</c:v>
                </c:pt>
                <c:pt idx="357">
                  <c:v>0.81745006676583321</c:v>
                </c:pt>
                <c:pt idx="358">
                  <c:v>0.81699986323688834</c:v>
                </c:pt>
                <c:pt idx="359">
                  <c:v>0.81636958898099987</c:v>
                </c:pt>
                <c:pt idx="360">
                  <c:v>0.81604543249586869</c:v>
                </c:pt>
                <c:pt idx="361">
                  <c:v>0.81576219151288276</c:v>
                </c:pt>
                <c:pt idx="362">
                  <c:v>0.81522137830818342</c:v>
                </c:pt>
                <c:pt idx="363">
                  <c:v>0.81471156590791127</c:v>
                </c:pt>
                <c:pt idx="364">
                  <c:v>0.81443739902888657</c:v>
                </c:pt>
                <c:pt idx="365">
                  <c:v>0.81409175218179075</c:v>
                </c:pt>
                <c:pt idx="366">
                  <c:v>0.81358601512430329</c:v>
                </c:pt>
                <c:pt idx="367">
                  <c:v>0.8131927796815035</c:v>
                </c:pt>
                <c:pt idx="368">
                  <c:v>0.81257341978789266</c:v>
                </c:pt>
                <c:pt idx="369">
                  <c:v>0.81221405010817149</c:v>
                </c:pt>
                <c:pt idx="370">
                  <c:v>0.81189267172463331</c:v>
                </c:pt>
                <c:pt idx="371">
                  <c:v>0.81147923688304124</c:v>
                </c:pt>
                <c:pt idx="372">
                  <c:v>0.81121755622652814</c:v>
                </c:pt>
                <c:pt idx="373">
                  <c:v>0.81050940357953372</c:v>
                </c:pt>
                <c:pt idx="374">
                  <c:v>0.81024262163952998</c:v>
                </c:pt>
                <c:pt idx="375">
                  <c:v>0.80985521351419065</c:v>
                </c:pt>
                <c:pt idx="376">
                  <c:v>0.80952312779515612</c:v>
                </c:pt>
                <c:pt idx="377">
                  <c:v>0.80914855730965596</c:v>
                </c:pt>
                <c:pt idx="378">
                  <c:v>0.80860306569545726</c:v>
                </c:pt>
                <c:pt idx="379">
                  <c:v>0.80814409335301474</c:v>
                </c:pt>
                <c:pt idx="380">
                  <c:v>0.80773770921868948</c:v>
                </c:pt>
                <c:pt idx="381">
                  <c:v>0.80740289487076589</c:v>
                </c:pt>
                <c:pt idx="382">
                  <c:v>0.80700738147912987</c:v>
                </c:pt>
                <c:pt idx="383">
                  <c:v>0.806543565147679</c:v>
                </c:pt>
                <c:pt idx="384">
                  <c:v>0.80636964774996678</c:v>
                </c:pt>
                <c:pt idx="385">
                  <c:v>0.80573546360566961</c:v>
                </c:pt>
                <c:pt idx="386">
                  <c:v>0.805291955544439</c:v>
                </c:pt>
                <c:pt idx="387">
                  <c:v>0.80502972580488519</c:v>
                </c:pt>
                <c:pt idx="388">
                  <c:v>0.80458034594875572</c:v>
                </c:pt>
                <c:pt idx="389">
                  <c:v>0.80419195914702013</c:v>
                </c:pt>
                <c:pt idx="390">
                  <c:v>0.80373073996166844</c:v>
                </c:pt>
                <c:pt idx="391">
                  <c:v>0.80340926684087344</c:v>
                </c:pt>
                <c:pt idx="392">
                  <c:v>0.80310257375534422</c:v>
                </c:pt>
                <c:pt idx="393">
                  <c:v>0.80279095799892941</c:v>
                </c:pt>
                <c:pt idx="394">
                  <c:v>0.80229854590087546</c:v>
                </c:pt>
                <c:pt idx="395">
                  <c:v>0.80176248665148486</c:v>
                </c:pt>
                <c:pt idx="396">
                  <c:v>0.80152469957528494</c:v>
                </c:pt>
                <c:pt idx="397">
                  <c:v>0.80114037338866084</c:v>
                </c:pt>
                <c:pt idx="398">
                  <c:v>0.80047707279720748</c:v>
                </c:pt>
                <c:pt idx="399">
                  <c:v>0.80045901759159988</c:v>
                </c:pt>
                <c:pt idx="400">
                  <c:v>0.79998339687662068</c:v>
                </c:pt>
                <c:pt idx="401">
                  <c:v>0.79954600583724877</c:v>
                </c:pt>
                <c:pt idx="402">
                  <c:v>0.79914826020092355</c:v>
                </c:pt>
                <c:pt idx="403">
                  <c:v>0.79870670336713845</c:v>
                </c:pt>
                <c:pt idx="404">
                  <c:v>0.79832474259472974</c:v>
                </c:pt>
                <c:pt idx="405">
                  <c:v>0.79795275792429543</c:v>
                </c:pt>
                <c:pt idx="406">
                  <c:v>0.79759264170067534</c:v>
                </c:pt>
                <c:pt idx="407">
                  <c:v>0.79700777948645318</c:v>
                </c:pt>
                <c:pt idx="408">
                  <c:v>0.79658940750505514</c:v>
                </c:pt>
                <c:pt idx="409">
                  <c:v>0.79624202979007275</c:v>
                </c:pt>
                <c:pt idx="410">
                  <c:v>0.79598735527809461</c:v>
                </c:pt>
                <c:pt idx="411">
                  <c:v>0.7955500009416645</c:v>
                </c:pt>
                <c:pt idx="412">
                  <c:v>0.79518419657117412</c:v>
                </c:pt>
                <c:pt idx="413">
                  <c:v>0.79463008568206173</c:v>
                </c:pt>
                <c:pt idx="414">
                  <c:v>0.79422855086744115</c:v>
                </c:pt>
                <c:pt idx="415">
                  <c:v>0.79394165793552685</c:v>
                </c:pt>
                <c:pt idx="416">
                  <c:v>0.79336037611172538</c:v>
                </c:pt>
                <c:pt idx="417">
                  <c:v>0.7931283731548936</c:v>
                </c:pt>
                <c:pt idx="418">
                  <c:v>0.79264530258650279</c:v>
                </c:pt>
                <c:pt idx="419">
                  <c:v>0.79228527235920576</c:v>
                </c:pt>
                <c:pt idx="420">
                  <c:v>0.79186423279103846</c:v>
                </c:pt>
                <c:pt idx="421">
                  <c:v>0.79159175985761554</c:v>
                </c:pt>
                <c:pt idx="422">
                  <c:v>0.79098991109743089</c:v>
                </c:pt>
                <c:pt idx="423">
                  <c:v>0.79074531941797888</c:v>
                </c:pt>
                <c:pt idx="424">
                  <c:v>0.79034911346788628</c:v>
                </c:pt>
                <c:pt idx="425">
                  <c:v>0.78990536084617435</c:v>
                </c:pt>
                <c:pt idx="426">
                  <c:v>0.78955481346628431</c:v>
                </c:pt>
                <c:pt idx="427">
                  <c:v>0.7891803351078539</c:v>
                </c:pt>
                <c:pt idx="428">
                  <c:v>0.78883339273662312</c:v>
                </c:pt>
                <c:pt idx="429">
                  <c:v>0.78838337781152257</c:v>
                </c:pt>
                <c:pt idx="430">
                  <c:v>0.78807672099370374</c:v>
                </c:pt>
                <c:pt idx="431">
                  <c:v>0.78752958710071885</c:v>
                </c:pt>
                <c:pt idx="432">
                  <c:v>0.7871833229486872</c:v>
                </c:pt>
                <c:pt idx="433">
                  <c:v>0.78685659594249979</c:v>
                </c:pt>
                <c:pt idx="434">
                  <c:v>0.78651051331860733</c:v>
                </c:pt>
                <c:pt idx="435">
                  <c:v>0.78612390057253467</c:v>
                </c:pt>
                <c:pt idx="436">
                  <c:v>0.78561581598312469</c:v>
                </c:pt>
                <c:pt idx="437">
                  <c:v>0.78523459742156299</c:v>
                </c:pt>
                <c:pt idx="438">
                  <c:v>0.78476008466836766</c:v>
                </c:pt>
                <c:pt idx="439">
                  <c:v>0.78446285722277731</c:v>
                </c:pt>
                <c:pt idx="440">
                  <c:v>0.78415286551647889</c:v>
                </c:pt>
                <c:pt idx="441">
                  <c:v>0.7836413091910539</c:v>
                </c:pt>
                <c:pt idx="442">
                  <c:v>0.78340154261205674</c:v>
                </c:pt>
                <c:pt idx="443">
                  <c:v>0.7829829666929653</c:v>
                </c:pt>
                <c:pt idx="444">
                  <c:v>0.78259067690104056</c:v>
                </c:pt>
                <c:pt idx="445">
                  <c:v>0.78219047539606001</c:v>
                </c:pt>
                <c:pt idx="446">
                  <c:v>0.78187227415198202</c:v>
                </c:pt>
                <c:pt idx="447">
                  <c:v>0.78147727080094631</c:v>
                </c:pt>
                <c:pt idx="448">
                  <c:v>0.78109398240986438</c:v>
                </c:pt>
                <c:pt idx="449">
                  <c:v>0.78075109275038013</c:v>
                </c:pt>
                <c:pt idx="450">
                  <c:v>0.78011808416096051</c:v>
                </c:pt>
                <c:pt idx="451">
                  <c:v>0.77983316533740799</c:v>
                </c:pt>
                <c:pt idx="452">
                  <c:v>0.77963566756728475</c:v>
                </c:pt>
                <c:pt idx="453">
                  <c:v>0.77909240235291455</c:v>
                </c:pt>
                <c:pt idx="454">
                  <c:v>0.77882752052368709</c:v>
                </c:pt>
                <c:pt idx="455">
                  <c:v>0.77842732479498011</c:v>
                </c:pt>
                <c:pt idx="456">
                  <c:v>0.77797529719394376</c:v>
                </c:pt>
                <c:pt idx="457">
                  <c:v>0.7775868761455883</c:v>
                </c:pt>
                <c:pt idx="458">
                  <c:v>0.77727214258382993</c:v>
                </c:pt>
                <c:pt idx="459">
                  <c:v>0.77679694180873693</c:v>
                </c:pt>
                <c:pt idx="460">
                  <c:v>0.77641004643380129</c:v>
                </c:pt>
                <c:pt idx="461">
                  <c:v>0.77619105363293861</c:v>
                </c:pt>
                <c:pt idx="462">
                  <c:v>0.77566176496391437</c:v>
                </c:pt>
                <c:pt idx="463">
                  <c:v>0.77528340754894398</c:v>
                </c:pt>
                <c:pt idx="464">
                  <c:v>0.77483926308597928</c:v>
                </c:pt>
                <c:pt idx="465">
                  <c:v>0.77435793464562774</c:v>
                </c:pt>
                <c:pt idx="466">
                  <c:v>0.7740313474495033</c:v>
                </c:pt>
                <c:pt idx="467">
                  <c:v>0.77370596376685885</c:v>
                </c:pt>
                <c:pt idx="468">
                  <c:v>0.77333100067662353</c:v>
                </c:pt>
                <c:pt idx="469">
                  <c:v>0.77292505800088407</c:v>
                </c:pt>
                <c:pt idx="470">
                  <c:v>0.77257529039779715</c:v>
                </c:pt>
                <c:pt idx="471">
                  <c:v>0.77215157383347244</c:v>
                </c:pt>
                <c:pt idx="472">
                  <c:v>0.77172693533829628</c:v>
                </c:pt>
                <c:pt idx="473">
                  <c:v>0.77142717754532542</c:v>
                </c:pt>
                <c:pt idx="474">
                  <c:v>0.77099196333642528</c:v>
                </c:pt>
                <c:pt idx="475">
                  <c:v>0.77052552816450814</c:v>
                </c:pt>
                <c:pt idx="476">
                  <c:v>0.77011012061966844</c:v>
                </c:pt>
                <c:pt idx="477">
                  <c:v>0.76958140649648932</c:v>
                </c:pt>
                <c:pt idx="478">
                  <c:v>0.76932329730846372</c:v>
                </c:pt>
                <c:pt idx="479">
                  <c:v>0.76872736640133554</c:v>
                </c:pt>
                <c:pt idx="480">
                  <c:v>0.76835567011959482</c:v>
                </c:pt>
                <c:pt idx="481">
                  <c:v>0.76798683716183869</c:v>
                </c:pt>
                <c:pt idx="482">
                  <c:v>0.76750197446226498</c:v>
                </c:pt>
                <c:pt idx="483">
                  <c:v>0.76713628057794148</c:v>
                </c:pt>
                <c:pt idx="484">
                  <c:v>0.76662189928777635</c:v>
                </c:pt>
                <c:pt idx="485">
                  <c:v>0.76630720131067864</c:v>
                </c:pt>
                <c:pt idx="486">
                  <c:v>0.76594460439593948</c:v>
                </c:pt>
                <c:pt idx="487">
                  <c:v>0.76558770534773402</c:v>
                </c:pt>
                <c:pt idx="488">
                  <c:v>0.76511400686172337</c:v>
                </c:pt>
                <c:pt idx="489">
                  <c:v>0.76452534973939801</c:v>
                </c:pt>
                <c:pt idx="490">
                  <c:v>0.76439737237234251</c:v>
                </c:pt>
                <c:pt idx="491">
                  <c:v>0.76386727398572596</c:v>
                </c:pt>
                <c:pt idx="492">
                  <c:v>0.76363945058889249</c:v>
                </c:pt>
                <c:pt idx="493">
                  <c:v>0.76321093872849322</c:v>
                </c:pt>
                <c:pt idx="494">
                  <c:v>0.76284584894445662</c:v>
                </c:pt>
                <c:pt idx="495">
                  <c:v>0.76241358257389258</c:v>
                </c:pt>
                <c:pt idx="496">
                  <c:v>0.7621995247310791</c:v>
                </c:pt>
                <c:pt idx="497">
                  <c:v>0.76157863915508872</c:v>
                </c:pt>
                <c:pt idx="498">
                  <c:v>0.76133055603583699</c:v>
                </c:pt>
                <c:pt idx="499">
                  <c:v>0.76096825895834763</c:v>
                </c:pt>
                <c:pt idx="500">
                  <c:v>0.76058319577891209</c:v>
                </c:pt>
                <c:pt idx="501">
                  <c:v>0.76023107695798231</c:v>
                </c:pt>
                <c:pt idx="502">
                  <c:v>0.75986934402714912</c:v>
                </c:pt>
                <c:pt idx="503">
                  <c:v>0.75938309694706796</c:v>
                </c:pt>
                <c:pt idx="504">
                  <c:v>0.75899432053028359</c:v>
                </c:pt>
                <c:pt idx="505">
                  <c:v>0.75864528336514425</c:v>
                </c:pt>
                <c:pt idx="506">
                  <c:v>0.75843530245533763</c:v>
                </c:pt>
                <c:pt idx="507">
                  <c:v>0.75802535105621571</c:v>
                </c:pt>
                <c:pt idx="508">
                  <c:v>0.75762383496080088</c:v>
                </c:pt>
                <c:pt idx="509">
                  <c:v>0.75725717618003219</c:v>
                </c:pt>
                <c:pt idx="510">
                  <c:v>0.7568264942739249</c:v>
                </c:pt>
                <c:pt idx="511">
                  <c:v>0.75638858198698367</c:v>
                </c:pt>
                <c:pt idx="512">
                  <c:v>0.75613060162039891</c:v>
                </c:pt>
                <c:pt idx="513">
                  <c:v>0.75575006121727528</c:v>
                </c:pt>
                <c:pt idx="514">
                  <c:v>0.75535031377028028</c:v>
                </c:pt>
                <c:pt idx="515">
                  <c:v>0.75494329123462778</c:v>
                </c:pt>
                <c:pt idx="516">
                  <c:v>0.75462973604559602</c:v>
                </c:pt>
                <c:pt idx="517">
                  <c:v>0.75433359590263149</c:v>
                </c:pt>
                <c:pt idx="518">
                  <c:v>0.75388830522324546</c:v>
                </c:pt>
                <c:pt idx="519">
                  <c:v>0.75359590440894109</c:v>
                </c:pt>
                <c:pt idx="520">
                  <c:v>0.7531400808007882</c:v>
                </c:pt>
                <c:pt idx="521">
                  <c:v>0.75278444672176681</c:v>
                </c:pt>
                <c:pt idx="522">
                  <c:v>0.75257473137068054</c:v>
                </c:pt>
                <c:pt idx="523">
                  <c:v>0.75194985417335491</c:v>
                </c:pt>
                <c:pt idx="524">
                  <c:v>0.75158987765626217</c:v>
                </c:pt>
                <c:pt idx="525">
                  <c:v>0.75128121657981395</c:v>
                </c:pt>
                <c:pt idx="526">
                  <c:v>0.75101306525012013</c:v>
                </c:pt>
                <c:pt idx="527">
                  <c:v>0.75061885128689432</c:v>
                </c:pt>
                <c:pt idx="528">
                  <c:v>0.75029422724828088</c:v>
                </c:pt>
                <c:pt idx="529">
                  <c:v>0.74979265510168602</c:v>
                </c:pt>
                <c:pt idx="530">
                  <c:v>0.74961780127915945</c:v>
                </c:pt>
                <c:pt idx="531">
                  <c:v>0.74917584103733392</c:v>
                </c:pt>
                <c:pt idx="532">
                  <c:v>0.74867821312112182</c:v>
                </c:pt>
                <c:pt idx="533">
                  <c:v>0.74815172881407188</c:v>
                </c:pt>
                <c:pt idx="534">
                  <c:v>0.74783576311211564</c:v>
                </c:pt>
                <c:pt idx="535">
                  <c:v>0.74737444463847358</c:v>
                </c:pt>
                <c:pt idx="536">
                  <c:v>0.74700550758378403</c:v>
                </c:pt>
                <c:pt idx="537">
                  <c:v>0.74673688806135952</c:v>
                </c:pt>
                <c:pt idx="538">
                  <c:v>0.74622032305129593</c:v>
                </c:pt>
                <c:pt idx="539">
                  <c:v>0.74582404647089651</c:v>
                </c:pt>
                <c:pt idx="540">
                  <c:v>0.74528270271368124</c:v>
                </c:pt>
                <c:pt idx="541">
                  <c:v>0.74500178856036858</c:v>
                </c:pt>
                <c:pt idx="542">
                  <c:v>0.74461487916862756</c:v>
                </c:pt>
                <c:pt idx="543">
                  <c:v>0.74415351346561376</c:v>
                </c:pt>
                <c:pt idx="544">
                  <c:v>0.74380152119077936</c:v>
                </c:pt>
                <c:pt idx="545">
                  <c:v>0.74345398691074172</c:v>
                </c:pt>
                <c:pt idx="546">
                  <c:v>0.7430859943810626</c:v>
                </c:pt>
                <c:pt idx="547">
                  <c:v>0.74272169287113177</c:v>
                </c:pt>
                <c:pt idx="548">
                  <c:v>0.74228684022149949</c:v>
                </c:pt>
                <c:pt idx="549">
                  <c:v>0.74186939519567208</c:v>
                </c:pt>
                <c:pt idx="550">
                  <c:v>0.74138745457723243</c:v>
                </c:pt>
                <c:pt idx="551">
                  <c:v>0.74111368591850069</c:v>
                </c:pt>
                <c:pt idx="552">
                  <c:v>0.74082185529255629</c:v>
                </c:pt>
                <c:pt idx="553">
                  <c:v>0.74025270111302155</c:v>
                </c:pt>
                <c:pt idx="554">
                  <c:v>0.73984710526141462</c:v>
                </c:pt>
                <c:pt idx="555">
                  <c:v>0.73953268599572752</c:v>
                </c:pt>
                <c:pt idx="556">
                  <c:v>0.73920587983289665</c:v>
                </c:pt>
                <c:pt idx="557">
                  <c:v>0.738768679863128</c:v>
                </c:pt>
                <c:pt idx="558">
                  <c:v>0.7384331567830581</c:v>
                </c:pt>
                <c:pt idx="559">
                  <c:v>0.7379812448231825</c:v>
                </c:pt>
                <c:pt idx="560">
                  <c:v>0.73766177397811517</c:v>
                </c:pt>
                <c:pt idx="561">
                  <c:v>0.73705420715708603</c:v>
                </c:pt>
                <c:pt idx="562">
                  <c:v>0.73666550209434722</c:v>
                </c:pt>
                <c:pt idx="563">
                  <c:v>0.73629599398576395</c:v>
                </c:pt>
                <c:pt idx="564">
                  <c:v>0.73598921949677354</c:v>
                </c:pt>
                <c:pt idx="565">
                  <c:v>0.73543322222598317</c:v>
                </c:pt>
                <c:pt idx="566">
                  <c:v>0.73517755123794359</c:v>
                </c:pt>
                <c:pt idx="567">
                  <c:v>0.73473742824043586</c:v>
                </c:pt>
                <c:pt idx="568">
                  <c:v>0.73436809640487666</c:v>
                </c:pt>
                <c:pt idx="569">
                  <c:v>0.7338643757994856</c:v>
                </c:pt>
                <c:pt idx="570">
                  <c:v>0.73349077147970254</c:v>
                </c:pt>
                <c:pt idx="571">
                  <c:v>0.73304525620648875</c:v>
                </c:pt>
                <c:pt idx="572">
                  <c:v>0.73242115336123303</c:v>
                </c:pt>
                <c:pt idx="573">
                  <c:v>0.73218832217518437</c:v>
                </c:pt>
                <c:pt idx="574">
                  <c:v>0.73187204208947765</c:v>
                </c:pt>
                <c:pt idx="575">
                  <c:v>0.7317093737478253</c:v>
                </c:pt>
                <c:pt idx="576">
                  <c:v>0.73114525137135178</c:v>
                </c:pt>
                <c:pt idx="577">
                  <c:v>0.73060677620978554</c:v>
                </c:pt>
                <c:pt idx="578">
                  <c:v>0.73026575781800973</c:v>
                </c:pt>
                <c:pt idx="579">
                  <c:v>0.73010977336661576</c:v>
                </c:pt>
                <c:pt idx="580">
                  <c:v>0.72958633339314694</c:v>
                </c:pt>
                <c:pt idx="581">
                  <c:v>0.7293368191810774</c:v>
                </c:pt>
                <c:pt idx="582">
                  <c:v>0.72885932518247687</c:v>
                </c:pt>
                <c:pt idx="583">
                  <c:v>0.72859990765241833</c:v>
                </c:pt>
                <c:pt idx="584">
                  <c:v>0.72815037885936151</c:v>
                </c:pt>
                <c:pt idx="585">
                  <c:v>0.72774495409849782</c:v>
                </c:pt>
                <c:pt idx="586">
                  <c:v>0.72731021050624101</c:v>
                </c:pt>
                <c:pt idx="587">
                  <c:v>0.72705325594081049</c:v>
                </c:pt>
                <c:pt idx="588">
                  <c:v>0.7266008808504929</c:v>
                </c:pt>
                <c:pt idx="589">
                  <c:v>0.72615465005692637</c:v>
                </c:pt>
                <c:pt idx="590">
                  <c:v>0.72575679660645609</c:v>
                </c:pt>
                <c:pt idx="591">
                  <c:v>0.72540095516978886</c:v>
                </c:pt>
                <c:pt idx="592">
                  <c:v>0.72510112472077581</c:v>
                </c:pt>
                <c:pt idx="593">
                  <c:v>0.72465431107159006</c:v>
                </c:pt>
                <c:pt idx="594">
                  <c:v>0.72418376133555262</c:v>
                </c:pt>
                <c:pt idx="595">
                  <c:v>0.72385694188454919</c:v>
                </c:pt>
                <c:pt idx="596">
                  <c:v>0.72359261851745538</c:v>
                </c:pt>
                <c:pt idx="597">
                  <c:v>0.7231152894224574</c:v>
                </c:pt>
                <c:pt idx="598">
                  <c:v>0.72278560127731351</c:v>
                </c:pt>
                <c:pt idx="599">
                  <c:v>0.72236619469345498</c:v>
                </c:pt>
                <c:pt idx="600">
                  <c:v>0.72203681797728136</c:v>
                </c:pt>
                <c:pt idx="601">
                  <c:v>0.72167397090000396</c:v>
                </c:pt>
                <c:pt idx="602">
                  <c:v>0.72121035525064314</c:v>
                </c:pt>
                <c:pt idx="603">
                  <c:v>0.72084092454951199</c:v>
                </c:pt>
                <c:pt idx="604">
                  <c:v>0.72050168332440989</c:v>
                </c:pt>
                <c:pt idx="605">
                  <c:v>0.72028800306898899</c:v>
                </c:pt>
                <c:pt idx="606">
                  <c:v>0.7197188372023926</c:v>
                </c:pt>
                <c:pt idx="607">
                  <c:v>0.71932145943405856</c:v>
                </c:pt>
                <c:pt idx="608">
                  <c:v>0.71885385634510413</c:v>
                </c:pt>
                <c:pt idx="609">
                  <c:v>0.71841670122620549</c:v>
                </c:pt>
                <c:pt idx="610">
                  <c:v>0.71825218440556726</c:v>
                </c:pt>
                <c:pt idx="611">
                  <c:v>0.71797665001365796</c:v>
                </c:pt>
                <c:pt idx="612">
                  <c:v>0.71755795313694437</c:v>
                </c:pt>
                <c:pt idx="613">
                  <c:v>0.7171513997423995</c:v>
                </c:pt>
                <c:pt idx="614">
                  <c:v>0.71652567403059886</c:v>
                </c:pt>
                <c:pt idx="615">
                  <c:v>0.71635225757026655</c:v>
                </c:pt>
                <c:pt idx="616">
                  <c:v>0.71605181298507592</c:v>
                </c:pt>
                <c:pt idx="617">
                  <c:v>0.71561859488907398</c:v>
                </c:pt>
                <c:pt idx="618">
                  <c:v>0.71527189514379796</c:v>
                </c:pt>
                <c:pt idx="619">
                  <c:v>0.71468706478156141</c:v>
                </c:pt>
                <c:pt idx="620">
                  <c:v>0.71457217047518085</c:v>
                </c:pt>
                <c:pt idx="621">
                  <c:v>0.71407994135292796</c:v>
                </c:pt>
                <c:pt idx="622">
                  <c:v>0.71347400506006542</c:v>
                </c:pt>
                <c:pt idx="623">
                  <c:v>0.71315064750805635</c:v>
                </c:pt>
                <c:pt idx="624">
                  <c:v>0.71290020687456357</c:v>
                </c:pt>
                <c:pt idx="625">
                  <c:v>0.71245856705461985</c:v>
                </c:pt>
                <c:pt idx="626">
                  <c:v>0.71202026977944155</c:v>
                </c:pt>
                <c:pt idx="627">
                  <c:v>0.71179542305076193</c:v>
                </c:pt>
                <c:pt idx="628">
                  <c:v>0.71125494118226351</c:v>
                </c:pt>
                <c:pt idx="629">
                  <c:v>0.71099348820057917</c:v>
                </c:pt>
                <c:pt idx="630">
                  <c:v>0.71055939177634297</c:v>
                </c:pt>
                <c:pt idx="631">
                  <c:v>0.71036294177292725</c:v>
                </c:pt>
                <c:pt idx="632">
                  <c:v>0.70990707165493416</c:v>
                </c:pt>
                <c:pt idx="633">
                  <c:v>0.7096261535275955</c:v>
                </c:pt>
                <c:pt idx="634">
                  <c:v>0.70931857938433374</c:v>
                </c:pt>
                <c:pt idx="635">
                  <c:v>0.7086773823371123</c:v>
                </c:pt>
                <c:pt idx="636">
                  <c:v>0.70841953886694775</c:v>
                </c:pt>
                <c:pt idx="637">
                  <c:v>0.70812295410831416</c:v>
                </c:pt>
                <c:pt idx="638">
                  <c:v>0.70772296117358202</c:v>
                </c:pt>
                <c:pt idx="639">
                  <c:v>0.70724792206320908</c:v>
                </c:pt>
                <c:pt idx="640">
                  <c:v>0.70690223145209485</c:v>
                </c:pt>
                <c:pt idx="641">
                  <c:v>0.70669468280851588</c:v>
                </c:pt>
                <c:pt idx="642">
                  <c:v>0.70622209065145136</c:v>
                </c:pt>
                <c:pt idx="643">
                  <c:v>0.70597857235968531</c:v>
                </c:pt>
                <c:pt idx="644">
                  <c:v>0.70559018983518429</c:v>
                </c:pt>
                <c:pt idx="645">
                  <c:v>0.70525540039038481</c:v>
                </c:pt>
                <c:pt idx="646">
                  <c:v>0.70476221709432485</c:v>
                </c:pt>
                <c:pt idx="647">
                  <c:v>0.70449904477871195</c:v>
                </c:pt>
                <c:pt idx="648">
                  <c:v>0.70412787453352066</c:v>
                </c:pt>
                <c:pt idx="649">
                  <c:v>0.70389175419518579</c:v>
                </c:pt>
                <c:pt idx="650">
                  <c:v>0.70346862225905904</c:v>
                </c:pt>
                <c:pt idx="651">
                  <c:v>0.70335429450221154</c:v>
                </c:pt>
                <c:pt idx="652">
                  <c:v>0.70280913562350777</c:v>
                </c:pt>
                <c:pt idx="653">
                  <c:v>0.70258118070330866</c:v>
                </c:pt>
                <c:pt idx="654">
                  <c:v>0.70212672185174896</c:v>
                </c:pt>
                <c:pt idx="655">
                  <c:v>0.70183987101440359</c:v>
                </c:pt>
                <c:pt idx="656">
                  <c:v>0.70136706358845047</c:v>
                </c:pt>
                <c:pt idx="657">
                  <c:v>0.70117149254134725</c:v>
                </c:pt>
                <c:pt idx="658">
                  <c:v>0.70085398104180974</c:v>
                </c:pt>
                <c:pt idx="659">
                  <c:v>0.70038750343648393</c:v>
                </c:pt>
                <c:pt idx="660">
                  <c:v>0.6999083304021787</c:v>
                </c:pt>
                <c:pt idx="661">
                  <c:v>0.69948753749799131</c:v>
                </c:pt>
                <c:pt idx="662">
                  <c:v>0.69902869189640415</c:v>
                </c:pt>
                <c:pt idx="663">
                  <c:v>0.69878146754651338</c:v>
                </c:pt>
                <c:pt idx="664">
                  <c:v>0.69848103164792541</c:v>
                </c:pt>
                <c:pt idx="665">
                  <c:v>0.69801328709263177</c:v>
                </c:pt>
                <c:pt idx="666">
                  <c:v>0.69769712906025361</c:v>
                </c:pt>
                <c:pt idx="667">
                  <c:v>0.69716425314085473</c:v>
                </c:pt>
                <c:pt idx="668">
                  <c:v>0.69686985618096409</c:v>
                </c:pt>
                <c:pt idx="669">
                  <c:v>0.6964049685440481</c:v>
                </c:pt>
                <c:pt idx="670">
                  <c:v>0.69611110584194347</c:v>
                </c:pt>
                <c:pt idx="671">
                  <c:v>0.69544332800756492</c:v>
                </c:pt>
                <c:pt idx="672">
                  <c:v>0.69515084916465508</c:v>
                </c:pt>
                <c:pt idx="673">
                  <c:v>0.6946847338640374</c:v>
                </c:pt>
                <c:pt idx="674">
                  <c:v>0.69422198762630261</c:v>
                </c:pt>
                <c:pt idx="675">
                  <c:v>0.69376418714274968</c:v>
                </c:pt>
                <c:pt idx="676">
                  <c:v>0.69350189058887057</c:v>
                </c:pt>
                <c:pt idx="677">
                  <c:v>0.69299472362083403</c:v>
                </c:pt>
                <c:pt idx="678">
                  <c:v>0.69274261869396647</c:v>
                </c:pt>
                <c:pt idx="679">
                  <c:v>0.69247806311581961</c:v>
                </c:pt>
                <c:pt idx="680">
                  <c:v>0.69198915290597851</c:v>
                </c:pt>
                <c:pt idx="681">
                  <c:v>0.69156391139019735</c:v>
                </c:pt>
                <c:pt idx="682">
                  <c:v>0.69135065211822233</c:v>
                </c:pt>
                <c:pt idx="683">
                  <c:v>0.69092108545226638</c:v>
                </c:pt>
                <c:pt idx="684">
                  <c:v>0.69058945205570399</c:v>
                </c:pt>
                <c:pt idx="685">
                  <c:v>0.69016474116145587</c:v>
                </c:pt>
                <c:pt idx="686">
                  <c:v>0.68983044203073085</c:v>
                </c:pt>
                <c:pt idx="687">
                  <c:v>0.68935701234645741</c:v>
                </c:pt>
                <c:pt idx="688">
                  <c:v>0.68920346032245194</c:v>
                </c:pt>
                <c:pt idx="689">
                  <c:v>0.68894530527438069</c:v>
                </c:pt>
                <c:pt idx="690">
                  <c:v>0.68852550196241791</c:v>
                </c:pt>
                <c:pt idx="691">
                  <c:v>0.68816911868300423</c:v>
                </c:pt>
                <c:pt idx="692">
                  <c:v>0.68785802246693273</c:v>
                </c:pt>
                <c:pt idx="693">
                  <c:v>0.68763644678834912</c:v>
                </c:pt>
                <c:pt idx="694">
                  <c:v>0.68727575481256864</c:v>
                </c:pt>
                <c:pt idx="695">
                  <c:v>0.68689498722122455</c:v>
                </c:pt>
                <c:pt idx="696">
                  <c:v>0.68666122992115775</c:v>
                </c:pt>
                <c:pt idx="697">
                  <c:v>0.68632662914492459</c:v>
                </c:pt>
                <c:pt idx="698">
                  <c:v>0.68584812182612942</c:v>
                </c:pt>
                <c:pt idx="699">
                  <c:v>0.68555062156877711</c:v>
                </c:pt>
                <c:pt idx="700">
                  <c:v>0.68517225418565786</c:v>
                </c:pt>
                <c:pt idx="701">
                  <c:v>0.68495935044153999</c:v>
                </c:pt>
                <c:pt idx="702">
                  <c:v>0.68458501215381906</c:v>
                </c:pt>
                <c:pt idx="703">
                  <c:v>0.68429482781310336</c:v>
                </c:pt>
                <c:pt idx="704">
                  <c:v>0.68407579271002483</c:v>
                </c:pt>
                <c:pt idx="705">
                  <c:v>0.68360582119785629</c:v>
                </c:pt>
                <c:pt idx="706">
                  <c:v>0.68321535568005387</c:v>
                </c:pt>
                <c:pt idx="707">
                  <c:v>0.68302513432334089</c:v>
                </c:pt>
                <c:pt idx="708">
                  <c:v>0.68251959471384593</c:v>
                </c:pt>
                <c:pt idx="709">
                  <c:v>0.68222965875235486</c:v>
                </c:pt>
                <c:pt idx="710">
                  <c:v>0.68169133608245547</c:v>
                </c:pt>
                <c:pt idx="711">
                  <c:v>0.68162504547550284</c:v>
                </c:pt>
                <c:pt idx="712">
                  <c:v>0.68125491746279798</c:v>
                </c:pt>
                <c:pt idx="713">
                  <c:v>0.68086510889536189</c:v>
                </c:pt>
                <c:pt idx="714">
                  <c:v>0.68048619223817375</c:v>
                </c:pt>
                <c:pt idx="715">
                  <c:v>0.68022333270135138</c:v>
                </c:pt>
                <c:pt idx="716">
                  <c:v>0.67976248424258301</c:v>
                </c:pt>
                <c:pt idx="717">
                  <c:v>0.67914042028142663</c:v>
                </c:pt>
                <c:pt idx="718">
                  <c:v>0.67906238077732595</c:v>
                </c:pt>
                <c:pt idx="719">
                  <c:v>0.67878720008481408</c:v>
                </c:pt>
                <c:pt idx="720">
                  <c:v>0.67830486551073432</c:v>
                </c:pt>
                <c:pt idx="721">
                  <c:v>0.67800448360328214</c:v>
                </c:pt>
                <c:pt idx="722">
                  <c:v>0.677817723328068</c:v>
                </c:pt>
                <c:pt idx="723">
                  <c:v>0.6774479350088557</c:v>
                </c:pt>
                <c:pt idx="724">
                  <c:v>0.67708027802000581</c:v>
                </c:pt>
                <c:pt idx="725">
                  <c:v>0.67687815482121971</c:v>
                </c:pt>
                <c:pt idx="726">
                  <c:v>0.67648512301399322</c:v>
                </c:pt>
                <c:pt idx="727">
                  <c:v>0.67627449506614423</c:v>
                </c:pt>
                <c:pt idx="728">
                  <c:v>0.67584552313151458</c:v>
                </c:pt>
                <c:pt idx="729">
                  <c:v>0.67547592803218426</c:v>
                </c:pt>
                <c:pt idx="730">
                  <c:v>0.67516133343351636</c:v>
                </c:pt>
                <c:pt idx="731">
                  <c:v>0.67489373735712177</c:v>
                </c:pt>
                <c:pt idx="732">
                  <c:v>0.67454412037689226</c:v>
                </c:pt>
                <c:pt idx="733">
                  <c:v>0.67415639289165485</c:v>
                </c:pt>
                <c:pt idx="734">
                  <c:v>0.67369201345124785</c:v>
                </c:pt>
                <c:pt idx="735">
                  <c:v>0.6734967170218743</c:v>
                </c:pt>
                <c:pt idx="736">
                  <c:v>0.67324097739399591</c:v>
                </c:pt>
                <c:pt idx="737">
                  <c:v>0.672820901279784</c:v>
                </c:pt>
                <c:pt idx="738">
                  <c:v>0.67255673255519322</c:v>
                </c:pt>
                <c:pt idx="739">
                  <c:v>0.67223460168221838</c:v>
                </c:pt>
                <c:pt idx="740">
                  <c:v>0.67198240187333025</c:v>
                </c:pt>
                <c:pt idx="741">
                  <c:v>0.67168500791138241</c:v>
                </c:pt>
                <c:pt idx="742">
                  <c:v>0.67132751187137352</c:v>
                </c:pt>
                <c:pt idx="743">
                  <c:v>0.67113550400710809</c:v>
                </c:pt>
                <c:pt idx="744">
                  <c:v>0.67086195456611797</c:v>
                </c:pt>
                <c:pt idx="745">
                  <c:v>0.67049860186907329</c:v>
                </c:pt>
                <c:pt idx="746">
                  <c:v>0.67015365040293007</c:v>
                </c:pt>
                <c:pt idx="747">
                  <c:v>0.66973527274050559</c:v>
                </c:pt>
                <c:pt idx="748">
                  <c:v>0.66954382767967824</c:v>
                </c:pt>
                <c:pt idx="749">
                  <c:v>0.66893439256301401</c:v>
                </c:pt>
                <c:pt idx="750">
                  <c:v>0.66902850632150046</c:v>
                </c:pt>
                <c:pt idx="751">
                  <c:v>0.66854705973030104</c:v>
                </c:pt>
                <c:pt idx="752">
                  <c:v>0.66810454744792747</c:v>
                </c:pt>
                <c:pt idx="753">
                  <c:v>0.66786132215229521</c:v>
                </c:pt>
                <c:pt idx="754">
                  <c:v>0.66755844201594361</c:v>
                </c:pt>
                <c:pt idx="755">
                  <c:v>0.66719560880287243</c:v>
                </c:pt>
                <c:pt idx="756">
                  <c:v>0.66680870142129578</c:v>
                </c:pt>
                <c:pt idx="757">
                  <c:v>0.6663917580031461</c:v>
                </c:pt>
                <c:pt idx="758">
                  <c:v>0.66602650135058028</c:v>
                </c:pt>
                <c:pt idx="759">
                  <c:v>0.66564622097495241</c:v>
                </c:pt>
                <c:pt idx="760">
                  <c:v>0.6652677819249172</c:v>
                </c:pt>
                <c:pt idx="761">
                  <c:v>0.66470476048945526</c:v>
                </c:pt>
                <c:pt idx="762">
                  <c:v>0.66442481770832673</c:v>
                </c:pt>
                <c:pt idx="763">
                  <c:v>0.66430427493812094</c:v>
                </c:pt>
                <c:pt idx="764">
                  <c:v>0.66386466278847234</c:v>
                </c:pt>
                <c:pt idx="765">
                  <c:v>0.66355392229343635</c:v>
                </c:pt>
                <c:pt idx="766">
                  <c:v>0.66320387290091032</c:v>
                </c:pt>
                <c:pt idx="767">
                  <c:v>0.66287642868842478</c:v>
                </c:pt>
                <c:pt idx="768">
                  <c:v>0.66240103425156727</c:v>
                </c:pt>
                <c:pt idx="769">
                  <c:v>0.6621570432203393</c:v>
                </c:pt>
                <c:pt idx="770">
                  <c:v>0.66182294562416788</c:v>
                </c:pt>
                <c:pt idx="771">
                  <c:v>0.66144627945743528</c:v>
                </c:pt>
                <c:pt idx="772">
                  <c:v>0.66109842126007334</c:v>
                </c:pt>
                <c:pt idx="773">
                  <c:v>0.66084288065064456</c:v>
                </c:pt>
                <c:pt idx="774">
                  <c:v>0.66050397058055232</c:v>
                </c:pt>
                <c:pt idx="775">
                  <c:v>0.65990284793949572</c:v>
                </c:pt>
                <c:pt idx="776">
                  <c:v>0.65954422710847516</c:v>
                </c:pt>
                <c:pt idx="777">
                  <c:v>0.65965183947130357</c:v>
                </c:pt>
                <c:pt idx="778">
                  <c:v>0.65905321453856458</c:v>
                </c:pt>
                <c:pt idx="779">
                  <c:v>0.65883666817184006</c:v>
                </c:pt>
                <c:pt idx="780">
                  <c:v>0.65836878982662572</c:v>
                </c:pt>
                <c:pt idx="781">
                  <c:v>0.65803192301118996</c:v>
                </c:pt>
                <c:pt idx="782">
                  <c:v>0.65786434936908134</c:v>
                </c:pt>
                <c:pt idx="783">
                  <c:v>0.65749119368086484</c:v>
                </c:pt>
                <c:pt idx="784">
                  <c:v>0.65702852142176627</c:v>
                </c:pt>
                <c:pt idx="785">
                  <c:v>0.6566336167587048</c:v>
                </c:pt>
                <c:pt idx="786">
                  <c:v>0.65647449665619706</c:v>
                </c:pt>
                <c:pt idx="787">
                  <c:v>0.65606221372642137</c:v>
                </c:pt>
                <c:pt idx="788">
                  <c:v>0.65575593014076095</c:v>
                </c:pt>
                <c:pt idx="789">
                  <c:v>0.65554673405409536</c:v>
                </c:pt>
                <c:pt idx="790">
                  <c:v>0.65508807417760451</c:v>
                </c:pt>
                <c:pt idx="791">
                  <c:v>0.65477380863805434</c:v>
                </c:pt>
                <c:pt idx="792">
                  <c:v>0.65429686521229957</c:v>
                </c:pt>
                <c:pt idx="793">
                  <c:v>0.65411150365456128</c:v>
                </c:pt>
                <c:pt idx="794">
                  <c:v>0.653851565231375</c:v>
                </c:pt>
                <c:pt idx="795">
                  <c:v>0.6534930192704681</c:v>
                </c:pt>
                <c:pt idx="796">
                  <c:v>0.65313923160615883</c:v>
                </c:pt>
                <c:pt idx="797">
                  <c:v>0.65275608925481776</c:v>
                </c:pt>
                <c:pt idx="798">
                  <c:v>0.65247251500213344</c:v>
                </c:pt>
                <c:pt idx="799">
                  <c:v>0.65222426184781057</c:v>
                </c:pt>
                <c:pt idx="800">
                  <c:v>0.65174076386779001</c:v>
                </c:pt>
                <c:pt idx="801">
                  <c:v>0.65149001098647974</c:v>
                </c:pt>
                <c:pt idx="802">
                  <c:v>0.65114078757962612</c:v>
                </c:pt>
                <c:pt idx="803">
                  <c:v>0.65053005147468168</c:v>
                </c:pt>
                <c:pt idx="804">
                  <c:v>0.65030168537625055</c:v>
                </c:pt>
                <c:pt idx="805">
                  <c:v>0.6500304941450098</c:v>
                </c:pt>
                <c:pt idx="806">
                  <c:v>0.64968787206337575</c:v>
                </c:pt>
                <c:pt idx="807">
                  <c:v>0.64930793540495524</c:v>
                </c:pt>
                <c:pt idx="808">
                  <c:v>0.64902927805202137</c:v>
                </c:pt>
                <c:pt idx="809">
                  <c:v>0.64857711526483208</c:v>
                </c:pt>
                <c:pt idx="810">
                  <c:v>0.64843032136730605</c:v>
                </c:pt>
                <c:pt idx="811">
                  <c:v>0.64807378010057515</c:v>
                </c:pt>
                <c:pt idx="812">
                  <c:v>0.64758200123438692</c:v>
                </c:pt>
                <c:pt idx="813">
                  <c:v>0.64747527596952192</c:v>
                </c:pt>
                <c:pt idx="814">
                  <c:v>0.64694354173979363</c:v>
                </c:pt>
                <c:pt idx="815">
                  <c:v>0.64669229983579779</c:v>
                </c:pt>
                <c:pt idx="816">
                  <c:v>0.64630092419090701</c:v>
                </c:pt>
                <c:pt idx="817">
                  <c:v>0.64602086020724303</c:v>
                </c:pt>
                <c:pt idx="818">
                  <c:v>0.64551250121980186</c:v>
                </c:pt>
                <c:pt idx="819">
                  <c:v>0.64533013796497241</c:v>
                </c:pt>
                <c:pt idx="820">
                  <c:v>0.64502262955678835</c:v>
                </c:pt>
                <c:pt idx="821">
                  <c:v>0.64460744005525772</c:v>
                </c:pt>
                <c:pt idx="822">
                  <c:v>0.64420103585282473</c:v>
                </c:pt>
                <c:pt idx="823">
                  <c:v>0.64402633457320424</c:v>
                </c:pt>
                <c:pt idx="824">
                  <c:v>0.64374711865329215</c:v>
                </c:pt>
                <c:pt idx="825">
                  <c:v>0.64330375601968171</c:v>
                </c:pt>
                <c:pt idx="826">
                  <c:v>0.64324441391281295</c:v>
                </c:pt>
                <c:pt idx="827">
                  <c:v>0.64287324932363754</c:v>
                </c:pt>
                <c:pt idx="828">
                  <c:v>0.64235499534557894</c:v>
                </c:pt>
                <c:pt idx="829">
                  <c:v>0.64211078475677741</c:v>
                </c:pt>
                <c:pt idx="830">
                  <c:v>0.64186837035675171</c:v>
                </c:pt>
                <c:pt idx="831">
                  <c:v>0.64151364491404417</c:v>
                </c:pt>
                <c:pt idx="832">
                  <c:v>0.6411057245672438</c:v>
                </c:pt>
                <c:pt idx="833">
                  <c:v>0.64082594146743777</c:v>
                </c:pt>
                <c:pt idx="834">
                  <c:v>0.64059416198394581</c:v>
                </c:pt>
                <c:pt idx="835">
                  <c:v>0.64012925918190067</c:v>
                </c:pt>
                <c:pt idx="836">
                  <c:v>0.63987370988597303</c:v>
                </c:pt>
                <c:pt idx="837">
                  <c:v>0.6396195122364321</c:v>
                </c:pt>
                <c:pt idx="838">
                  <c:v>0.63920454349224387</c:v>
                </c:pt>
                <c:pt idx="839">
                  <c:v>0.63886865470747922</c:v>
                </c:pt>
                <c:pt idx="840">
                  <c:v>0.63870446881374121</c:v>
                </c:pt>
                <c:pt idx="841">
                  <c:v>0.63817168320425532</c:v>
                </c:pt>
                <c:pt idx="842">
                  <c:v>0.63799088953614391</c:v>
                </c:pt>
                <c:pt idx="843">
                  <c:v>0.63762091318682068</c:v>
                </c:pt>
                <c:pt idx="844">
                  <c:v>0.63729108780778476</c:v>
                </c:pt>
                <c:pt idx="845">
                  <c:v>0.6369654268285343</c:v>
                </c:pt>
                <c:pt idx="846">
                  <c:v>0.63658979085412271</c:v>
                </c:pt>
                <c:pt idx="847">
                  <c:v>0.63629878602001932</c:v>
                </c:pt>
                <c:pt idx="848">
                  <c:v>0.63599923725914187</c:v>
                </c:pt>
                <c:pt idx="849">
                  <c:v>0.63568967657252462</c:v>
                </c:pt>
                <c:pt idx="850">
                  <c:v>0.63534936488270644</c:v>
                </c:pt>
                <c:pt idx="851">
                  <c:v>0.63521084207267542</c:v>
                </c:pt>
                <c:pt idx="852">
                  <c:v>0.6347453744867092</c:v>
                </c:pt>
                <c:pt idx="853">
                  <c:v>0.63450853852334121</c:v>
                </c:pt>
                <c:pt idx="854">
                  <c:v>0.63401089079617545</c:v>
                </c:pt>
                <c:pt idx="855">
                  <c:v>0.63373388542035469</c:v>
                </c:pt>
                <c:pt idx="856">
                  <c:v>0.63339326606361401</c:v>
                </c:pt>
                <c:pt idx="857">
                  <c:v>0.63312495831890481</c:v>
                </c:pt>
                <c:pt idx="858">
                  <c:v>0.6327982253661778</c:v>
                </c:pt>
                <c:pt idx="859">
                  <c:v>0.63272864571688014</c:v>
                </c:pt>
                <c:pt idx="860">
                  <c:v>0.63236476450105028</c:v>
                </c:pt>
                <c:pt idx="861">
                  <c:v>0.63199844001355054</c:v>
                </c:pt>
                <c:pt idx="862">
                  <c:v>0.63169746987437059</c:v>
                </c:pt>
                <c:pt idx="863">
                  <c:v>0.63133295907465525</c:v>
                </c:pt>
                <c:pt idx="864">
                  <c:v>0.63089045896429197</c:v>
                </c:pt>
                <c:pt idx="865">
                  <c:v>0.63076641207088202</c:v>
                </c:pt>
                <c:pt idx="866">
                  <c:v>0.63045945464937114</c:v>
                </c:pt>
                <c:pt idx="867">
                  <c:v>0.63017083983353561</c:v>
                </c:pt>
                <c:pt idx="868">
                  <c:v>0.62968366646472185</c:v>
                </c:pt>
                <c:pt idx="869">
                  <c:v>0.62945592924518556</c:v>
                </c:pt>
                <c:pt idx="870">
                  <c:v>0.62918190513639138</c:v>
                </c:pt>
                <c:pt idx="871">
                  <c:v>0.62900221203648243</c:v>
                </c:pt>
                <c:pt idx="872">
                  <c:v>0.62856860016839</c:v>
                </c:pt>
                <c:pt idx="873">
                  <c:v>0.62826377558711943</c:v>
                </c:pt>
                <c:pt idx="874">
                  <c:v>0.62788267394433961</c:v>
                </c:pt>
                <c:pt idx="875">
                  <c:v>0.62773231102610083</c:v>
                </c:pt>
                <c:pt idx="876">
                  <c:v>0.6272767845461974</c:v>
                </c:pt>
                <c:pt idx="877">
                  <c:v>0.62700783260894555</c:v>
                </c:pt>
                <c:pt idx="878">
                  <c:v>0.62677388745092866</c:v>
                </c:pt>
                <c:pt idx="879">
                  <c:v>0.62647194049502308</c:v>
                </c:pt>
                <c:pt idx="880">
                  <c:v>0.62616001181594916</c:v>
                </c:pt>
                <c:pt idx="881">
                  <c:v>0.62589540706705271</c:v>
                </c:pt>
                <c:pt idx="882">
                  <c:v>0.62561233098504043</c:v>
                </c:pt>
                <c:pt idx="883">
                  <c:v>0.62526708505101536</c:v>
                </c:pt>
                <c:pt idx="884">
                  <c:v>0.62497149570959831</c:v>
                </c:pt>
                <c:pt idx="885">
                  <c:v>0.62454398291608559</c:v>
                </c:pt>
                <c:pt idx="886">
                  <c:v>0.62438227104811372</c:v>
                </c:pt>
                <c:pt idx="887">
                  <c:v>0.62410713985282962</c:v>
                </c:pt>
                <c:pt idx="888">
                  <c:v>0.62377704604119322</c:v>
                </c:pt>
                <c:pt idx="889">
                  <c:v>0.6236806661366836</c:v>
                </c:pt>
                <c:pt idx="890">
                  <c:v>0.62322675830443308</c:v>
                </c:pt>
                <c:pt idx="891">
                  <c:v>0.62290630240537603</c:v>
                </c:pt>
                <c:pt idx="892">
                  <c:v>0.62257086291235819</c:v>
                </c:pt>
                <c:pt idx="893">
                  <c:v>0.62207997984994401</c:v>
                </c:pt>
                <c:pt idx="894">
                  <c:v>0.62202941266795642</c:v>
                </c:pt>
                <c:pt idx="895">
                  <c:v>0.62154115803044829</c:v>
                </c:pt>
                <c:pt idx="896">
                  <c:v>0.62125860976366498</c:v>
                </c:pt>
                <c:pt idx="897">
                  <c:v>0.62097340693153791</c:v>
                </c:pt>
                <c:pt idx="898">
                  <c:v>0.62069395063697308</c:v>
                </c:pt>
                <c:pt idx="899">
                  <c:v>0.62025230532931352</c:v>
                </c:pt>
                <c:pt idx="900">
                  <c:v>0.62014477239889787</c:v>
                </c:pt>
                <c:pt idx="901">
                  <c:v>0.61990183196730142</c:v>
                </c:pt>
                <c:pt idx="902">
                  <c:v>0.6195556182112949</c:v>
                </c:pt>
                <c:pt idx="903">
                  <c:v>0.61925445029461579</c:v>
                </c:pt>
                <c:pt idx="904">
                  <c:v>0.61900298264400977</c:v>
                </c:pt>
                <c:pt idx="905">
                  <c:v>0.61873700006330545</c:v>
                </c:pt>
                <c:pt idx="906">
                  <c:v>0.61830871407932531</c:v>
                </c:pt>
                <c:pt idx="907">
                  <c:v>0.6181019194858075</c:v>
                </c:pt>
                <c:pt idx="908">
                  <c:v>0.61782652211024447</c:v>
                </c:pt>
                <c:pt idx="909">
                  <c:v>0.61744927976227781</c:v>
                </c:pt>
                <c:pt idx="910">
                  <c:v>0.61726256183520445</c:v>
                </c:pt>
                <c:pt idx="911">
                  <c:v>0.61702294792510626</c:v>
                </c:pt>
                <c:pt idx="912">
                  <c:v>0.61655949168588398</c:v>
                </c:pt>
                <c:pt idx="913">
                  <c:v>0.61619778871164255</c:v>
                </c:pt>
                <c:pt idx="914">
                  <c:v>0.61595204423110828</c:v>
                </c:pt>
                <c:pt idx="915">
                  <c:v>0.6156886102358109</c:v>
                </c:pt>
                <c:pt idx="916">
                  <c:v>0.61526064771334676</c:v>
                </c:pt>
                <c:pt idx="917">
                  <c:v>0.61508293148869464</c:v>
                </c:pt>
                <c:pt idx="918">
                  <c:v>0.61465774998578815</c:v>
                </c:pt>
                <c:pt idx="919">
                  <c:v>0.61444924160861147</c:v>
                </c:pt>
                <c:pt idx="920">
                  <c:v>0.61403284663499313</c:v>
                </c:pt>
                <c:pt idx="921">
                  <c:v>0.61373945155451326</c:v>
                </c:pt>
                <c:pt idx="922">
                  <c:v>0.61351569165725217</c:v>
                </c:pt>
                <c:pt idx="923">
                  <c:v>0.61330902579669977</c:v>
                </c:pt>
                <c:pt idx="924">
                  <c:v>0.61284356617190261</c:v>
                </c:pt>
                <c:pt idx="925">
                  <c:v>0.61255424553553117</c:v>
                </c:pt>
                <c:pt idx="926">
                  <c:v>0.61226190939231862</c:v>
                </c:pt>
                <c:pt idx="927">
                  <c:v>0.61188467909636512</c:v>
                </c:pt>
                <c:pt idx="928">
                  <c:v>0.61175667928557331</c:v>
                </c:pt>
                <c:pt idx="929">
                  <c:v>0.61132715611950073</c:v>
                </c:pt>
                <c:pt idx="930">
                  <c:v>0.61098237627150132</c:v>
                </c:pt>
                <c:pt idx="931">
                  <c:v>0.6107596385040287</c:v>
                </c:pt>
                <c:pt idx="932">
                  <c:v>0.61062852345932617</c:v>
                </c:pt>
                <c:pt idx="933">
                  <c:v>0.61015496755810905</c:v>
                </c:pt>
                <c:pt idx="934">
                  <c:v>0.60981973667541156</c:v>
                </c:pt>
                <c:pt idx="935">
                  <c:v>0.60953818439959584</c:v>
                </c:pt>
                <c:pt idx="936">
                  <c:v>0.60922860287104452</c:v>
                </c:pt>
                <c:pt idx="937">
                  <c:v>0.60878652862665039</c:v>
                </c:pt>
                <c:pt idx="938">
                  <c:v>0.60883283442662051</c:v>
                </c:pt>
                <c:pt idx="939">
                  <c:v>0.60841698672874756</c:v>
                </c:pt>
                <c:pt idx="940">
                  <c:v>0.60816842494280765</c:v>
                </c:pt>
                <c:pt idx="941">
                  <c:v>0.60780240367747063</c:v>
                </c:pt>
                <c:pt idx="942">
                  <c:v>0.60743061510414609</c:v>
                </c:pt>
                <c:pt idx="943">
                  <c:v>0.60710183228083325</c:v>
                </c:pt>
                <c:pt idx="944">
                  <c:v>0.60687718774726407</c:v>
                </c:pt>
                <c:pt idx="945">
                  <c:v>0.60655462533650228</c:v>
                </c:pt>
                <c:pt idx="946">
                  <c:v>0.60638391962796701</c:v>
                </c:pt>
                <c:pt idx="947">
                  <c:v>0.60612145327586364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BF5F-4B7F-B74F-7EB7B099B6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264552"/>
        <c:axId val="928261312"/>
      </c:scatterChart>
      <c:valAx>
        <c:axId val="928264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61312"/>
        <c:crosses val="autoZero"/>
        <c:crossBetween val="midCat"/>
      </c:valAx>
      <c:valAx>
        <c:axId val="928261312"/>
        <c:scaling>
          <c:orientation val="minMax"/>
          <c:max val="1.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64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Theta vs Time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'Part 3 Data'!$F$2</c:f>
              <c:strCache>
                <c:ptCount val="1"/>
                <c:pt idx="0">
                  <c:v>ln(Theta_f)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'Part 3 Data'!$A$3:$A$1919</c:f>
              <c:numCache>
                <c:formatCode>0.0</c:formatCode>
                <c:ptCount val="1917"/>
                <c:pt idx="0">
                  <c:v>0</c:v>
                </c:pt>
                <c:pt idx="1">
                  <c:v>0.56399999999999995</c:v>
                </c:pt>
                <c:pt idx="2">
                  <c:v>1.1279999999999999</c:v>
                </c:pt>
                <c:pt idx="3">
                  <c:v>1.6919999999999999</c:v>
                </c:pt>
                <c:pt idx="4">
                  <c:v>2.2559999999999998</c:v>
                </c:pt>
                <c:pt idx="5">
                  <c:v>2.82</c:v>
                </c:pt>
                <c:pt idx="6">
                  <c:v>3.3839999999999999</c:v>
                </c:pt>
                <c:pt idx="7">
                  <c:v>3.948</c:v>
                </c:pt>
                <c:pt idx="8">
                  <c:v>4.5119999999999996</c:v>
                </c:pt>
                <c:pt idx="9">
                  <c:v>5.0759999999999996</c:v>
                </c:pt>
                <c:pt idx="10">
                  <c:v>5.64</c:v>
                </c:pt>
                <c:pt idx="11">
                  <c:v>6.2039999999999997</c:v>
                </c:pt>
                <c:pt idx="12">
                  <c:v>6.7679999999999998</c:v>
                </c:pt>
                <c:pt idx="13">
                  <c:v>7.3319999999999999</c:v>
                </c:pt>
                <c:pt idx="14">
                  <c:v>7.8959999999999999</c:v>
                </c:pt>
                <c:pt idx="15">
                  <c:v>8.4600000000000009</c:v>
                </c:pt>
                <c:pt idx="16">
                  <c:v>9.0239999999999991</c:v>
                </c:pt>
                <c:pt idx="17">
                  <c:v>9.5879999999999992</c:v>
                </c:pt>
                <c:pt idx="18">
                  <c:v>10.151999999999999</c:v>
                </c:pt>
                <c:pt idx="19">
                  <c:v>10.715999999999999</c:v>
                </c:pt>
                <c:pt idx="20">
                  <c:v>11.28</c:v>
                </c:pt>
                <c:pt idx="21">
                  <c:v>11.843999999999999</c:v>
                </c:pt>
                <c:pt idx="22">
                  <c:v>12.407999999999999</c:v>
                </c:pt>
                <c:pt idx="23">
                  <c:v>12.972</c:v>
                </c:pt>
                <c:pt idx="24">
                  <c:v>13.536</c:v>
                </c:pt>
                <c:pt idx="25">
                  <c:v>14.1</c:v>
                </c:pt>
                <c:pt idx="26">
                  <c:v>14.664</c:v>
                </c:pt>
                <c:pt idx="27">
                  <c:v>15.228</c:v>
                </c:pt>
                <c:pt idx="28">
                  <c:v>15.792</c:v>
                </c:pt>
                <c:pt idx="29">
                  <c:v>16.356000000000002</c:v>
                </c:pt>
                <c:pt idx="30">
                  <c:v>16.920000000000002</c:v>
                </c:pt>
                <c:pt idx="31">
                  <c:v>17.484000000000002</c:v>
                </c:pt>
                <c:pt idx="32">
                  <c:v>18.047999999999998</c:v>
                </c:pt>
                <c:pt idx="33">
                  <c:v>18.611999999999998</c:v>
                </c:pt>
                <c:pt idx="34">
                  <c:v>19.175999999999998</c:v>
                </c:pt>
                <c:pt idx="35">
                  <c:v>19.739999999999998</c:v>
                </c:pt>
                <c:pt idx="36">
                  <c:v>20.303999999999998</c:v>
                </c:pt>
                <c:pt idx="37">
                  <c:v>20.867999999999999</c:v>
                </c:pt>
                <c:pt idx="38">
                  <c:v>21.431999999999999</c:v>
                </c:pt>
                <c:pt idx="39">
                  <c:v>21.995999999999999</c:v>
                </c:pt>
                <c:pt idx="40">
                  <c:v>22.56</c:v>
                </c:pt>
                <c:pt idx="41">
                  <c:v>23.123999999999999</c:v>
                </c:pt>
                <c:pt idx="42">
                  <c:v>23.687999999999999</c:v>
                </c:pt>
                <c:pt idx="43">
                  <c:v>24.251999999999999</c:v>
                </c:pt>
                <c:pt idx="44">
                  <c:v>24.815999999999999</c:v>
                </c:pt>
                <c:pt idx="45">
                  <c:v>25.38</c:v>
                </c:pt>
                <c:pt idx="46">
                  <c:v>25.943999999999999</c:v>
                </c:pt>
                <c:pt idx="47">
                  <c:v>26.507999999999999</c:v>
                </c:pt>
                <c:pt idx="48">
                  <c:v>27.071999999999999</c:v>
                </c:pt>
                <c:pt idx="49">
                  <c:v>27.635999999999999</c:v>
                </c:pt>
                <c:pt idx="50">
                  <c:v>28.2</c:v>
                </c:pt>
                <c:pt idx="51">
                  <c:v>28.763999999999999</c:v>
                </c:pt>
                <c:pt idx="52">
                  <c:v>29.327999999999999</c:v>
                </c:pt>
                <c:pt idx="53">
                  <c:v>29.891999999999999</c:v>
                </c:pt>
                <c:pt idx="54">
                  <c:v>30.456</c:v>
                </c:pt>
                <c:pt idx="55">
                  <c:v>31.02</c:v>
                </c:pt>
                <c:pt idx="56">
                  <c:v>31.584</c:v>
                </c:pt>
                <c:pt idx="57">
                  <c:v>32.148000000000003</c:v>
                </c:pt>
                <c:pt idx="58">
                  <c:v>32.712000000000003</c:v>
                </c:pt>
                <c:pt idx="59">
                  <c:v>33.276000000000003</c:v>
                </c:pt>
                <c:pt idx="60">
                  <c:v>33.840000000000003</c:v>
                </c:pt>
                <c:pt idx="61">
                  <c:v>34.404000000000003</c:v>
                </c:pt>
                <c:pt idx="62">
                  <c:v>34.968000000000004</c:v>
                </c:pt>
                <c:pt idx="63">
                  <c:v>35.531999999999996</c:v>
                </c:pt>
                <c:pt idx="64">
                  <c:v>36.095999999999997</c:v>
                </c:pt>
                <c:pt idx="65">
                  <c:v>36.659999999999997</c:v>
                </c:pt>
                <c:pt idx="66">
                  <c:v>37.223999999999997</c:v>
                </c:pt>
                <c:pt idx="67">
                  <c:v>37.787999999999997</c:v>
                </c:pt>
                <c:pt idx="68">
                  <c:v>38.351999999999997</c:v>
                </c:pt>
                <c:pt idx="69">
                  <c:v>38.915999999999997</c:v>
                </c:pt>
                <c:pt idx="70">
                  <c:v>39.479999999999997</c:v>
                </c:pt>
                <c:pt idx="71">
                  <c:v>40.043999999999997</c:v>
                </c:pt>
                <c:pt idx="72">
                  <c:v>40.607999999999997</c:v>
                </c:pt>
                <c:pt idx="73">
                  <c:v>41.171999999999997</c:v>
                </c:pt>
                <c:pt idx="74">
                  <c:v>41.735999999999997</c:v>
                </c:pt>
                <c:pt idx="75">
                  <c:v>42.3</c:v>
                </c:pt>
                <c:pt idx="76">
                  <c:v>42.863999999999997</c:v>
                </c:pt>
                <c:pt idx="77">
                  <c:v>43.427999999999997</c:v>
                </c:pt>
                <c:pt idx="78">
                  <c:v>43.991999999999997</c:v>
                </c:pt>
                <c:pt idx="79">
                  <c:v>44.555999999999997</c:v>
                </c:pt>
                <c:pt idx="80">
                  <c:v>45.12</c:v>
                </c:pt>
                <c:pt idx="81">
                  <c:v>45.683999999999997</c:v>
                </c:pt>
                <c:pt idx="82">
                  <c:v>46.247999999999998</c:v>
                </c:pt>
                <c:pt idx="83">
                  <c:v>46.811999999999998</c:v>
                </c:pt>
                <c:pt idx="84">
                  <c:v>47.375999999999998</c:v>
                </c:pt>
                <c:pt idx="85">
                  <c:v>47.94</c:v>
                </c:pt>
                <c:pt idx="86">
                  <c:v>48.503999999999998</c:v>
                </c:pt>
                <c:pt idx="87">
                  <c:v>49.067999999999998</c:v>
                </c:pt>
                <c:pt idx="88">
                  <c:v>49.631999999999998</c:v>
                </c:pt>
                <c:pt idx="89">
                  <c:v>50.195999999999998</c:v>
                </c:pt>
                <c:pt idx="90">
                  <c:v>50.76</c:v>
                </c:pt>
                <c:pt idx="91">
                  <c:v>51.323999999999998</c:v>
                </c:pt>
                <c:pt idx="92">
                  <c:v>51.887999999999998</c:v>
                </c:pt>
                <c:pt idx="93">
                  <c:v>52.451999999999998</c:v>
                </c:pt>
                <c:pt idx="94">
                  <c:v>53.015999999999998</c:v>
                </c:pt>
                <c:pt idx="95">
                  <c:v>53.58</c:v>
                </c:pt>
                <c:pt idx="96">
                  <c:v>54.143999999999998</c:v>
                </c:pt>
                <c:pt idx="97">
                  <c:v>54.707999999999998</c:v>
                </c:pt>
                <c:pt idx="98">
                  <c:v>55.271999999999998</c:v>
                </c:pt>
                <c:pt idx="99">
                  <c:v>55.835999999999999</c:v>
                </c:pt>
                <c:pt idx="100">
                  <c:v>56.4</c:v>
                </c:pt>
                <c:pt idx="101">
                  <c:v>56.963999999999999</c:v>
                </c:pt>
                <c:pt idx="102">
                  <c:v>57.527999999999999</c:v>
                </c:pt>
                <c:pt idx="103">
                  <c:v>58.091999999999999</c:v>
                </c:pt>
                <c:pt idx="104">
                  <c:v>58.655999999999999</c:v>
                </c:pt>
                <c:pt idx="105">
                  <c:v>59.22</c:v>
                </c:pt>
                <c:pt idx="106">
                  <c:v>59.783999999999999</c:v>
                </c:pt>
                <c:pt idx="107">
                  <c:v>60.347999999999999</c:v>
                </c:pt>
                <c:pt idx="108">
                  <c:v>60.911999999999999</c:v>
                </c:pt>
                <c:pt idx="109">
                  <c:v>61.475999999999999</c:v>
                </c:pt>
                <c:pt idx="110">
                  <c:v>62.04</c:v>
                </c:pt>
                <c:pt idx="111">
                  <c:v>62.603999999999999</c:v>
                </c:pt>
                <c:pt idx="112">
                  <c:v>63.167999999999999</c:v>
                </c:pt>
                <c:pt idx="113">
                  <c:v>63.731999999999999</c:v>
                </c:pt>
                <c:pt idx="114">
                  <c:v>64.296000000000006</c:v>
                </c:pt>
                <c:pt idx="115">
                  <c:v>64.86</c:v>
                </c:pt>
                <c:pt idx="116">
                  <c:v>65.424000000000007</c:v>
                </c:pt>
                <c:pt idx="117">
                  <c:v>65.988</c:v>
                </c:pt>
                <c:pt idx="118">
                  <c:v>66.552000000000007</c:v>
                </c:pt>
                <c:pt idx="119">
                  <c:v>67.116</c:v>
                </c:pt>
                <c:pt idx="120">
                  <c:v>67.680000000000007</c:v>
                </c:pt>
                <c:pt idx="121">
                  <c:v>68.244</c:v>
                </c:pt>
                <c:pt idx="122">
                  <c:v>68.808000000000007</c:v>
                </c:pt>
                <c:pt idx="123">
                  <c:v>69.372</c:v>
                </c:pt>
                <c:pt idx="124">
                  <c:v>69.936000000000007</c:v>
                </c:pt>
                <c:pt idx="125">
                  <c:v>70.5</c:v>
                </c:pt>
                <c:pt idx="126">
                  <c:v>71.063999999999993</c:v>
                </c:pt>
                <c:pt idx="127">
                  <c:v>71.628</c:v>
                </c:pt>
                <c:pt idx="128">
                  <c:v>72.191999999999993</c:v>
                </c:pt>
                <c:pt idx="129">
                  <c:v>72.756</c:v>
                </c:pt>
                <c:pt idx="130">
                  <c:v>73.319999999999993</c:v>
                </c:pt>
                <c:pt idx="131">
                  <c:v>73.884</c:v>
                </c:pt>
                <c:pt idx="132">
                  <c:v>74.447999999999993</c:v>
                </c:pt>
                <c:pt idx="133">
                  <c:v>75.012</c:v>
                </c:pt>
                <c:pt idx="134">
                  <c:v>75.575999999999993</c:v>
                </c:pt>
                <c:pt idx="135">
                  <c:v>76.14</c:v>
                </c:pt>
                <c:pt idx="136">
                  <c:v>76.703999999999994</c:v>
                </c:pt>
                <c:pt idx="137">
                  <c:v>77.268000000000001</c:v>
                </c:pt>
                <c:pt idx="138">
                  <c:v>77.831999999999994</c:v>
                </c:pt>
                <c:pt idx="139">
                  <c:v>78.396000000000001</c:v>
                </c:pt>
                <c:pt idx="140">
                  <c:v>78.959999999999994</c:v>
                </c:pt>
                <c:pt idx="141">
                  <c:v>79.524000000000001</c:v>
                </c:pt>
                <c:pt idx="142">
                  <c:v>80.087999999999994</c:v>
                </c:pt>
                <c:pt idx="143">
                  <c:v>80.652000000000001</c:v>
                </c:pt>
                <c:pt idx="144">
                  <c:v>81.215999999999994</c:v>
                </c:pt>
                <c:pt idx="145">
                  <c:v>81.78</c:v>
                </c:pt>
                <c:pt idx="146">
                  <c:v>82.343999999999994</c:v>
                </c:pt>
                <c:pt idx="147">
                  <c:v>82.908000000000001</c:v>
                </c:pt>
                <c:pt idx="148">
                  <c:v>83.471999999999994</c:v>
                </c:pt>
                <c:pt idx="149">
                  <c:v>84.036000000000001</c:v>
                </c:pt>
                <c:pt idx="150">
                  <c:v>84.6</c:v>
                </c:pt>
                <c:pt idx="151">
                  <c:v>85.164000000000001</c:v>
                </c:pt>
                <c:pt idx="152">
                  <c:v>85.727999999999994</c:v>
                </c:pt>
                <c:pt idx="153">
                  <c:v>86.292000000000002</c:v>
                </c:pt>
                <c:pt idx="154">
                  <c:v>86.855999999999995</c:v>
                </c:pt>
                <c:pt idx="155">
                  <c:v>87.42</c:v>
                </c:pt>
                <c:pt idx="156">
                  <c:v>87.983999999999995</c:v>
                </c:pt>
                <c:pt idx="157">
                  <c:v>88.548000000000002</c:v>
                </c:pt>
                <c:pt idx="158">
                  <c:v>89.111999999999995</c:v>
                </c:pt>
                <c:pt idx="159">
                  <c:v>89.676000000000002</c:v>
                </c:pt>
                <c:pt idx="160">
                  <c:v>90.24</c:v>
                </c:pt>
                <c:pt idx="161">
                  <c:v>90.804000000000002</c:v>
                </c:pt>
                <c:pt idx="162">
                  <c:v>91.367999999999995</c:v>
                </c:pt>
                <c:pt idx="163">
                  <c:v>91.932000000000002</c:v>
                </c:pt>
                <c:pt idx="164">
                  <c:v>92.495999999999995</c:v>
                </c:pt>
                <c:pt idx="165">
                  <c:v>93.06</c:v>
                </c:pt>
                <c:pt idx="166">
                  <c:v>93.623999999999995</c:v>
                </c:pt>
                <c:pt idx="167">
                  <c:v>94.188000000000002</c:v>
                </c:pt>
                <c:pt idx="168">
                  <c:v>94.751999999999995</c:v>
                </c:pt>
                <c:pt idx="169">
                  <c:v>95.316000000000003</c:v>
                </c:pt>
                <c:pt idx="170">
                  <c:v>95.88</c:v>
                </c:pt>
                <c:pt idx="171">
                  <c:v>96.444000000000003</c:v>
                </c:pt>
                <c:pt idx="172">
                  <c:v>97.007999999999996</c:v>
                </c:pt>
                <c:pt idx="173">
                  <c:v>97.572000000000003</c:v>
                </c:pt>
                <c:pt idx="174">
                  <c:v>98.135999999999996</c:v>
                </c:pt>
                <c:pt idx="175">
                  <c:v>98.7</c:v>
                </c:pt>
                <c:pt idx="176">
                  <c:v>99.263999999999996</c:v>
                </c:pt>
                <c:pt idx="177">
                  <c:v>99.828000000000003</c:v>
                </c:pt>
                <c:pt idx="178">
                  <c:v>100.392</c:v>
                </c:pt>
                <c:pt idx="179">
                  <c:v>100.956</c:v>
                </c:pt>
                <c:pt idx="180">
                  <c:v>101.52</c:v>
                </c:pt>
                <c:pt idx="181">
                  <c:v>102.084</c:v>
                </c:pt>
                <c:pt idx="182">
                  <c:v>102.648</c:v>
                </c:pt>
                <c:pt idx="183">
                  <c:v>103.212</c:v>
                </c:pt>
                <c:pt idx="184">
                  <c:v>103.776</c:v>
                </c:pt>
                <c:pt idx="185">
                  <c:v>104.34</c:v>
                </c:pt>
                <c:pt idx="186">
                  <c:v>104.904</c:v>
                </c:pt>
                <c:pt idx="187">
                  <c:v>105.468</c:v>
                </c:pt>
                <c:pt idx="188">
                  <c:v>106.032</c:v>
                </c:pt>
                <c:pt idx="189">
                  <c:v>106.596</c:v>
                </c:pt>
                <c:pt idx="190">
                  <c:v>107.16</c:v>
                </c:pt>
                <c:pt idx="191">
                  <c:v>107.724</c:v>
                </c:pt>
                <c:pt idx="192">
                  <c:v>108.288</c:v>
                </c:pt>
                <c:pt idx="193">
                  <c:v>108.852</c:v>
                </c:pt>
                <c:pt idx="194">
                  <c:v>109.416</c:v>
                </c:pt>
                <c:pt idx="195">
                  <c:v>109.98</c:v>
                </c:pt>
                <c:pt idx="196">
                  <c:v>110.544</c:v>
                </c:pt>
                <c:pt idx="197">
                  <c:v>111.108</c:v>
                </c:pt>
                <c:pt idx="198">
                  <c:v>111.672</c:v>
                </c:pt>
                <c:pt idx="199">
                  <c:v>112.236</c:v>
                </c:pt>
                <c:pt idx="200">
                  <c:v>112.8</c:v>
                </c:pt>
                <c:pt idx="201">
                  <c:v>113.364</c:v>
                </c:pt>
                <c:pt idx="202">
                  <c:v>113.928</c:v>
                </c:pt>
                <c:pt idx="203">
                  <c:v>114.492</c:v>
                </c:pt>
                <c:pt idx="204">
                  <c:v>115.056</c:v>
                </c:pt>
                <c:pt idx="205">
                  <c:v>115.62</c:v>
                </c:pt>
                <c:pt idx="206">
                  <c:v>116.184</c:v>
                </c:pt>
                <c:pt idx="207">
                  <c:v>116.748</c:v>
                </c:pt>
                <c:pt idx="208">
                  <c:v>117.312</c:v>
                </c:pt>
                <c:pt idx="209">
                  <c:v>117.876</c:v>
                </c:pt>
                <c:pt idx="210">
                  <c:v>118.44</c:v>
                </c:pt>
                <c:pt idx="211">
                  <c:v>119.004</c:v>
                </c:pt>
                <c:pt idx="212">
                  <c:v>119.568</c:v>
                </c:pt>
                <c:pt idx="213">
                  <c:v>120.13200000000001</c:v>
                </c:pt>
                <c:pt idx="214">
                  <c:v>120.696</c:v>
                </c:pt>
                <c:pt idx="215">
                  <c:v>121.26</c:v>
                </c:pt>
                <c:pt idx="216">
                  <c:v>121.824</c:v>
                </c:pt>
                <c:pt idx="217">
                  <c:v>122.38800000000001</c:v>
                </c:pt>
                <c:pt idx="218">
                  <c:v>122.952</c:v>
                </c:pt>
                <c:pt idx="219">
                  <c:v>123.51600000000001</c:v>
                </c:pt>
                <c:pt idx="220">
                  <c:v>124.08</c:v>
                </c:pt>
                <c:pt idx="221">
                  <c:v>124.64400000000001</c:v>
                </c:pt>
                <c:pt idx="222">
                  <c:v>125.208</c:v>
                </c:pt>
                <c:pt idx="223">
                  <c:v>125.77200000000001</c:v>
                </c:pt>
                <c:pt idx="224">
                  <c:v>126.336</c:v>
                </c:pt>
                <c:pt idx="225">
                  <c:v>126.9</c:v>
                </c:pt>
                <c:pt idx="226">
                  <c:v>127.464</c:v>
                </c:pt>
                <c:pt idx="227">
                  <c:v>128.02799999999999</c:v>
                </c:pt>
                <c:pt idx="228">
                  <c:v>128.59200000000001</c:v>
                </c:pt>
                <c:pt idx="229">
                  <c:v>129.15600000000001</c:v>
                </c:pt>
                <c:pt idx="230">
                  <c:v>129.72</c:v>
                </c:pt>
                <c:pt idx="231">
                  <c:v>130.28399999999999</c:v>
                </c:pt>
                <c:pt idx="232">
                  <c:v>130.84800000000001</c:v>
                </c:pt>
                <c:pt idx="233">
                  <c:v>131.41200000000001</c:v>
                </c:pt>
                <c:pt idx="234">
                  <c:v>131.976</c:v>
                </c:pt>
                <c:pt idx="235">
                  <c:v>132.54</c:v>
                </c:pt>
                <c:pt idx="236">
                  <c:v>133.10400000000001</c:v>
                </c:pt>
                <c:pt idx="237">
                  <c:v>133.66800000000001</c:v>
                </c:pt>
                <c:pt idx="238">
                  <c:v>134.232</c:v>
                </c:pt>
                <c:pt idx="239">
                  <c:v>134.79599999999999</c:v>
                </c:pt>
                <c:pt idx="240">
                  <c:v>135.36000000000001</c:v>
                </c:pt>
                <c:pt idx="241">
                  <c:v>135.92400000000001</c:v>
                </c:pt>
                <c:pt idx="242">
                  <c:v>136.488</c:v>
                </c:pt>
                <c:pt idx="243">
                  <c:v>137.05199999999999</c:v>
                </c:pt>
                <c:pt idx="244">
                  <c:v>137.61600000000001</c:v>
                </c:pt>
                <c:pt idx="245">
                  <c:v>138.18</c:v>
                </c:pt>
                <c:pt idx="246">
                  <c:v>138.744</c:v>
                </c:pt>
                <c:pt idx="247">
                  <c:v>139.30799999999999</c:v>
                </c:pt>
                <c:pt idx="248">
                  <c:v>139.87200000000001</c:v>
                </c:pt>
                <c:pt idx="249">
                  <c:v>140.43600000000001</c:v>
                </c:pt>
                <c:pt idx="250">
                  <c:v>141</c:v>
                </c:pt>
                <c:pt idx="251">
                  <c:v>141.56399999999999</c:v>
                </c:pt>
                <c:pt idx="252">
                  <c:v>142.12799999999999</c:v>
                </c:pt>
                <c:pt idx="253">
                  <c:v>142.69200000000001</c:v>
                </c:pt>
                <c:pt idx="254">
                  <c:v>143.256</c:v>
                </c:pt>
                <c:pt idx="255">
                  <c:v>143.82</c:v>
                </c:pt>
                <c:pt idx="256">
                  <c:v>144.38399999999999</c:v>
                </c:pt>
                <c:pt idx="257">
                  <c:v>144.94800000000001</c:v>
                </c:pt>
                <c:pt idx="258">
                  <c:v>145.512</c:v>
                </c:pt>
                <c:pt idx="259">
                  <c:v>146.07599999999999</c:v>
                </c:pt>
                <c:pt idx="260">
                  <c:v>146.63999999999999</c:v>
                </c:pt>
                <c:pt idx="261">
                  <c:v>147.20400000000001</c:v>
                </c:pt>
                <c:pt idx="262">
                  <c:v>147.768</c:v>
                </c:pt>
                <c:pt idx="263">
                  <c:v>148.33199999999999</c:v>
                </c:pt>
                <c:pt idx="264">
                  <c:v>148.89599999999999</c:v>
                </c:pt>
                <c:pt idx="265">
                  <c:v>149.46</c:v>
                </c:pt>
                <c:pt idx="266">
                  <c:v>150.024</c:v>
                </c:pt>
                <c:pt idx="267">
                  <c:v>150.58799999999999</c:v>
                </c:pt>
                <c:pt idx="268">
                  <c:v>151.15199999999999</c:v>
                </c:pt>
                <c:pt idx="269">
                  <c:v>151.71600000000001</c:v>
                </c:pt>
                <c:pt idx="270">
                  <c:v>152.28</c:v>
                </c:pt>
                <c:pt idx="271">
                  <c:v>152.84399999999999</c:v>
                </c:pt>
                <c:pt idx="272">
                  <c:v>153.40799999999999</c:v>
                </c:pt>
                <c:pt idx="273">
                  <c:v>153.97200000000001</c:v>
                </c:pt>
                <c:pt idx="274">
                  <c:v>154.536</c:v>
                </c:pt>
                <c:pt idx="275">
                  <c:v>155.1</c:v>
                </c:pt>
                <c:pt idx="276">
                  <c:v>155.66399999999999</c:v>
                </c:pt>
                <c:pt idx="277">
                  <c:v>156.22800000000001</c:v>
                </c:pt>
                <c:pt idx="278">
                  <c:v>156.792</c:v>
                </c:pt>
                <c:pt idx="279">
                  <c:v>157.35599999999999</c:v>
                </c:pt>
                <c:pt idx="280">
                  <c:v>157.91999999999999</c:v>
                </c:pt>
                <c:pt idx="281">
                  <c:v>158.48400000000001</c:v>
                </c:pt>
                <c:pt idx="282">
                  <c:v>159.048</c:v>
                </c:pt>
                <c:pt idx="283">
                  <c:v>159.61199999999999</c:v>
                </c:pt>
                <c:pt idx="284">
                  <c:v>160.17599999999999</c:v>
                </c:pt>
                <c:pt idx="285">
                  <c:v>160.74</c:v>
                </c:pt>
                <c:pt idx="286">
                  <c:v>161.304</c:v>
                </c:pt>
                <c:pt idx="287">
                  <c:v>161.86799999999999</c:v>
                </c:pt>
                <c:pt idx="288">
                  <c:v>162.43199999999999</c:v>
                </c:pt>
                <c:pt idx="289">
                  <c:v>162.99600000000001</c:v>
                </c:pt>
                <c:pt idx="290">
                  <c:v>163.56</c:v>
                </c:pt>
                <c:pt idx="291">
                  <c:v>164.124</c:v>
                </c:pt>
                <c:pt idx="292">
                  <c:v>164.68799999999999</c:v>
                </c:pt>
                <c:pt idx="293">
                  <c:v>165.25200000000001</c:v>
                </c:pt>
                <c:pt idx="294">
                  <c:v>165.816</c:v>
                </c:pt>
                <c:pt idx="295">
                  <c:v>166.38</c:v>
                </c:pt>
                <c:pt idx="296">
                  <c:v>166.94399999999999</c:v>
                </c:pt>
                <c:pt idx="297">
                  <c:v>167.50800000000001</c:v>
                </c:pt>
                <c:pt idx="298">
                  <c:v>168.072</c:v>
                </c:pt>
                <c:pt idx="299">
                  <c:v>168.636</c:v>
                </c:pt>
                <c:pt idx="300">
                  <c:v>169.2</c:v>
                </c:pt>
                <c:pt idx="301">
                  <c:v>169.76400000000001</c:v>
                </c:pt>
                <c:pt idx="302">
                  <c:v>170.328</c:v>
                </c:pt>
                <c:pt idx="303">
                  <c:v>170.892</c:v>
                </c:pt>
                <c:pt idx="304">
                  <c:v>171.45599999999999</c:v>
                </c:pt>
                <c:pt idx="305">
                  <c:v>172.02</c:v>
                </c:pt>
                <c:pt idx="306">
                  <c:v>172.584</c:v>
                </c:pt>
                <c:pt idx="307">
                  <c:v>173.148</c:v>
                </c:pt>
                <c:pt idx="308">
                  <c:v>173.71199999999999</c:v>
                </c:pt>
                <c:pt idx="309">
                  <c:v>174.27600000000001</c:v>
                </c:pt>
                <c:pt idx="310">
                  <c:v>174.84</c:v>
                </c:pt>
                <c:pt idx="311">
                  <c:v>175.404</c:v>
                </c:pt>
                <c:pt idx="312">
                  <c:v>175.96799999999999</c:v>
                </c:pt>
                <c:pt idx="313">
                  <c:v>176.53200000000001</c:v>
                </c:pt>
                <c:pt idx="314">
                  <c:v>177.096</c:v>
                </c:pt>
                <c:pt idx="315">
                  <c:v>177.66</c:v>
                </c:pt>
                <c:pt idx="316">
                  <c:v>178.22399999999999</c:v>
                </c:pt>
                <c:pt idx="317">
                  <c:v>178.78800000000001</c:v>
                </c:pt>
                <c:pt idx="318">
                  <c:v>179.352</c:v>
                </c:pt>
                <c:pt idx="319">
                  <c:v>179.916</c:v>
                </c:pt>
                <c:pt idx="320">
                  <c:v>180.48</c:v>
                </c:pt>
                <c:pt idx="321">
                  <c:v>181.04400000000001</c:v>
                </c:pt>
                <c:pt idx="322">
                  <c:v>181.608</c:v>
                </c:pt>
                <c:pt idx="323">
                  <c:v>182.172</c:v>
                </c:pt>
                <c:pt idx="324">
                  <c:v>182.73599999999999</c:v>
                </c:pt>
                <c:pt idx="325">
                  <c:v>183.3</c:v>
                </c:pt>
                <c:pt idx="326">
                  <c:v>183.864</c:v>
                </c:pt>
                <c:pt idx="327">
                  <c:v>184.428</c:v>
                </c:pt>
                <c:pt idx="328">
                  <c:v>184.99199999999999</c:v>
                </c:pt>
                <c:pt idx="329">
                  <c:v>185.55600000000001</c:v>
                </c:pt>
                <c:pt idx="330">
                  <c:v>186.12</c:v>
                </c:pt>
                <c:pt idx="331">
                  <c:v>186.684</c:v>
                </c:pt>
                <c:pt idx="332">
                  <c:v>187.24799999999999</c:v>
                </c:pt>
                <c:pt idx="333">
                  <c:v>187.81200000000001</c:v>
                </c:pt>
                <c:pt idx="334">
                  <c:v>188.376</c:v>
                </c:pt>
                <c:pt idx="335">
                  <c:v>188.94</c:v>
                </c:pt>
                <c:pt idx="336">
                  <c:v>189.50399999999999</c:v>
                </c:pt>
                <c:pt idx="337">
                  <c:v>190.06800000000001</c:v>
                </c:pt>
                <c:pt idx="338">
                  <c:v>190.63200000000001</c:v>
                </c:pt>
                <c:pt idx="339">
                  <c:v>191.196</c:v>
                </c:pt>
                <c:pt idx="340">
                  <c:v>191.76</c:v>
                </c:pt>
                <c:pt idx="341">
                  <c:v>192.32400000000001</c:v>
                </c:pt>
                <c:pt idx="342">
                  <c:v>192.88800000000001</c:v>
                </c:pt>
                <c:pt idx="343">
                  <c:v>193.452</c:v>
                </c:pt>
                <c:pt idx="344">
                  <c:v>194.01599999999999</c:v>
                </c:pt>
                <c:pt idx="345">
                  <c:v>194.58</c:v>
                </c:pt>
                <c:pt idx="346">
                  <c:v>195.14400000000001</c:v>
                </c:pt>
                <c:pt idx="347">
                  <c:v>195.708</c:v>
                </c:pt>
                <c:pt idx="348">
                  <c:v>196.27199999999999</c:v>
                </c:pt>
                <c:pt idx="349">
                  <c:v>196.83600000000001</c:v>
                </c:pt>
                <c:pt idx="350">
                  <c:v>197.4</c:v>
                </c:pt>
                <c:pt idx="351">
                  <c:v>197.964</c:v>
                </c:pt>
                <c:pt idx="352">
                  <c:v>198.52799999999999</c:v>
                </c:pt>
                <c:pt idx="353">
                  <c:v>199.09200000000001</c:v>
                </c:pt>
                <c:pt idx="354">
                  <c:v>199.65600000000001</c:v>
                </c:pt>
                <c:pt idx="355">
                  <c:v>200.22</c:v>
                </c:pt>
                <c:pt idx="356">
                  <c:v>200.78399999999999</c:v>
                </c:pt>
                <c:pt idx="357">
                  <c:v>201.34800000000001</c:v>
                </c:pt>
                <c:pt idx="358">
                  <c:v>201.91200000000001</c:v>
                </c:pt>
                <c:pt idx="359">
                  <c:v>202.476</c:v>
                </c:pt>
                <c:pt idx="360">
                  <c:v>203.04</c:v>
                </c:pt>
                <c:pt idx="361">
                  <c:v>203.60400000000001</c:v>
                </c:pt>
                <c:pt idx="362">
                  <c:v>204.16800000000001</c:v>
                </c:pt>
                <c:pt idx="363">
                  <c:v>204.732</c:v>
                </c:pt>
                <c:pt idx="364">
                  <c:v>205.29599999999999</c:v>
                </c:pt>
                <c:pt idx="365">
                  <c:v>205.86</c:v>
                </c:pt>
                <c:pt idx="366">
                  <c:v>206.42400000000001</c:v>
                </c:pt>
                <c:pt idx="367">
                  <c:v>206.988</c:v>
                </c:pt>
                <c:pt idx="368">
                  <c:v>207.55199999999999</c:v>
                </c:pt>
                <c:pt idx="369">
                  <c:v>208.11600000000001</c:v>
                </c:pt>
                <c:pt idx="370">
                  <c:v>208.68</c:v>
                </c:pt>
                <c:pt idx="371">
                  <c:v>209.244</c:v>
                </c:pt>
                <c:pt idx="372">
                  <c:v>209.80799999999999</c:v>
                </c:pt>
                <c:pt idx="373">
                  <c:v>210.37200000000001</c:v>
                </c:pt>
                <c:pt idx="374">
                  <c:v>210.93600000000001</c:v>
                </c:pt>
                <c:pt idx="375">
                  <c:v>211.5</c:v>
                </c:pt>
                <c:pt idx="376">
                  <c:v>212.06399999999999</c:v>
                </c:pt>
                <c:pt idx="377">
                  <c:v>212.62799999999999</c:v>
                </c:pt>
                <c:pt idx="378">
                  <c:v>213.19200000000001</c:v>
                </c:pt>
                <c:pt idx="379">
                  <c:v>213.756</c:v>
                </c:pt>
                <c:pt idx="380">
                  <c:v>214.32</c:v>
                </c:pt>
                <c:pt idx="381">
                  <c:v>214.88399999999999</c:v>
                </c:pt>
                <c:pt idx="382">
                  <c:v>215.44800000000001</c:v>
                </c:pt>
                <c:pt idx="383">
                  <c:v>216.012</c:v>
                </c:pt>
                <c:pt idx="384">
                  <c:v>216.57599999999999</c:v>
                </c:pt>
                <c:pt idx="385">
                  <c:v>217.14</c:v>
                </c:pt>
                <c:pt idx="386">
                  <c:v>217.70400000000001</c:v>
                </c:pt>
                <c:pt idx="387">
                  <c:v>218.268</c:v>
                </c:pt>
                <c:pt idx="388">
                  <c:v>218.83199999999999</c:v>
                </c:pt>
                <c:pt idx="389">
                  <c:v>219.39599999999999</c:v>
                </c:pt>
                <c:pt idx="390">
                  <c:v>219.96</c:v>
                </c:pt>
                <c:pt idx="391">
                  <c:v>220.524</c:v>
                </c:pt>
                <c:pt idx="392">
                  <c:v>221.08799999999999</c:v>
                </c:pt>
                <c:pt idx="393">
                  <c:v>221.65199999999999</c:v>
                </c:pt>
                <c:pt idx="394">
                  <c:v>222.21600000000001</c:v>
                </c:pt>
                <c:pt idx="395">
                  <c:v>222.78</c:v>
                </c:pt>
                <c:pt idx="396">
                  <c:v>223.34399999999999</c:v>
                </c:pt>
                <c:pt idx="397">
                  <c:v>223.90799999999999</c:v>
                </c:pt>
                <c:pt idx="398">
                  <c:v>224.47200000000001</c:v>
                </c:pt>
                <c:pt idx="399">
                  <c:v>225.036</c:v>
                </c:pt>
                <c:pt idx="400">
                  <c:v>225.6</c:v>
                </c:pt>
                <c:pt idx="401">
                  <c:v>226.16399999999999</c:v>
                </c:pt>
                <c:pt idx="402">
                  <c:v>226.72800000000001</c:v>
                </c:pt>
                <c:pt idx="403">
                  <c:v>227.292</c:v>
                </c:pt>
                <c:pt idx="404">
                  <c:v>227.85599999999999</c:v>
                </c:pt>
                <c:pt idx="405">
                  <c:v>228.42</c:v>
                </c:pt>
                <c:pt idx="406">
                  <c:v>228.98400000000001</c:v>
                </c:pt>
                <c:pt idx="407">
                  <c:v>229.548</c:v>
                </c:pt>
                <c:pt idx="408">
                  <c:v>230.11199999999999</c:v>
                </c:pt>
                <c:pt idx="409">
                  <c:v>230.67599999999999</c:v>
                </c:pt>
                <c:pt idx="410">
                  <c:v>231.24</c:v>
                </c:pt>
                <c:pt idx="411">
                  <c:v>231.804</c:v>
                </c:pt>
                <c:pt idx="412">
                  <c:v>232.36799999999999</c:v>
                </c:pt>
                <c:pt idx="413">
                  <c:v>232.93199999999999</c:v>
                </c:pt>
                <c:pt idx="414">
                  <c:v>233.49600000000001</c:v>
                </c:pt>
                <c:pt idx="415">
                  <c:v>234.06</c:v>
                </c:pt>
                <c:pt idx="416">
                  <c:v>234.624</c:v>
                </c:pt>
                <c:pt idx="417">
                  <c:v>235.18799999999999</c:v>
                </c:pt>
                <c:pt idx="418">
                  <c:v>235.75200000000001</c:v>
                </c:pt>
                <c:pt idx="419">
                  <c:v>236.316</c:v>
                </c:pt>
                <c:pt idx="420">
                  <c:v>236.88</c:v>
                </c:pt>
                <c:pt idx="421">
                  <c:v>237.44399999999999</c:v>
                </c:pt>
                <c:pt idx="422">
                  <c:v>238.00800000000001</c:v>
                </c:pt>
                <c:pt idx="423">
                  <c:v>238.572</c:v>
                </c:pt>
                <c:pt idx="424">
                  <c:v>239.136</c:v>
                </c:pt>
                <c:pt idx="425">
                  <c:v>239.7</c:v>
                </c:pt>
                <c:pt idx="426">
                  <c:v>240.26400000000001</c:v>
                </c:pt>
                <c:pt idx="427">
                  <c:v>240.828</c:v>
                </c:pt>
                <c:pt idx="428">
                  <c:v>241.392</c:v>
                </c:pt>
                <c:pt idx="429">
                  <c:v>241.95599999999999</c:v>
                </c:pt>
                <c:pt idx="430">
                  <c:v>242.52</c:v>
                </c:pt>
                <c:pt idx="431">
                  <c:v>243.084</c:v>
                </c:pt>
                <c:pt idx="432">
                  <c:v>243.648</c:v>
                </c:pt>
                <c:pt idx="433">
                  <c:v>244.21199999999999</c:v>
                </c:pt>
                <c:pt idx="434">
                  <c:v>244.77600000000001</c:v>
                </c:pt>
                <c:pt idx="435">
                  <c:v>245.34</c:v>
                </c:pt>
                <c:pt idx="436">
                  <c:v>245.904</c:v>
                </c:pt>
                <c:pt idx="437">
                  <c:v>246.46799999999999</c:v>
                </c:pt>
                <c:pt idx="438">
                  <c:v>247.03200000000001</c:v>
                </c:pt>
                <c:pt idx="439">
                  <c:v>247.596</c:v>
                </c:pt>
                <c:pt idx="440">
                  <c:v>248.16</c:v>
                </c:pt>
                <c:pt idx="441">
                  <c:v>248.72399999999999</c:v>
                </c:pt>
                <c:pt idx="442">
                  <c:v>249.28800000000001</c:v>
                </c:pt>
                <c:pt idx="443">
                  <c:v>249.852</c:v>
                </c:pt>
                <c:pt idx="444">
                  <c:v>250.416</c:v>
                </c:pt>
                <c:pt idx="445">
                  <c:v>250.98</c:v>
                </c:pt>
                <c:pt idx="446">
                  <c:v>251.54400000000001</c:v>
                </c:pt>
                <c:pt idx="447">
                  <c:v>252.108</c:v>
                </c:pt>
                <c:pt idx="448">
                  <c:v>252.672</c:v>
                </c:pt>
                <c:pt idx="449">
                  <c:v>253.23599999999999</c:v>
                </c:pt>
                <c:pt idx="450">
                  <c:v>253.8</c:v>
                </c:pt>
                <c:pt idx="451">
                  <c:v>254.364</c:v>
                </c:pt>
                <c:pt idx="452">
                  <c:v>254.928</c:v>
                </c:pt>
                <c:pt idx="453">
                  <c:v>255.49199999999999</c:v>
                </c:pt>
                <c:pt idx="454">
                  <c:v>256.05599999999998</c:v>
                </c:pt>
                <c:pt idx="455">
                  <c:v>256.62</c:v>
                </c:pt>
                <c:pt idx="456">
                  <c:v>257.18400000000003</c:v>
                </c:pt>
                <c:pt idx="457">
                  <c:v>257.74799999999999</c:v>
                </c:pt>
                <c:pt idx="458">
                  <c:v>258.31200000000001</c:v>
                </c:pt>
                <c:pt idx="459">
                  <c:v>258.87599999999998</c:v>
                </c:pt>
                <c:pt idx="460">
                  <c:v>259.44</c:v>
                </c:pt>
                <c:pt idx="461">
                  <c:v>260.00400000000002</c:v>
                </c:pt>
                <c:pt idx="462">
                  <c:v>260.56799999999998</c:v>
                </c:pt>
                <c:pt idx="463">
                  <c:v>261.13200000000001</c:v>
                </c:pt>
                <c:pt idx="464">
                  <c:v>261.69600000000003</c:v>
                </c:pt>
                <c:pt idx="465">
                  <c:v>262.26</c:v>
                </c:pt>
                <c:pt idx="466">
                  <c:v>262.82400000000001</c:v>
                </c:pt>
                <c:pt idx="467">
                  <c:v>263.38799999999998</c:v>
                </c:pt>
                <c:pt idx="468">
                  <c:v>263.952</c:v>
                </c:pt>
                <c:pt idx="469">
                  <c:v>264.51600000000002</c:v>
                </c:pt>
                <c:pt idx="470">
                  <c:v>265.08</c:v>
                </c:pt>
                <c:pt idx="471">
                  <c:v>265.64400000000001</c:v>
                </c:pt>
                <c:pt idx="472">
                  <c:v>266.20800000000003</c:v>
                </c:pt>
                <c:pt idx="473">
                  <c:v>266.77199999999999</c:v>
                </c:pt>
                <c:pt idx="474">
                  <c:v>267.33600000000001</c:v>
                </c:pt>
                <c:pt idx="475">
                  <c:v>267.89999999999998</c:v>
                </c:pt>
                <c:pt idx="476">
                  <c:v>268.464</c:v>
                </c:pt>
                <c:pt idx="477">
                  <c:v>269.02800000000002</c:v>
                </c:pt>
                <c:pt idx="478">
                  <c:v>269.59199999999998</c:v>
                </c:pt>
                <c:pt idx="479">
                  <c:v>270.15600000000001</c:v>
                </c:pt>
                <c:pt idx="480">
                  <c:v>270.72000000000003</c:v>
                </c:pt>
                <c:pt idx="481">
                  <c:v>271.28399999999999</c:v>
                </c:pt>
                <c:pt idx="482">
                  <c:v>271.84800000000001</c:v>
                </c:pt>
                <c:pt idx="483">
                  <c:v>272.41199999999998</c:v>
                </c:pt>
                <c:pt idx="484">
                  <c:v>272.976</c:v>
                </c:pt>
                <c:pt idx="485">
                  <c:v>273.54000000000002</c:v>
                </c:pt>
                <c:pt idx="486">
                  <c:v>274.10399999999998</c:v>
                </c:pt>
                <c:pt idx="487">
                  <c:v>274.66800000000001</c:v>
                </c:pt>
                <c:pt idx="488">
                  <c:v>275.23200000000003</c:v>
                </c:pt>
                <c:pt idx="489">
                  <c:v>275.79599999999999</c:v>
                </c:pt>
                <c:pt idx="490">
                  <c:v>276.36</c:v>
                </c:pt>
                <c:pt idx="491">
                  <c:v>276.92399999999998</c:v>
                </c:pt>
                <c:pt idx="492">
                  <c:v>277.488</c:v>
                </c:pt>
                <c:pt idx="493">
                  <c:v>278.05200000000002</c:v>
                </c:pt>
                <c:pt idx="494">
                  <c:v>278.61599999999999</c:v>
                </c:pt>
                <c:pt idx="495">
                  <c:v>279.18</c:v>
                </c:pt>
                <c:pt idx="496">
                  <c:v>279.74400000000003</c:v>
                </c:pt>
                <c:pt idx="497">
                  <c:v>280.30799999999999</c:v>
                </c:pt>
                <c:pt idx="498">
                  <c:v>280.87200000000001</c:v>
                </c:pt>
                <c:pt idx="499">
                  <c:v>281.43599999999998</c:v>
                </c:pt>
                <c:pt idx="500">
                  <c:v>282</c:v>
                </c:pt>
                <c:pt idx="501">
                  <c:v>282.56400000000002</c:v>
                </c:pt>
                <c:pt idx="502">
                  <c:v>283.12799999999999</c:v>
                </c:pt>
                <c:pt idx="503">
                  <c:v>283.69200000000001</c:v>
                </c:pt>
                <c:pt idx="504">
                  <c:v>284.25599999999997</c:v>
                </c:pt>
                <c:pt idx="505">
                  <c:v>284.82</c:v>
                </c:pt>
                <c:pt idx="506">
                  <c:v>285.38400000000001</c:v>
                </c:pt>
                <c:pt idx="507">
                  <c:v>285.94799999999998</c:v>
                </c:pt>
                <c:pt idx="508">
                  <c:v>286.512</c:v>
                </c:pt>
                <c:pt idx="509">
                  <c:v>287.07600000000002</c:v>
                </c:pt>
                <c:pt idx="510">
                  <c:v>287.64</c:v>
                </c:pt>
                <c:pt idx="511">
                  <c:v>288.20400000000001</c:v>
                </c:pt>
                <c:pt idx="512">
                  <c:v>288.76799999999997</c:v>
                </c:pt>
                <c:pt idx="513">
                  <c:v>289.33199999999999</c:v>
                </c:pt>
                <c:pt idx="514">
                  <c:v>289.89600000000002</c:v>
                </c:pt>
                <c:pt idx="515">
                  <c:v>290.45999999999998</c:v>
                </c:pt>
                <c:pt idx="516">
                  <c:v>291.024</c:v>
                </c:pt>
                <c:pt idx="517">
                  <c:v>291.58800000000002</c:v>
                </c:pt>
                <c:pt idx="518">
                  <c:v>292.15199999999999</c:v>
                </c:pt>
                <c:pt idx="519">
                  <c:v>292.71600000000001</c:v>
                </c:pt>
                <c:pt idx="520">
                  <c:v>293.27999999999997</c:v>
                </c:pt>
                <c:pt idx="521">
                  <c:v>293.84399999999999</c:v>
                </c:pt>
                <c:pt idx="522">
                  <c:v>294.40800000000002</c:v>
                </c:pt>
                <c:pt idx="523">
                  <c:v>294.97199999999998</c:v>
                </c:pt>
                <c:pt idx="524">
                  <c:v>295.536</c:v>
                </c:pt>
                <c:pt idx="525">
                  <c:v>296.10000000000002</c:v>
                </c:pt>
                <c:pt idx="526">
                  <c:v>296.66399999999999</c:v>
                </c:pt>
                <c:pt idx="527">
                  <c:v>297.22800000000001</c:v>
                </c:pt>
                <c:pt idx="528">
                  <c:v>297.79199999999997</c:v>
                </c:pt>
                <c:pt idx="529">
                  <c:v>298.35599999999999</c:v>
                </c:pt>
                <c:pt idx="530">
                  <c:v>298.92</c:v>
                </c:pt>
                <c:pt idx="531">
                  <c:v>299.48399999999998</c:v>
                </c:pt>
                <c:pt idx="532">
                  <c:v>300.048</c:v>
                </c:pt>
                <c:pt idx="533">
                  <c:v>300.61200000000002</c:v>
                </c:pt>
                <c:pt idx="534">
                  <c:v>301.17599999999999</c:v>
                </c:pt>
                <c:pt idx="535">
                  <c:v>301.74</c:v>
                </c:pt>
                <c:pt idx="536">
                  <c:v>302.30399999999997</c:v>
                </c:pt>
                <c:pt idx="537">
                  <c:v>302.86799999999999</c:v>
                </c:pt>
                <c:pt idx="538">
                  <c:v>303.43200000000002</c:v>
                </c:pt>
                <c:pt idx="539">
                  <c:v>303.99599999999998</c:v>
                </c:pt>
                <c:pt idx="540">
                  <c:v>304.56</c:v>
                </c:pt>
                <c:pt idx="541">
                  <c:v>305.12400000000002</c:v>
                </c:pt>
                <c:pt idx="542">
                  <c:v>305.68799999999999</c:v>
                </c:pt>
                <c:pt idx="543">
                  <c:v>306.25200000000001</c:v>
                </c:pt>
                <c:pt idx="544">
                  <c:v>306.81599999999997</c:v>
                </c:pt>
                <c:pt idx="545">
                  <c:v>307.38</c:v>
                </c:pt>
                <c:pt idx="546">
                  <c:v>307.94400000000002</c:v>
                </c:pt>
                <c:pt idx="547">
                  <c:v>308.50799999999998</c:v>
                </c:pt>
                <c:pt idx="548">
                  <c:v>309.072</c:v>
                </c:pt>
                <c:pt idx="549">
                  <c:v>309.63600000000002</c:v>
                </c:pt>
                <c:pt idx="550">
                  <c:v>310.2</c:v>
                </c:pt>
                <c:pt idx="551">
                  <c:v>310.76400000000001</c:v>
                </c:pt>
                <c:pt idx="552">
                  <c:v>311.32799999999997</c:v>
                </c:pt>
                <c:pt idx="553">
                  <c:v>311.892</c:v>
                </c:pt>
                <c:pt idx="554">
                  <c:v>312.45600000000002</c:v>
                </c:pt>
                <c:pt idx="555">
                  <c:v>313.02</c:v>
                </c:pt>
                <c:pt idx="556">
                  <c:v>313.584</c:v>
                </c:pt>
                <c:pt idx="557">
                  <c:v>314.14800000000002</c:v>
                </c:pt>
                <c:pt idx="558">
                  <c:v>314.71199999999999</c:v>
                </c:pt>
                <c:pt idx="559">
                  <c:v>315.27600000000001</c:v>
                </c:pt>
                <c:pt idx="560">
                  <c:v>315.83999999999997</c:v>
                </c:pt>
                <c:pt idx="561">
                  <c:v>316.404</c:v>
                </c:pt>
                <c:pt idx="562">
                  <c:v>316.96800000000002</c:v>
                </c:pt>
                <c:pt idx="563">
                  <c:v>317.53199999999998</c:v>
                </c:pt>
                <c:pt idx="564">
                  <c:v>318.096</c:v>
                </c:pt>
                <c:pt idx="565">
                  <c:v>318.66000000000003</c:v>
                </c:pt>
                <c:pt idx="566">
                  <c:v>319.22399999999999</c:v>
                </c:pt>
                <c:pt idx="567">
                  <c:v>319.78800000000001</c:v>
                </c:pt>
                <c:pt idx="568">
                  <c:v>320.35199999999998</c:v>
                </c:pt>
                <c:pt idx="569">
                  <c:v>320.916</c:v>
                </c:pt>
                <c:pt idx="570">
                  <c:v>321.48</c:v>
                </c:pt>
                <c:pt idx="571">
                  <c:v>322.04399999999998</c:v>
                </c:pt>
                <c:pt idx="572">
                  <c:v>322.608</c:v>
                </c:pt>
                <c:pt idx="573">
                  <c:v>323.17200000000003</c:v>
                </c:pt>
                <c:pt idx="574">
                  <c:v>323.73599999999999</c:v>
                </c:pt>
                <c:pt idx="575">
                  <c:v>324.3</c:v>
                </c:pt>
                <c:pt idx="576">
                  <c:v>324.86399999999998</c:v>
                </c:pt>
                <c:pt idx="577">
                  <c:v>325.428</c:v>
                </c:pt>
                <c:pt idx="578">
                  <c:v>325.99200000000002</c:v>
                </c:pt>
                <c:pt idx="579">
                  <c:v>326.55599999999998</c:v>
                </c:pt>
                <c:pt idx="580">
                  <c:v>327.12</c:v>
                </c:pt>
                <c:pt idx="581">
                  <c:v>327.68400000000003</c:v>
                </c:pt>
                <c:pt idx="582">
                  <c:v>328.24799999999999</c:v>
                </c:pt>
                <c:pt idx="583">
                  <c:v>328.81200000000001</c:v>
                </c:pt>
                <c:pt idx="584">
                  <c:v>329.37599999999998</c:v>
                </c:pt>
                <c:pt idx="585">
                  <c:v>329.94</c:v>
                </c:pt>
                <c:pt idx="586">
                  <c:v>330.50400000000002</c:v>
                </c:pt>
                <c:pt idx="587">
                  <c:v>331.06799999999998</c:v>
                </c:pt>
                <c:pt idx="588">
                  <c:v>331.63200000000001</c:v>
                </c:pt>
                <c:pt idx="589">
                  <c:v>332.19600000000003</c:v>
                </c:pt>
                <c:pt idx="590">
                  <c:v>332.76</c:v>
                </c:pt>
                <c:pt idx="591">
                  <c:v>333.32400000000001</c:v>
                </c:pt>
                <c:pt idx="592">
                  <c:v>333.88799999999998</c:v>
                </c:pt>
                <c:pt idx="593">
                  <c:v>334.452</c:v>
                </c:pt>
                <c:pt idx="594">
                  <c:v>335.01600000000002</c:v>
                </c:pt>
                <c:pt idx="595">
                  <c:v>335.58</c:v>
                </c:pt>
                <c:pt idx="596">
                  <c:v>336.14400000000001</c:v>
                </c:pt>
                <c:pt idx="597">
                  <c:v>336.70800000000003</c:v>
                </c:pt>
                <c:pt idx="598">
                  <c:v>337.27199999999999</c:v>
                </c:pt>
                <c:pt idx="599">
                  <c:v>337.83600000000001</c:v>
                </c:pt>
                <c:pt idx="600">
                  <c:v>338.4</c:v>
                </c:pt>
                <c:pt idx="601">
                  <c:v>338.964</c:v>
                </c:pt>
                <c:pt idx="602">
                  <c:v>339.52800000000002</c:v>
                </c:pt>
                <c:pt idx="603">
                  <c:v>340.09199999999998</c:v>
                </c:pt>
                <c:pt idx="604">
                  <c:v>340.65600000000001</c:v>
                </c:pt>
                <c:pt idx="605">
                  <c:v>341.22</c:v>
                </c:pt>
                <c:pt idx="606">
                  <c:v>341.78399999999999</c:v>
                </c:pt>
                <c:pt idx="607">
                  <c:v>342.34800000000001</c:v>
                </c:pt>
                <c:pt idx="608">
                  <c:v>342.91199999999998</c:v>
                </c:pt>
                <c:pt idx="609">
                  <c:v>343.476</c:v>
                </c:pt>
                <c:pt idx="610">
                  <c:v>344.04</c:v>
                </c:pt>
                <c:pt idx="611">
                  <c:v>344.60399999999998</c:v>
                </c:pt>
                <c:pt idx="612">
                  <c:v>345.16800000000001</c:v>
                </c:pt>
                <c:pt idx="613">
                  <c:v>345.73200000000003</c:v>
                </c:pt>
                <c:pt idx="614">
                  <c:v>346.29599999999999</c:v>
                </c:pt>
                <c:pt idx="615">
                  <c:v>346.86</c:v>
                </c:pt>
                <c:pt idx="616">
                  <c:v>347.42399999999998</c:v>
                </c:pt>
                <c:pt idx="617">
                  <c:v>347.988</c:v>
                </c:pt>
                <c:pt idx="618">
                  <c:v>348.55200000000002</c:v>
                </c:pt>
                <c:pt idx="619">
                  <c:v>349.11599999999999</c:v>
                </c:pt>
                <c:pt idx="620">
                  <c:v>349.68</c:v>
                </c:pt>
                <c:pt idx="621">
                  <c:v>350.24400000000003</c:v>
                </c:pt>
                <c:pt idx="622">
                  <c:v>350.80799999999999</c:v>
                </c:pt>
                <c:pt idx="623">
                  <c:v>351.37200000000001</c:v>
                </c:pt>
                <c:pt idx="624">
                  <c:v>351.93599999999998</c:v>
                </c:pt>
                <c:pt idx="625">
                  <c:v>352.5</c:v>
                </c:pt>
                <c:pt idx="626">
                  <c:v>353.06400000000002</c:v>
                </c:pt>
                <c:pt idx="627">
                  <c:v>353.62799999999999</c:v>
                </c:pt>
                <c:pt idx="628">
                  <c:v>354.19200000000001</c:v>
                </c:pt>
                <c:pt idx="629">
                  <c:v>354.75599999999997</c:v>
                </c:pt>
                <c:pt idx="630">
                  <c:v>355.32</c:v>
                </c:pt>
                <c:pt idx="631">
                  <c:v>355.88400000000001</c:v>
                </c:pt>
                <c:pt idx="632">
                  <c:v>356.44799999999998</c:v>
                </c:pt>
                <c:pt idx="633">
                  <c:v>357.012</c:v>
                </c:pt>
                <c:pt idx="634">
                  <c:v>357.57600000000002</c:v>
                </c:pt>
                <c:pt idx="635">
                  <c:v>358.14</c:v>
                </c:pt>
                <c:pt idx="636">
                  <c:v>358.70400000000001</c:v>
                </c:pt>
                <c:pt idx="637">
                  <c:v>359.26799999999997</c:v>
                </c:pt>
                <c:pt idx="638">
                  <c:v>359.83199999999999</c:v>
                </c:pt>
                <c:pt idx="639">
                  <c:v>360.39600000000002</c:v>
                </c:pt>
                <c:pt idx="640">
                  <c:v>360.96</c:v>
                </c:pt>
                <c:pt idx="641">
                  <c:v>361.524</c:v>
                </c:pt>
                <c:pt idx="642">
                  <c:v>362.08800000000002</c:v>
                </c:pt>
                <c:pt idx="643">
                  <c:v>362.65199999999999</c:v>
                </c:pt>
                <c:pt idx="644">
                  <c:v>363.21600000000001</c:v>
                </c:pt>
                <c:pt idx="645">
                  <c:v>363.78</c:v>
                </c:pt>
                <c:pt idx="646">
                  <c:v>364.34399999999999</c:v>
                </c:pt>
                <c:pt idx="647">
                  <c:v>364.90800000000002</c:v>
                </c:pt>
                <c:pt idx="648">
                  <c:v>365.47199999999998</c:v>
                </c:pt>
                <c:pt idx="649">
                  <c:v>366.036</c:v>
                </c:pt>
                <c:pt idx="650">
                  <c:v>366.6</c:v>
                </c:pt>
                <c:pt idx="651">
                  <c:v>367.16399999999999</c:v>
                </c:pt>
                <c:pt idx="652">
                  <c:v>367.72800000000001</c:v>
                </c:pt>
                <c:pt idx="653">
                  <c:v>368.29199999999997</c:v>
                </c:pt>
                <c:pt idx="654">
                  <c:v>368.85599999999999</c:v>
                </c:pt>
                <c:pt idx="655">
                  <c:v>369.42</c:v>
                </c:pt>
                <c:pt idx="656">
                  <c:v>369.98399999999998</c:v>
                </c:pt>
                <c:pt idx="657">
                  <c:v>370.548</c:v>
                </c:pt>
                <c:pt idx="658">
                  <c:v>371.11200000000002</c:v>
                </c:pt>
                <c:pt idx="659">
                  <c:v>371.67599999999999</c:v>
                </c:pt>
                <c:pt idx="660">
                  <c:v>372.24</c:v>
                </c:pt>
                <c:pt idx="661">
                  <c:v>372.80399999999997</c:v>
                </c:pt>
                <c:pt idx="662">
                  <c:v>373.36799999999999</c:v>
                </c:pt>
                <c:pt idx="663">
                  <c:v>373.93200000000002</c:v>
                </c:pt>
                <c:pt idx="664">
                  <c:v>374.49599999999998</c:v>
                </c:pt>
                <c:pt idx="665">
                  <c:v>375.06</c:v>
                </c:pt>
                <c:pt idx="666">
                  <c:v>375.62400000000002</c:v>
                </c:pt>
                <c:pt idx="667">
                  <c:v>376.18799999999999</c:v>
                </c:pt>
                <c:pt idx="668">
                  <c:v>376.75200000000001</c:v>
                </c:pt>
                <c:pt idx="669">
                  <c:v>377.31599999999997</c:v>
                </c:pt>
                <c:pt idx="670">
                  <c:v>377.88</c:v>
                </c:pt>
                <c:pt idx="671">
                  <c:v>378.44400000000002</c:v>
                </c:pt>
                <c:pt idx="672">
                  <c:v>379.00799999999998</c:v>
                </c:pt>
                <c:pt idx="673">
                  <c:v>379.572</c:v>
                </c:pt>
                <c:pt idx="674">
                  <c:v>380.13600000000002</c:v>
                </c:pt>
                <c:pt idx="675">
                  <c:v>380.7</c:v>
                </c:pt>
                <c:pt idx="676">
                  <c:v>381.26400000000001</c:v>
                </c:pt>
                <c:pt idx="677">
                  <c:v>381.82799999999997</c:v>
                </c:pt>
                <c:pt idx="678">
                  <c:v>382.392</c:v>
                </c:pt>
                <c:pt idx="679">
                  <c:v>382.95600000000002</c:v>
                </c:pt>
                <c:pt idx="680">
                  <c:v>383.52</c:v>
                </c:pt>
                <c:pt idx="681">
                  <c:v>384.084</c:v>
                </c:pt>
                <c:pt idx="682">
                  <c:v>384.64800000000002</c:v>
                </c:pt>
                <c:pt idx="683">
                  <c:v>385.21199999999999</c:v>
                </c:pt>
                <c:pt idx="684">
                  <c:v>385.77600000000001</c:v>
                </c:pt>
                <c:pt idx="685">
                  <c:v>386.34</c:v>
                </c:pt>
                <c:pt idx="686">
                  <c:v>386.904</c:v>
                </c:pt>
                <c:pt idx="687">
                  <c:v>387.46800000000002</c:v>
                </c:pt>
                <c:pt idx="688">
                  <c:v>388.03199999999998</c:v>
                </c:pt>
                <c:pt idx="689">
                  <c:v>388.596</c:v>
                </c:pt>
                <c:pt idx="690">
                  <c:v>389.16</c:v>
                </c:pt>
                <c:pt idx="691">
                  <c:v>389.72399999999999</c:v>
                </c:pt>
                <c:pt idx="692">
                  <c:v>390.28800000000001</c:v>
                </c:pt>
                <c:pt idx="693">
                  <c:v>390.85199999999998</c:v>
                </c:pt>
                <c:pt idx="694">
                  <c:v>391.416</c:v>
                </c:pt>
                <c:pt idx="695">
                  <c:v>391.98</c:v>
                </c:pt>
                <c:pt idx="696">
                  <c:v>392.54399999999998</c:v>
                </c:pt>
                <c:pt idx="697">
                  <c:v>393.108</c:v>
                </c:pt>
                <c:pt idx="698">
                  <c:v>393.67200000000003</c:v>
                </c:pt>
                <c:pt idx="699">
                  <c:v>394.23599999999999</c:v>
                </c:pt>
                <c:pt idx="700">
                  <c:v>394.8</c:v>
                </c:pt>
                <c:pt idx="701">
                  <c:v>395.36399999999998</c:v>
                </c:pt>
                <c:pt idx="702">
                  <c:v>395.928</c:v>
                </c:pt>
                <c:pt idx="703">
                  <c:v>396.49200000000002</c:v>
                </c:pt>
                <c:pt idx="704">
                  <c:v>397.05599999999998</c:v>
                </c:pt>
                <c:pt idx="705">
                  <c:v>397.62</c:v>
                </c:pt>
                <c:pt idx="706">
                  <c:v>398.18400000000003</c:v>
                </c:pt>
                <c:pt idx="707">
                  <c:v>398.74799999999999</c:v>
                </c:pt>
                <c:pt idx="708">
                  <c:v>399.31200000000001</c:v>
                </c:pt>
                <c:pt idx="709">
                  <c:v>399.87599999999998</c:v>
                </c:pt>
                <c:pt idx="710">
                  <c:v>400.44</c:v>
                </c:pt>
                <c:pt idx="711">
                  <c:v>401.00400000000002</c:v>
                </c:pt>
                <c:pt idx="712">
                  <c:v>401.56799999999998</c:v>
                </c:pt>
                <c:pt idx="713">
                  <c:v>402.13200000000001</c:v>
                </c:pt>
                <c:pt idx="714">
                  <c:v>402.69600000000003</c:v>
                </c:pt>
                <c:pt idx="715">
                  <c:v>403.26</c:v>
                </c:pt>
                <c:pt idx="716">
                  <c:v>403.82400000000001</c:v>
                </c:pt>
                <c:pt idx="717">
                  <c:v>404.38799999999998</c:v>
                </c:pt>
                <c:pt idx="718">
                  <c:v>404.952</c:v>
                </c:pt>
                <c:pt idx="719">
                  <c:v>405.51600000000002</c:v>
                </c:pt>
                <c:pt idx="720">
                  <c:v>406.08</c:v>
                </c:pt>
                <c:pt idx="721">
                  <c:v>406.64400000000001</c:v>
                </c:pt>
                <c:pt idx="722">
                  <c:v>407.20800000000003</c:v>
                </c:pt>
                <c:pt idx="723">
                  <c:v>407.77199999999999</c:v>
                </c:pt>
                <c:pt idx="724">
                  <c:v>408.33600000000001</c:v>
                </c:pt>
                <c:pt idx="725">
                  <c:v>408.9</c:v>
                </c:pt>
                <c:pt idx="726">
                  <c:v>409.464</c:v>
                </c:pt>
                <c:pt idx="727">
                  <c:v>410.02800000000002</c:v>
                </c:pt>
                <c:pt idx="728">
                  <c:v>410.59199999999998</c:v>
                </c:pt>
                <c:pt idx="729">
                  <c:v>411.15600000000001</c:v>
                </c:pt>
                <c:pt idx="730">
                  <c:v>411.72</c:v>
                </c:pt>
                <c:pt idx="731">
                  <c:v>412.28399999999999</c:v>
                </c:pt>
                <c:pt idx="732">
                  <c:v>412.84800000000001</c:v>
                </c:pt>
                <c:pt idx="733">
                  <c:v>413.41199999999998</c:v>
                </c:pt>
                <c:pt idx="734">
                  <c:v>413.976</c:v>
                </c:pt>
                <c:pt idx="735">
                  <c:v>414.54</c:v>
                </c:pt>
                <c:pt idx="736">
                  <c:v>415.10399999999998</c:v>
                </c:pt>
                <c:pt idx="737">
                  <c:v>415.66800000000001</c:v>
                </c:pt>
                <c:pt idx="738">
                  <c:v>416.23200000000003</c:v>
                </c:pt>
                <c:pt idx="739">
                  <c:v>416.79599999999999</c:v>
                </c:pt>
                <c:pt idx="740">
                  <c:v>417.36</c:v>
                </c:pt>
                <c:pt idx="741">
                  <c:v>417.92399999999998</c:v>
                </c:pt>
                <c:pt idx="742">
                  <c:v>418.488</c:v>
                </c:pt>
                <c:pt idx="743">
                  <c:v>419.05200000000002</c:v>
                </c:pt>
                <c:pt idx="744">
                  <c:v>419.61599999999999</c:v>
                </c:pt>
                <c:pt idx="745">
                  <c:v>420.18</c:v>
                </c:pt>
                <c:pt idx="746">
                  <c:v>420.74400000000003</c:v>
                </c:pt>
                <c:pt idx="747">
                  <c:v>421.30799999999999</c:v>
                </c:pt>
                <c:pt idx="748">
                  <c:v>421.87200000000001</c:v>
                </c:pt>
                <c:pt idx="749">
                  <c:v>422.43599999999998</c:v>
                </c:pt>
                <c:pt idx="750">
                  <c:v>423</c:v>
                </c:pt>
                <c:pt idx="751">
                  <c:v>423.56400000000002</c:v>
                </c:pt>
                <c:pt idx="752">
                  <c:v>424.12799999999999</c:v>
                </c:pt>
                <c:pt idx="753">
                  <c:v>424.69200000000001</c:v>
                </c:pt>
                <c:pt idx="754">
                  <c:v>425.25599999999997</c:v>
                </c:pt>
                <c:pt idx="755">
                  <c:v>425.82</c:v>
                </c:pt>
                <c:pt idx="756">
                  <c:v>426.38400000000001</c:v>
                </c:pt>
                <c:pt idx="757">
                  <c:v>426.94799999999998</c:v>
                </c:pt>
                <c:pt idx="758">
                  <c:v>427.512</c:v>
                </c:pt>
                <c:pt idx="759">
                  <c:v>428.07600000000002</c:v>
                </c:pt>
                <c:pt idx="760">
                  <c:v>428.64</c:v>
                </c:pt>
                <c:pt idx="761">
                  <c:v>429.20400000000001</c:v>
                </c:pt>
                <c:pt idx="762">
                  <c:v>429.76799999999997</c:v>
                </c:pt>
                <c:pt idx="763">
                  <c:v>430.33199999999999</c:v>
                </c:pt>
                <c:pt idx="764">
                  <c:v>430.89600000000002</c:v>
                </c:pt>
                <c:pt idx="765">
                  <c:v>431.46</c:v>
                </c:pt>
                <c:pt idx="766">
                  <c:v>432.024</c:v>
                </c:pt>
                <c:pt idx="767">
                  <c:v>432.58800000000002</c:v>
                </c:pt>
                <c:pt idx="768">
                  <c:v>433.15199999999999</c:v>
                </c:pt>
                <c:pt idx="769">
                  <c:v>433.71600000000001</c:v>
                </c:pt>
                <c:pt idx="770">
                  <c:v>434.28</c:v>
                </c:pt>
                <c:pt idx="771">
                  <c:v>434.84399999999999</c:v>
                </c:pt>
                <c:pt idx="772">
                  <c:v>435.40800000000002</c:v>
                </c:pt>
                <c:pt idx="773">
                  <c:v>435.97199999999998</c:v>
                </c:pt>
                <c:pt idx="774">
                  <c:v>436.536</c:v>
                </c:pt>
                <c:pt idx="775">
                  <c:v>437.1</c:v>
                </c:pt>
                <c:pt idx="776">
                  <c:v>437.66399999999999</c:v>
                </c:pt>
                <c:pt idx="777">
                  <c:v>438.22800000000001</c:v>
                </c:pt>
                <c:pt idx="778">
                  <c:v>438.79199999999997</c:v>
                </c:pt>
                <c:pt idx="779">
                  <c:v>439.35599999999999</c:v>
                </c:pt>
                <c:pt idx="780">
                  <c:v>439.92</c:v>
                </c:pt>
                <c:pt idx="781">
                  <c:v>440.48399999999998</c:v>
                </c:pt>
                <c:pt idx="782">
                  <c:v>441.048</c:v>
                </c:pt>
                <c:pt idx="783">
                  <c:v>441.61200000000002</c:v>
                </c:pt>
                <c:pt idx="784">
                  <c:v>442.17599999999999</c:v>
                </c:pt>
                <c:pt idx="785">
                  <c:v>442.74</c:v>
                </c:pt>
                <c:pt idx="786">
                  <c:v>443.30399999999997</c:v>
                </c:pt>
                <c:pt idx="787">
                  <c:v>443.86799999999999</c:v>
                </c:pt>
                <c:pt idx="788">
                  <c:v>444.43200000000002</c:v>
                </c:pt>
                <c:pt idx="789">
                  <c:v>444.99599999999998</c:v>
                </c:pt>
                <c:pt idx="790">
                  <c:v>445.56</c:v>
                </c:pt>
                <c:pt idx="791">
                  <c:v>446.12400000000002</c:v>
                </c:pt>
                <c:pt idx="792">
                  <c:v>446.68799999999999</c:v>
                </c:pt>
                <c:pt idx="793">
                  <c:v>447.25200000000001</c:v>
                </c:pt>
                <c:pt idx="794">
                  <c:v>447.81599999999997</c:v>
                </c:pt>
                <c:pt idx="795">
                  <c:v>448.38</c:v>
                </c:pt>
                <c:pt idx="796">
                  <c:v>448.94400000000002</c:v>
                </c:pt>
                <c:pt idx="797">
                  <c:v>449.50799999999998</c:v>
                </c:pt>
                <c:pt idx="798">
                  <c:v>450.072</c:v>
                </c:pt>
                <c:pt idx="799">
                  <c:v>450.63600000000002</c:v>
                </c:pt>
                <c:pt idx="800">
                  <c:v>451.2</c:v>
                </c:pt>
                <c:pt idx="801">
                  <c:v>451.76400000000001</c:v>
                </c:pt>
                <c:pt idx="802">
                  <c:v>452.32799999999997</c:v>
                </c:pt>
                <c:pt idx="803">
                  <c:v>452.892</c:v>
                </c:pt>
                <c:pt idx="804">
                  <c:v>453.45600000000002</c:v>
                </c:pt>
                <c:pt idx="805">
                  <c:v>454.02</c:v>
                </c:pt>
                <c:pt idx="806">
                  <c:v>454.584</c:v>
                </c:pt>
                <c:pt idx="807">
                  <c:v>455.14800000000002</c:v>
                </c:pt>
                <c:pt idx="808">
                  <c:v>455.71199999999999</c:v>
                </c:pt>
                <c:pt idx="809">
                  <c:v>456.27600000000001</c:v>
                </c:pt>
                <c:pt idx="810">
                  <c:v>456.84</c:v>
                </c:pt>
                <c:pt idx="811">
                  <c:v>457.404</c:v>
                </c:pt>
                <c:pt idx="812">
                  <c:v>457.96800000000002</c:v>
                </c:pt>
                <c:pt idx="813">
                  <c:v>458.53199999999998</c:v>
                </c:pt>
                <c:pt idx="814">
                  <c:v>459.096</c:v>
                </c:pt>
                <c:pt idx="815">
                  <c:v>459.66</c:v>
                </c:pt>
                <c:pt idx="816">
                  <c:v>460.22399999999999</c:v>
                </c:pt>
                <c:pt idx="817">
                  <c:v>460.78800000000001</c:v>
                </c:pt>
                <c:pt idx="818">
                  <c:v>461.35199999999998</c:v>
                </c:pt>
                <c:pt idx="819">
                  <c:v>461.916</c:v>
                </c:pt>
                <c:pt idx="820">
                  <c:v>462.48</c:v>
                </c:pt>
                <c:pt idx="821">
                  <c:v>463.04399999999998</c:v>
                </c:pt>
                <c:pt idx="822">
                  <c:v>463.608</c:v>
                </c:pt>
                <c:pt idx="823">
                  <c:v>464.17200000000003</c:v>
                </c:pt>
                <c:pt idx="824">
                  <c:v>464.73599999999999</c:v>
                </c:pt>
                <c:pt idx="825">
                  <c:v>465.3</c:v>
                </c:pt>
                <c:pt idx="826">
                  <c:v>465.86399999999998</c:v>
                </c:pt>
                <c:pt idx="827">
                  <c:v>466.428</c:v>
                </c:pt>
                <c:pt idx="828">
                  <c:v>466.99200000000002</c:v>
                </c:pt>
                <c:pt idx="829">
                  <c:v>467.55599999999998</c:v>
                </c:pt>
                <c:pt idx="830">
                  <c:v>468.12</c:v>
                </c:pt>
                <c:pt idx="831">
                  <c:v>468.68400000000003</c:v>
                </c:pt>
                <c:pt idx="832">
                  <c:v>469.24799999999999</c:v>
                </c:pt>
                <c:pt idx="833">
                  <c:v>469.81200000000001</c:v>
                </c:pt>
                <c:pt idx="834">
                  <c:v>470.37599999999998</c:v>
                </c:pt>
                <c:pt idx="835">
                  <c:v>470.94</c:v>
                </c:pt>
                <c:pt idx="836">
                  <c:v>471.50400000000002</c:v>
                </c:pt>
                <c:pt idx="837">
                  <c:v>472.06799999999998</c:v>
                </c:pt>
                <c:pt idx="838">
                  <c:v>472.63200000000001</c:v>
                </c:pt>
                <c:pt idx="839">
                  <c:v>473.19600000000003</c:v>
                </c:pt>
                <c:pt idx="840">
                  <c:v>473.76</c:v>
                </c:pt>
                <c:pt idx="841">
                  <c:v>474.32400000000001</c:v>
                </c:pt>
                <c:pt idx="842">
                  <c:v>474.88799999999998</c:v>
                </c:pt>
                <c:pt idx="843">
                  <c:v>475.452</c:v>
                </c:pt>
                <c:pt idx="844">
                  <c:v>476.01600000000002</c:v>
                </c:pt>
                <c:pt idx="845">
                  <c:v>476.58</c:v>
                </c:pt>
                <c:pt idx="846">
                  <c:v>477.14400000000001</c:v>
                </c:pt>
                <c:pt idx="847">
                  <c:v>477.70800000000003</c:v>
                </c:pt>
                <c:pt idx="848">
                  <c:v>478.27199999999999</c:v>
                </c:pt>
                <c:pt idx="849">
                  <c:v>478.83600000000001</c:v>
                </c:pt>
                <c:pt idx="850">
                  <c:v>479.4</c:v>
                </c:pt>
                <c:pt idx="851">
                  <c:v>479.964</c:v>
                </c:pt>
                <c:pt idx="852">
                  <c:v>480.52800000000002</c:v>
                </c:pt>
                <c:pt idx="853">
                  <c:v>481.09199999999998</c:v>
                </c:pt>
                <c:pt idx="854">
                  <c:v>481.65600000000001</c:v>
                </c:pt>
                <c:pt idx="855">
                  <c:v>482.22</c:v>
                </c:pt>
                <c:pt idx="856">
                  <c:v>482.78399999999999</c:v>
                </c:pt>
                <c:pt idx="857">
                  <c:v>483.34800000000001</c:v>
                </c:pt>
                <c:pt idx="858">
                  <c:v>483.91199999999998</c:v>
                </c:pt>
                <c:pt idx="859">
                  <c:v>484.476</c:v>
                </c:pt>
                <c:pt idx="860">
                  <c:v>485.04</c:v>
                </c:pt>
                <c:pt idx="861">
                  <c:v>485.60399999999998</c:v>
                </c:pt>
                <c:pt idx="862">
                  <c:v>486.16800000000001</c:v>
                </c:pt>
                <c:pt idx="863">
                  <c:v>486.73200000000003</c:v>
                </c:pt>
                <c:pt idx="864">
                  <c:v>487.29599999999999</c:v>
                </c:pt>
                <c:pt idx="865">
                  <c:v>487.86</c:v>
                </c:pt>
                <c:pt idx="866">
                  <c:v>488.42399999999998</c:v>
                </c:pt>
                <c:pt idx="867">
                  <c:v>488.988</c:v>
                </c:pt>
                <c:pt idx="868">
                  <c:v>489.55200000000002</c:v>
                </c:pt>
                <c:pt idx="869">
                  <c:v>490.11599999999999</c:v>
                </c:pt>
                <c:pt idx="870">
                  <c:v>490.68</c:v>
                </c:pt>
                <c:pt idx="871">
                  <c:v>491.24400000000003</c:v>
                </c:pt>
                <c:pt idx="872">
                  <c:v>491.80799999999999</c:v>
                </c:pt>
                <c:pt idx="873">
                  <c:v>492.37200000000001</c:v>
                </c:pt>
                <c:pt idx="874">
                  <c:v>492.93599999999998</c:v>
                </c:pt>
                <c:pt idx="875">
                  <c:v>493.5</c:v>
                </c:pt>
                <c:pt idx="876">
                  <c:v>494.06400000000002</c:v>
                </c:pt>
                <c:pt idx="877">
                  <c:v>494.62799999999999</c:v>
                </c:pt>
                <c:pt idx="878">
                  <c:v>495.19200000000001</c:v>
                </c:pt>
                <c:pt idx="879">
                  <c:v>495.75599999999997</c:v>
                </c:pt>
                <c:pt idx="880">
                  <c:v>496.32</c:v>
                </c:pt>
                <c:pt idx="881">
                  <c:v>496.88400000000001</c:v>
                </c:pt>
                <c:pt idx="882">
                  <c:v>497.44799999999998</c:v>
                </c:pt>
                <c:pt idx="883">
                  <c:v>498.012</c:v>
                </c:pt>
                <c:pt idx="884">
                  <c:v>498.57600000000002</c:v>
                </c:pt>
                <c:pt idx="885">
                  <c:v>499.14</c:v>
                </c:pt>
                <c:pt idx="886">
                  <c:v>499.70400000000001</c:v>
                </c:pt>
                <c:pt idx="887">
                  <c:v>500.26799999999997</c:v>
                </c:pt>
                <c:pt idx="888">
                  <c:v>500.83199999999999</c:v>
                </c:pt>
                <c:pt idx="889">
                  <c:v>501.39600000000002</c:v>
                </c:pt>
                <c:pt idx="890">
                  <c:v>501.96</c:v>
                </c:pt>
                <c:pt idx="891">
                  <c:v>502.524</c:v>
                </c:pt>
                <c:pt idx="892">
                  <c:v>503.08800000000002</c:v>
                </c:pt>
                <c:pt idx="893">
                  <c:v>503.65199999999999</c:v>
                </c:pt>
                <c:pt idx="894">
                  <c:v>504.21600000000001</c:v>
                </c:pt>
                <c:pt idx="895">
                  <c:v>504.78</c:v>
                </c:pt>
                <c:pt idx="896">
                  <c:v>505.34399999999999</c:v>
                </c:pt>
                <c:pt idx="897">
                  <c:v>505.90800000000002</c:v>
                </c:pt>
                <c:pt idx="898">
                  <c:v>506.47199999999998</c:v>
                </c:pt>
                <c:pt idx="899">
                  <c:v>507.036</c:v>
                </c:pt>
                <c:pt idx="900">
                  <c:v>507.6</c:v>
                </c:pt>
                <c:pt idx="901">
                  <c:v>508.16399999999999</c:v>
                </c:pt>
                <c:pt idx="902">
                  <c:v>508.72800000000001</c:v>
                </c:pt>
                <c:pt idx="903">
                  <c:v>509.29199999999997</c:v>
                </c:pt>
                <c:pt idx="904">
                  <c:v>509.85599999999999</c:v>
                </c:pt>
                <c:pt idx="905">
                  <c:v>510.42</c:v>
                </c:pt>
                <c:pt idx="906">
                  <c:v>510.98399999999998</c:v>
                </c:pt>
                <c:pt idx="907">
                  <c:v>511.548</c:v>
                </c:pt>
                <c:pt idx="908">
                  <c:v>512.11199999999997</c:v>
                </c:pt>
                <c:pt idx="909">
                  <c:v>512.67600000000004</c:v>
                </c:pt>
                <c:pt idx="910">
                  <c:v>513.24</c:v>
                </c:pt>
                <c:pt idx="911">
                  <c:v>513.80399999999997</c:v>
                </c:pt>
                <c:pt idx="912">
                  <c:v>514.36800000000005</c:v>
                </c:pt>
                <c:pt idx="913">
                  <c:v>514.93200000000002</c:v>
                </c:pt>
                <c:pt idx="914">
                  <c:v>515.49599999999998</c:v>
                </c:pt>
                <c:pt idx="915">
                  <c:v>516.05999999999995</c:v>
                </c:pt>
                <c:pt idx="916">
                  <c:v>516.62400000000002</c:v>
                </c:pt>
                <c:pt idx="917">
                  <c:v>517.18799999999999</c:v>
                </c:pt>
                <c:pt idx="918">
                  <c:v>517.75199999999995</c:v>
                </c:pt>
                <c:pt idx="919">
                  <c:v>518.31600000000003</c:v>
                </c:pt>
                <c:pt idx="920">
                  <c:v>518.88</c:v>
                </c:pt>
                <c:pt idx="921">
                  <c:v>519.44399999999996</c:v>
                </c:pt>
                <c:pt idx="922">
                  <c:v>520.00800000000004</c:v>
                </c:pt>
                <c:pt idx="923">
                  <c:v>520.572</c:v>
                </c:pt>
                <c:pt idx="924">
                  <c:v>521.13599999999997</c:v>
                </c:pt>
                <c:pt idx="925">
                  <c:v>521.70000000000005</c:v>
                </c:pt>
                <c:pt idx="926">
                  <c:v>522.26400000000001</c:v>
                </c:pt>
                <c:pt idx="927">
                  <c:v>522.82799999999997</c:v>
                </c:pt>
                <c:pt idx="928">
                  <c:v>523.39200000000005</c:v>
                </c:pt>
                <c:pt idx="929">
                  <c:v>523.95600000000002</c:v>
                </c:pt>
                <c:pt idx="930">
                  <c:v>524.52</c:v>
                </c:pt>
                <c:pt idx="931">
                  <c:v>525.08399999999995</c:v>
                </c:pt>
                <c:pt idx="932">
                  <c:v>525.64800000000002</c:v>
                </c:pt>
                <c:pt idx="933">
                  <c:v>526.21199999999999</c:v>
                </c:pt>
                <c:pt idx="934">
                  <c:v>526.77599999999995</c:v>
                </c:pt>
                <c:pt idx="935">
                  <c:v>527.34</c:v>
                </c:pt>
                <c:pt idx="936">
                  <c:v>527.904</c:v>
                </c:pt>
                <c:pt idx="937">
                  <c:v>528.46799999999996</c:v>
                </c:pt>
                <c:pt idx="938">
                  <c:v>529.03200000000004</c:v>
                </c:pt>
                <c:pt idx="939">
                  <c:v>529.596</c:v>
                </c:pt>
                <c:pt idx="940">
                  <c:v>530.16</c:v>
                </c:pt>
                <c:pt idx="941">
                  <c:v>530.72400000000005</c:v>
                </c:pt>
                <c:pt idx="942">
                  <c:v>531.28800000000001</c:v>
                </c:pt>
                <c:pt idx="943">
                  <c:v>531.85199999999998</c:v>
                </c:pt>
                <c:pt idx="944">
                  <c:v>532.41600000000005</c:v>
                </c:pt>
                <c:pt idx="945">
                  <c:v>532.98</c:v>
                </c:pt>
                <c:pt idx="946">
                  <c:v>533.54399999999998</c:v>
                </c:pt>
                <c:pt idx="947">
                  <c:v>534.10799999999995</c:v>
                </c:pt>
              </c:numCache>
            </c:numRef>
          </c:xVal>
          <c:yVal>
            <c:numRef>
              <c:f>'Part 3 Data'!$F$3:$F$1919</c:f>
              <c:numCache>
                <c:formatCode>0.00</c:formatCode>
                <c:ptCount val="1917"/>
                <c:pt idx="0">
                  <c:v>0</c:v>
                </c:pt>
                <c:pt idx="1">
                  <c:v>-3.8138334506405487E-3</c:v>
                </c:pt>
                <c:pt idx="2">
                  <c:v>-7.1755519347657054E-3</c:v>
                </c:pt>
                <c:pt idx="3">
                  <c:v>-1.0659841868087258E-2</c:v>
                </c:pt>
                <c:pt idx="4">
                  <c:v>-1.3687127100563837E-2</c:v>
                </c:pt>
                <c:pt idx="5">
                  <c:v>-1.7066730438488852E-2</c:v>
                </c:pt>
                <c:pt idx="6">
                  <c:v>-1.9917514243514643E-2</c:v>
                </c:pt>
                <c:pt idx="7">
                  <c:v>-2.2845249546892391E-2</c:v>
                </c:pt>
                <c:pt idx="8">
                  <c:v>-2.5807667060170299E-2</c:v>
                </c:pt>
                <c:pt idx="9">
                  <c:v>-2.8569063354522806E-2</c:v>
                </c:pt>
                <c:pt idx="10">
                  <c:v>-3.1220789605768948E-2</c:v>
                </c:pt>
                <c:pt idx="11">
                  <c:v>-3.3817190861904205E-2</c:v>
                </c:pt>
                <c:pt idx="12">
                  <c:v>-3.6478716933373061E-2</c:v>
                </c:pt>
                <c:pt idx="13">
                  <c:v>-3.9026229377487544E-2</c:v>
                </c:pt>
                <c:pt idx="14">
                  <c:v>-4.1808455986681682E-2</c:v>
                </c:pt>
                <c:pt idx="15">
                  <c:v>-4.450419444220307E-2</c:v>
                </c:pt>
                <c:pt idx="16">
                  <c:v>-4.7146225979712811E-2</c:v>
                </c:pt>
                <c:pt idx="17">
                  <c:v>-4.9788281089123268E-2</c:v>
                </c:pt>
                <c:pt idx="18">
                  <c:v>-5.2135767325070824E-2</c:v>
                </c:pt>
                <c:pt idx="19">
                  <c:v>-5.4281830222046586E-2</c:v>
                </c:pt>
                <c:pt idx="20">
                  <c:v>-5.6584294450039652E-2</c:v>
                </c:pt>
                <c:pt idx="21">
                  <c:v>-5.87391204823366E-2</c:v>
                </c:pt>
                <c:pt idx="22">
                  <c:v>-6.0852049210007766E-2</c:v>
                </c:pt>
                <c:pt idx="23">
                  <c:v>-6.3188813649556613E-2</c:v>
                </c:pt>
                <c:pt idx="24">
                  <c:v>-6.5254774966162526E-2</c:v>
                </c:pt>
                <c:pt idx="25">
                  <c:v>-6.7165910845667226E-2</c:v>
                </c:pt>
                <c:pt idx="26">
                  <c:v>-6.9516751379868055E-2</c:v>
                </c:pt>
                <c:pt idx="27">
                  <c:v>-7.1560123140979162E-2</c:v>
                </c:pt>
                <c:pt idx="28">
                  <c:v>-7.3765386461835863E-2</c:v>
                </c:pt>
                <c:pt idx="29">
                  <c:v>-7.5754809821220681E-2</c:v>
                </c:pt>
                <c:pt idx="30">
                  <c:v>-7.7937442799166839E-2</c:v>
                </c:pt>
                <c:pt idx="31">
                  <c:v>-8.0160010149798969E-2</c:v>
                </c:pt>
                <c:pt idx="32">
                  <c:v>-8.2377028321278453E-2</c:v>
                </c:pt>
                <c:pt idx="33">
                  <c:v>-8.4446174297644366E-2</c:v>
                </c:pt>
                <c:pt idx="34">
                  <c:v>-8.674979952795657E-2</c:v>
                </c:pt>
                <c:pt idx="35">
                  <c:v>-8.879590012748384E-2</c:v>
                </c:pt>
                <c:pt idx="36">
                  <c:v>-9.1121308096085762E-2</c:v>
                </c:pt>
                <c:pt idx="37">
                  <c:v>-9.306599206930985E-2</c:v>
                </c:pt>
                <c:pt idx="38">
                  <c:v>-9.5170277294662431E-2</c:v>
                </c:pt>
                <c:pt idx="39">
                  <c:v>-9.749648018763675E-2</c:v>
                </c:pt>
                <c:pt idx="40">
                  <c:v>-9.9689233386985987E-2</c:v>
                </c:pt>
                <c:pt idx="41">
                  <c:v>-0.10169814709315773</c:v>
                </c:pt>
                <c:pt idx="42">
                  <c:v>-0.1035840360329732</c:v>
                </c:pt>
                <c:pt idx="43">
                  <c:v>-0.10567888679002695</c:v>
                </c:pt>
                <c:pt idx="44">
                  <c:v>-0.10789082402857789</c:v>
                </c:pt>
                <c:pt idx="45">
                  <c:v>-0.1097942935660739</c:v>
                </c:pt>
                <c:pt idx="46">
                  <c:v>-0.11198782337410444</c:v>
                </c:pt>
                <c:pt idx="47">
                  <c:v>-0.11401930165002526</c:v>
                </c:pt>
                <c:pt idx="48">
                  <c:v>-0.11609279367466557</c:v>
                </c:pt>
                <c:pt idx="49">
                  <c:v>-0.11812484706082703</c:v>
                </c:pt>
                <c:pt idx="50">
                  <c:v>-0.12012215598815484</c:v>
                </c:pt>
                <c:pt idx="51">
                  <c:v>-0.12238598500397245</c:v>
                </c:pt>
                <c:pt idx="52">
                  <c:v>-0.12451636375477684</c:v>
                </c:pt>
                <c:pt idx="53">
                  <c:v>-0.12666587447169506</c:v>
                </c:pt>
                <c:pt idx="54">
                  <c:v>-0.12875158197141676</c:v>
                </c:pt>
                <c:pt idx="55">
                  <c:v>-0.13049104962379038</c:v>
                </c:pt>
                <c:pt idx="56">
                  <c:v>-0.13274583105233695</c:v>
                </c:pt>
                <c:pt idx="57">
                  <c:v>-0.13483565285413887</c:v>
                </c:pt>
                <c:pt idx="58">
                  <c:v>-0.13699652709590238</c:v>
                </c:pt>
                <c:pt idx="59">
                  <c:v>-0.13900711046076131</c:v>
                </c:pt>
                <c:pt idx="60">
                  <c:v>-0.14101447190019928</c:v>
                </c:pt>
                <c:pt idx="61">
                  <c:v>-0.14326140441080909</c:v>
                </c:pt>
                <c:pt idx="62">
                  <c:v>-0.14553343304114152</c:v>
                </c:pt>
                <c:pt idx="63">
                  <c:v>-0.14760947423967041</c:v>
                </c:pt>
                <c:pt idx="64">
                  <c:v>-0.14971580505785384</c:v>
                </c:pt>
                <c:pt idx="65">
                  <c:v>-0.15200930808726923</c:v>
                </c:pt>
                <c:pt idx="66">
                  <c:v>-0.15420023870714794</c:v>
                </c:pt>
                <c:pt idx="67">
                  <c:v>-0.15644782836654106</c:v>
                </c:pt>
                <c:pt idx="68">
                  <c:v>-0.15881407507038858</c:v>
                </c:pt>
                <c:pt idx="69">
                  <c:v>-0.16102214933675965</c:v>
                </c:pt>
                <c:pt idx="70">
                  <c:v>-0.16338251407979495</c:v>
                </c:pt>
                <c:pt idx="71">
                  <c:v>-0.1655502274141456</c:v>
                </c:pt>
                <c:pt idx="72">
                  <c:v>-0.16769269886656593</c:v>
                </c:pt>
                <c:pt idx="73">
                  <c:v>-0.17012949727436605</c:v>
                </c:pt>
                <c:pt idx="74">
                  <c:v>-0.1722320461181763</c:v>
                </c:pt>
                <c:pt idx="75">
                  <c:v>-0.17457964825075209</c:v>
                </c:pt>
                <c:pt idx="76">
                  <c:v>-0.17679393479736763</c:v>
                </c:pt>
                <c:pt idx="77">
                  <c:v>-0.17911140218608834</c:v>
                </c:pt>
                <c:pt idx="78">
                  <c:v>-0.18154116112189836</c:v>
                </c:pt>
                <c:pt idx="79">
                  <c:v>-0.18382734642100837</c:v>
                </c:pt>
                <c:pt idx="80">
                  <c:v>-0.18610047577922567</c:v>
                </c:pt>
                <c:pt idx="81">
                  <c:v>-0.18845475682831558</c:v>
                </c:pt>
                <c:pt idx="82">
                  <c:v>-0.19077486576729685</c:v>
                </c:pt>
                <c:pt idx="83">
                  <c:v>-0.19308951601305638</c:v>
                </c:pt>
                <c:pt idx="84">
                  <c:v>-0.19530292793180554</c:v>
                </c:pt>
                <c:pt idx="85">
                  <c:v>-0.19776325918466131</c:v>
                </c:pt>
                <c:pt idx="86">
                  <c:v>-0.2000072196718623</c:v>
                </c:pt>
                <c:pt idx="87">
                  <c:v>-0.20248900483440821</c:v>
                </c:pt>
                <c:pt idx="88">
                  <c:v>-0.20484120353313567</c:v>
                </c:pt>
                <c:pt idx="89">
                  <c:v>-0.20710530881536951</c:v>
                </c:pt>
                <c:pt idx="90">
                  <c:v>-0.20929504435926879</c:v>
                </c:pt>
                <c:pt idx="91">
                  <c:v>-0.21140718844586723</c:v>
                </c:pt>
                <c:pt idx="92">
                  <c:v>-0.21381960379174667</c:v>
                </c:pt>
                <c:pt idx="93">
                  <c:v>-0.21612507215540608</c:v>
                </c:pt>
                <c:pt idx="94">
                  <c:v>-0.21823531795589082</c:v>
                </c:pt>
                <c:pt idx="95">
                  <c:v>-0.22066937610665674</c:v>
                </c:pt>
                <c:pt idx="96">
                  <c:v>-0.22300095121833069</c:v>
                </c:pt>
                <c:pt idx="97">
                  <c:v>-0.22514650426090804</c:v>
                </c:pt>
                <c:pt idx="98">
                  <c:v>-0.2273265281205398</c:v>
                </c:pt>
                <c:pt idx="99">
                  <c:v>-0.22950466001791825</c:v>
                </c:pt>
                <c:pt idx="100">
                  <c:v>-0.23166460828644175</c:v>
                </c:pt>
                <c:pt idx="101">
                  <c:v>-0.23389833320577774</c:v>
                </c:pt>
                <c:pt idx="102">
                  <c:v>-0.23601497926891818</c:v>
                </c:pt>
                <c:pt idx="103">
                  <c:v>-0.23823223092164411</c:v>
                </c:pt>
                <c:pt idx="104">
                  <c:v>-0.24039575455726275</c:v>
                </c:pt>
                <c:pt idx="105">
                  <c:v>-0.24272793935188716</c:v>
                </c:pt>
                <c:pt idx="106">
                  <c:v>-0.24482266402275554</c:v>
                </c:pt>
                <c:pt idx="107">
                  <c:v>-0.24677361322417821</c:v>
                </c:pt>
                <c:pt idx="108">
                  <c:v>-0.24897861536025537</c:v>
                </c:pt>
                <c:pt idx="109">
                  <c:v>-0.25111449894710397</c:v>
                </c:pt>
                <c:pt idx="110">
                  <c:v>-0.25306826019049472</c:v>
                </c:pt>
                <c:pt idx="111">
                  <c:v>-0.25558234571889543</c:v>
                </c:pt>
                <c:pt idx="112">
                  <c:v>-0.25753658278019387</c:v>
                </c:pt>
                <c:pt idx="113">
                  <c:v>-0.25959598260675204</c:v>
                </c:pt>
                <c:pt idx="114">
                  <c:v>-0.26185728878826708</c:v>
                </c:pt>
                <c:pt idx="115">
                  <c:v>-0.26416814611126865</c:v>
                </c:pt>
                <c:pt idx="116">
                  <c:v>-0.26649442010547109</c:v>
                </c:pt>
                <c:pt idx="117">
                  <c:v>-0.26856510136136269</c:v>
                </c:pt>
                <c:pt idx="118">
                  <c:v>-0.27108893107735482</c:v>
                </c:pt>
                <c:pt idx="119">
                  <c:v>-0.27332249953674048</c:v>
                </c:pt>
                <c:pt idx="120">
                  <c:v>-0.27575936636952092</c:v>
                </c:pt>
                <c:pt idx="121">
                  <c:v>-0.27788007925174352</c:v>
                </c:pt>
                <c:pt idx="122">
                  <c:v>-0.28021269970914636</c:v>
                </c:pt>
                <c:pt idx="123">
                  <c:v>-0.28253434606044764</c:v>
                </c:pt>
                <c:pt idx="124">
                  <c:v>-0.28478141717999506</c:v>
                </c:pt>
                <c:pt idx="125">
                  <c:v>-0.28692894401656721</c:v>
                </c:pt>
                <c:pt idx="126">
                  <c:v>-0.28892478910010838</c:v>
                </c:pt>
                <c:pt idx="127">
                  <c:v>-0.29100280861693545</c:v>
                </c:pt>
                <c:pt idx="128">
                  <c:v>-0.29309297699187348</c:v>
                </c:pt>
                <c:pt idx="129">
                  <c:v>-0.29511942638799321</c:v>
                </c:pt>
                <c:pt idx="130">
                  <c:v>-0.29729069547100578</c:v>
                </c:pt>
                <c:pt idx="131">
                  <c:v>-0.29919042206849489</c:v>
                </c:pt>
                <c:pt idx="132">
                  <c:v>-0.30135668540595728</c:v>
                </c:pt>
                <c:pt idx="133">
                  <c:v>-0.30325540606770673</c:v>
                </c:pt>
                <c:pt idx="134">
                  <c:v>-0.30543036943987339</c:v>
                </c:pt>
                <c:pt idx="135">
                  <c:v>-0.30751034812835348</c:v>
                </c:pt>
                <c:pt idx="136">
                  <c:v>-0.30965959064964393</c:v>
                </c:pt>
                <c:pt idx="137">
                  <c:v>-0.31201156957728504</c:v>
                </c:pt>
                <c:pt idx="138">
                  <c:v>-0.31399252953336615</c:v>
                </c:pt>
                <c:pt idx="139">
                  <c:v>-0.31648169755748085</c:v>
                </c:pt>
                <c:pt idx="140">
                  <c:v>-0.3187019063425206</c:v>
                </c:pt>
                <c:pt idx="141">
                  <c:v>-0.32094257827426681</c:v>
                </c:pt>
                <c:pt idx="142">
                  <c:v>-0.32321088303880346</c:v>
                </c:pt>
                <c:pt idx="143">
                  <c:v>-0.32538533239750117</c:v>
                </c:pt>
                <c:pt idx="144">
                  <c:v>-0.3277754609924291</c:v>
                </c:pt>
                <c:pt idx="145">
                  <c:v>-0.32964135191806654</c:v>
                </c:pt>
                <c:pt idx="146">
                  <c:v>-0.33199601111207472</c:v>
                </c:pt>
                <c:pt idx="147">
                  <c:v>-0.3341621211134857</c:v>
                </c:pt>
                <c:pt idx="148">
                  <c:v>-0.33641338694733769</c:v>
                </c:pt>
                <c:pt idx="149">
                  <c:v>-0.33855577626995165</c:v>
                </c:pt>
                <c:pt idx="150">
                  <c:v>-0.34114026660509233</c:v>
                </c:pt>
                <c:pt idx="151">
                  <c:v>-0.34335927362180846</c:v>
                </c:pt>
                <c:pt idx="152">
                  <c:v>-0.34545671345730478</c:v>
                </c:pt>
                <c:pt idx="153">
                  <c:v>-0.34785394744801895</c:v>
                </c:pt>
                <c:pt idx="154">
                  <c:v>-0.35003837140699634</c:v>
                </c:pt>
                <c:pt idx="155">
                  <c:v>-0.35232473807192655</c:v>
                </c:pt>
                <c:pt idx="156">
                  <c:v>-0.3546616386181824</c:v>
                </c:pt>
                <c:pt idx="157">
                  <c:v>-0.35693855534255431</c:v>
                </c:pt>
                <c:pt idx="158">
                  <c:v>-0.35915612310812334</c:v>
                </c:pt>
                <c:pt idx="159">
                  <c:v>-0.36142738236347671</c:v>
                </c:pt>
                <c:pt idx="160">
                  <c:v>-0.36383136540735761</c:v>
                </c:pt>
                <c:pt idx="161">
                  <c:v>-0.36615715879215377</c:v>
                </c:pt>
                <c:pt idx="162">
                  <c:v>-0.36839974503143957</c:v>
                </c:pt>
                <c:pt idx="163">
                  <c:v>-0.37071586752761404</c:v>
                </c:pt>
                <c:pt idx="164">
                  <c:v>-0.37309425234891691</c:v>
                </c:pt>
                <c:pt idx="165">
                  <c:v>-0.37538009728706312</c:v>
                </c:pt>
                <c:pt idx="166">
                  <c:v>-0.37782668268339498</c:v>
                </c:pt>
                <c:pt idx="167">
                  <c:v>-0.37996969513097212</c:v>
                </c:pt>
                <c:pt idx="168">
                  <c:v>-0.38266623276585959</c:v>
                </c:pt>
                <c:pt idx="169">
                  <c:v>-0.38472233206635337</c:v>
                </c:pt>
                <c:pt idx="170">
                  <c:v>-0.38704737150355045</c:v>
                </c:pt>
                <c:pt idx="171">
                  <c:v>-0.38937410300782993</c:v>
                </c:pt>
                <c:pt idx="172">
                  <c:v>-0.39144311108085561</c:v>
                </c:pt>
                <c:pt idx="173">
                  <c:v>-0.39390086433809296</c:v>
                </c:pt>
                <c:pt idx="174">
                  <c:v>-0.39608254479254512</c:v>
                </c:pt>
                <c:pt idx="175">
                  <c:v>-0.39858190546756894</c:v>
                </c:pt>
                <c:pt idx="176">
                  <c:v>-0.40054331330644105</c:v>
                </c:pt>
                <c:pt idx="177">
                  <c:v>-0.40301272136467625</c:v>
                </c:pt>
                <c:pt idx="178">
                  <c:v>-0.40528895115149771</c:v>
                </c:pt>
                <c:pt idx="179">
                  <c:v>-0.40754751200866812</c:v>
                </c:pt>
                <c:pt idx="180">
                  <c:v>-0.40997202567262658</c:v>
                </c:pt>
                <c:pt idx="181">
                  <c:v>-0.4125006844675223</c:v>
                </c:pt>
                <c:pt idx="182">
                  <c:v>-0.41437803669087414</c:v>
                </c:pt>
                <c:pt idx="183">
                  <c:v>-0.41695319672364584</c:v>
                </c:pt>
                <c:pt idx="184">
                  <c:v>-0.41941457917582575</c:v>
                </c:pt>
                <c:pt idx="185">
                  <c:v>-0.4217205450594177</c:v>
                </c:pt>
                <c:pt idx="186">
                  <c:v>-0.42394304385682374</c:v>
                </c:pt>
                <c:pt idx="187">
                  <c:v>-0.42636315348673004</c:v>
                </c:pt>
                <c:pt idx="188">
                  <c:v>-0.42870364158770036</c:v>
                </c:pt>
                <c:pt idx="189">
                  <c:v>-0.43097174715094211</c:v>
                </c:pt>
                <c:pt idx="190">
                  <c:v>-0.43345504688933112</c:v>
                </c:pt>
                <c:pt idx="191">
                  <c:v>-0.43558867820108971</c:v>
                </c:pt>
                <c:pt idx="192">
                  <c:v>-0.43783682883907543</c:v>
                </c:pt>
                <c:pt idx="193">
                  <c:v>-0.43988932239298545</c:v>
                </c:pt>
                <c:pt idx="194">
                  <c:v>-0.4423932099994905</c:v>
                </c:pt>
                <c:pt idx="195">
                  <c:v>-0.44467911140169225</c:v>
                </c:pt>
                <c:pt idx="196">
                  <c:v>-0.44690524984136415</c:v>
                </c:pt>
                <c:pt idx="197">
                  <c:v>-0.44922230155287712</c:v>
                </c:pt>
                <c:pt idx="198">
                  <c:v>-0.45121049179495926</c:v>
                </c:pt>
                <c:pt idx="199">
                  <c:v>-0.4535337266103493</c:v>
                </c:pt>
                <c:pt idx="200">
                  <c:v>-0.45604531391651931</c:v>
                </c:pt>
                <c:pt idx="201">
                  <c:v>-0.4583616150502503</c:v>
                </c:pt>
                <c:pt idx="202">
                  <c:v>-0.46045851498925794</c:v>
                </c:pt>
                <c:pt idx="203">
                  <c:v>-0.46274391718783031</c:v>
                </c:pt>
                <c:pt idx="204">
                  <c:v>-0.46484185843856429</c:v>
                </c:pt>
                <c:pt idx="205">
                  <c:v>-0.46720959144908436</c:v>
                </c:pt>
                <c:pt idx="206">
                  <c:v>-0.46933583136787876</c:v>
                </c:pt>
                <c:pt idx="207">
                  <c:v>-0.47155163234532615</c:v>
                </c:pt>
                <c:pt idx="208">
                  <c:v>-0.47372588796373344</c:v>
                </c:pt>
                <c:pt idx="209">
                  <c:v>-0.47622433878563508</c:v>
                </c:pt>
                <c:pt idx="210">
                  <c:v>-0.47830515128830209</c:v>
                </c:pt>
                <c:pt idx="211">
                  <c:v>-0.48023144372306326</c:v>
                </c:pt>
                <c:pt idx="212">
                  <c:v>-0.48255541915493405</c:v>
                </c:pt>
                <c:pt idx="213">
                  <c:v>-0.48480644593713612</c:v>
                </c:pt>
                <c:pt idx="214">
                  <c:v>-0.48701826499906448</c:v>
                </c:pt>
                <c:pt idx="215">
                  <c:v>-0.48892529931267198</c:v>
                </c:pt>
                <c:pt idx="216">
                  <c:v>-0.49160849480932328</c:v>
                </c:pt>
                <c:pt idx="217">
                  <c:v>-0.49398974323972217</c:v>
                </c:pt>
                <c:pt idx="218">
                  <c:v>-0.49622767428582681</c:v>
                </c:pt>
                <c:pt idx="219">
                  <c:v>-0.49823672806093772</c:v>
                </c:pt>
                <c:pt idx="220">
                  <c:v>-0.50034747962614334</c:v>
                </c:pt>
                <c:pt idx="221">
                  <c:v>-0.50278502440635364</c:v>
                </c:pt>
                <c:pt idx="222">
                  <c:v>-0.50471898300323637</c:v>
                </c:pt>
                <c:pt idx="223">
                  <c:v>-0.50736455335447816</c:v>
                </c:pt>
                <c:pt idx="224">
                  <c:v>-0.50916945903669952</c:v>
                </c:pt>
                <c:pt idx="225">
                  <c:v>-0.51121276884183886</c:v>
                </c:pt>
                <c:pt idx="226">
                  <c:v>-0.51355763788910747</c:v>
                </c:pt>
                <c:pt idx="227">
                  <c:v>-0.515587567839632</c:v>
                </c:pt>
                <c:pt idx="228">
                  <c:v>-0.51800649966260881</c:v>
                </c:pt>
                <c:pt idx="229">
                  <c:v>-0.51961985372501351</c:v>
                </c:pt>
                <c:pt idx="230">
                  <c:v>-0.52165402939630068</c:v>
                </c:pt>
                <c:pt idx="231">
                  <c:v>-0.52365876597528127</c:v>
                </c:pt>
                <c:pt idx="232">
                  <c:v>-0.52561729182882599</c:v>
                </c:pt>
                <c:pt idx="233">
                  <c:v>-0.527387903387881</c:v>
                </c:pt>
                <c:pt idx="234">
                  <c:v>-0.52929598322331162</c:v>
                </c:pt>
                <c:pt idx="235">
                  <c:v>-0.5313475550245631</c:v>
                </c:pt>
                <c:pt idx="236">
                  <c:v>-0.53345958914396885</c:v>
                </c:pt>
                <c:pt idx="237">
                  <c:v>-0.53582730577337656</c:v>
                </c:pt>
                <c:pt idx="238">
                  <c:v>-0.53801817479047453</c:v>
                </c:pt>
                <c:pt idx="239">
                  <c:v>-0.54020363740907917</c:v>
                </c:pt>
                <c:pt idx="240">
                  <c:v>-0.54201593697432926</c:v>
                </c:pt>
                <c:pt idx="241">
                  <c:v>-0.54445068084502379</c:v>
                </c:pt>
                <c:pt idx="242">
                  <c:v>-0.54666568703425256</c:v>
                </c:pt>
                <c:pt idx="243">
                  <c:v>-0.54881150855113725</c:v>
                </c:pt>
                <c:pt idx="244">
                  <c:v>-0.55117744287689319</c:v>
                </c:pt>
                <c:pt idx="245">
                  <c:v>-0.55338088358946791</c:v>
                </c:pt>
                <c:pt idx="246">
                  <c:v>-0.55576874183757596</c:v>
                </c:pt>
                <c:pt idx="247">
                  <c:v>-0.55804303265709121</c:v>
                </c:pt>
                <c:pt idx="248">
                  <c:v>-0.5602098387657608</c:v>
                </c:pt>
                <c:pt idx="249">
                  <c:v>-0.56210823641054175</c:v>
                </c:pt>
                <c:pt idx="250">
                  <c:v>-0.56452932838769021</c:v>
                </c:pt>
                <c:pt idx="251">
                  <c:v>-0.56656733101139511</c:v>
                </c:pt>
                <c:pt idx="252">
                  <c:v>-0.56917132369912571</c:v>
                </c:pt>
                <c:pt idx="253">
                  <c:v>-0.57106948394936452</c:v>
                </c:pt>
                <c:pt idx="254">
                  <c:v>-0.57298570213126854</c:v>
                </c:pt>
                <c:pt idx="255">
                  <c:v>-0.57573769685297671</c:v>
                </c:pt>
                <c:pt idx="256">
                  <c:v>-0.57785289122248384</c:v>
                </c:pt>
                <c:pt idx="257">
                  <c:v>-0.5801087811071467</c:v>
                </c:pt>
                <c:pt idx="258">
                  <c:v>-0.58213578944456368</c:v>
                </c:pt>
                <c:pt idx="259">
                  <c:v>-0.58461262018826998</c:v>
                </c:pt>
                <c:pt idx="260">
                  <c:v>-0.58688226778402552</c:v>
                </c:pt>
                <c:pt idx="261">
                  <c:v>-0.58916841024639999</c:v>
                </c:pt>
                <c:pt idx="262">
                  <c:v>-0.59179744573034798</c:v>
                </c:pt>
                <c:pt idx="263">
                  <c:v>-0.59382250470328313</c:v>
                </c:pt>
                <c:pt idx="264">
                  <c:v>-0.59607027252767064</c:v>
                </c:pt>
                <c:pt idx="265">
                  <c:v>-0.5987171967156284</c:v>
                </c:pt>
                <c:pt idx="266">
                  <c:v>-0.60084799005373057</c:v>
                </c:pt>
                <c:pt idx="267">
                  <c:v>-0.60320953721185455</c:v>
                </c:pt>
                <c:pt idx="268">
                  <c:v>-0.60534674705551872</c:v>
                </c:pt>
                <c:pt idx="269">
                  <c:v>-0.60739729857527391</c:v>
                </c:pt>
                <c:pt idx="270">
                  <c:v>-0.60976094218512222</c:v>
                </c:pt>
                <c:pt idx="271">
                  <c:v>-0.61178862280432356</c:v>
                </c:pt>
                <c:pt idx="272">
                  <c:v>-0.61425942426023084</c:v>
                </c:pt>
                <c:pt idx="273">
                  <c:v>-0.61649046167001298</c:v>
                </c:pt>
                <c:pt idx="274">
                  <c:v>-0.61840495533453288</c:v>
                </c:pt>
                <c:pt idx="275">
                  <c:v>-0.62089716268490891</c:v>
                </c:pt>
                <c:pt idx="276">
                  <c:v>-0.62284880136651666</c:v>
                </c:pt>
                <c:pt idx="277">
                  <c:v>-0.62507390646069239</c:v>
                </c:pt>
                <c:pt idx="278">
                  <c:v>-0.62739406842479628</c:v>
                </c:pt>
                <c:pt idx="279">
                  <c:v>-0.62913691832235419</c:v>
                </c:pt>
                <c:pt idx="280">
                  <c:v>-0.63149211610432709</c:v>
                </c:pt>
                <c:pt idx="281">
                  <c:v>-0.63379599497475247</c:v>
                </c:pt>
                <c:pt idx="282">
                  <c:v>-0.6358798812797366</c:v>
                </c:pt>
                <c:pt idx="283">
                  <c:v>-0.63787029927791938</c:v>
                </c:pt>
                <c:pt idx="284">
                  <c:v>-0.64012933128047955</c:v>
                </c:pt>
                <c:pt idx="285">
                  <c:v>-0.64266442384056732</c:v>
                </c:pt>
                <c:pt idx="286">
                  <c:v>-0.64450963495576341</c:v>
                </c:pt>
                <c:pt idx="287">
                  <c:v>-0.64694794471125505</c:v>
                </c:pt>
                <c:pt idx="288">
                  <c:v>-0.64896357468879451</c:v>
                </c:pt>
                <c:pt idx="289">
                  <c:v>-0.65126841928088741</c:v>
                </c:pt>
                <c:pt idx="290">
                  <c:v>-0.65332553318818332</c:v>
                </c:pt>
                <c:pt idx="291">
                  <c:v>-0.65547148420108581</c:v>
                </c:pt>
                <c:pt idx="292">
                  <c:v>-0.65768302862011219</c:v>
                </c:pt>
                <c:pt idx="293">
                  <c:v>-0.66026441192765029</c:v>
                </c:pt>
                <c:pt idx="294">
                  <c:v>-0.66190599629373725</c:v>
                </c:pt>
                <c:pt idx="295">
                  <c:v>-0.66420823196879242</c:v>
                </c:pt>
                <c:pt idx="296">
                  <c:v>-0.66635923771840733</c:v>
                </c:pt>
                <c:pt idx="297">
                  <c:v>-0.66842544156830708</c:v>
                </c:pt>
                <c:pt idx="298">
                  <c:v>-0.67067439320265121</c:v>
                </c:pt>
                <c:pt idx="299">
                  <c:v>-0.67254222779894546</c:v>
                </c:pt>
                <c:pt idx="300">
                  <c:v>-0.67497088544028383</c:v>
                </c:pt>
                <c:pt idx="301">
                  <c:v>-0.67732397103372199</c:v>
                </c:pt>
                <c:pt idx="302">
                  <c:v>-0.67941605534384342</c:v>
                </c:pt>
                <c:pt idx="303">
                  <c:v>-0.68170476577443351</c:v>
                </c:pt>
                <c:pt idx="304">
                  <c:v>-0.6838812596674998</c:v>
                </c:pt>
                <c:pt idx="305">
                  <c:v>-0.68571743255698026</c:v>
                </c:pt>
                <c:pt idx="306">
                  <c:v>-0.6880915401169001</c:v>
                </c:pt>
                <c:pt idx="307">
                  <c:v>-0.68970049653326881</c:v>
                </c:pt>
                <c:pt idx="308">
                  <c:v>-0.69161330277846178</c:v>
                </c:pt>
                <c:pt idx="309">
                  <c:v>-0.69352972160333992</c:v>
                </c:pt>
                <c:pt idx="310">
                  <c:v>-0.69562902133540083</c:v>
                </c:pt>
                <c:pt idx="311">
                  <c:v>-0.69763992804419206</c:v>
                </c:pt>
                <c:pt idx="312">
                  <c:v>-0.69997495483985717</c:v>
                </c:pt>
                <c:pt idx="313">
                  <c:v>-0.70182499224735262</c:v>
                </c:pt>
                <c:pt idx="314">
                  <c:v>-0.70421897328364436</c:v>
                </c:pt>
                <c:pt idx="315">
                  <c:v>-0.70651686417668969</c:v>
                </c:pt>
                <c:pt idx="316">
                  <c:v>-0.70871765289636035</c:v>
                </c:pt>
                <c:pt idx="317">
                  <c:v>-0.71114623928946674</c:v>
                </c:pt>
                <c:pt idx="318">
                  <c:v>-0.71315720754798639</c:v>
                </c:pt>
                <c:pt idx="319">
                  <c:v>-0.71529223697250333</c:v>
                </c:pt>
                <c:pt idx="320">
                  <c:v>-0.71705526603757697</c:v>
                </c:pt>
                <c:pt idx="321">
                  <c:v>-0.7193947689259993</c:v>
                </c:pt>
                <c:pt idx="322">
                  <c:v>-0.72136216885139737</c:v>
                </c:pt>
                <c:pt idx="323">
                  <c:v>-0.72377496898613747</c:v>
                </c:pt>
                <c:pt idx="324">
                  <c:v>-0.72519710891458511</c:v>
                </c:pt>
                <c:pt idx="325">
                  <c:v>-0.72748140321709931</c:v>
                </c:pt>
                <c:pt idx="326">
                  <c:v>-0.72949144747991146</c:v>
                </c:pt>
                <c:pt idx="327">
                  <c:v>-0.73200087153239246</c:v>
                </c:pt>
                <c:pt idx="328">
                  <c:v>-0.73406298758715138</c:v>
                </c:pt>
                <c:pt idx="329">
                  <c:v>-0.73600796986826134</c:v>
                </c:pt>
                <c:pt idx="330">
                  <c:v>-0.73824090146749366</c:v>
                </c:pt>
                <c:pt idx="331">
                  <c:v>-0.74027976064237055</c:v>
                </c:pt>
                <c:pt idx="332">
                  <c:v>-0.74282434937527486</c:v>
                </c:pt>
                <c:pt idx="333">
                  <c:v>-0.74481071413032074</c:v>
                </c:pt>
                <c:pt idx="334">
                  <c:v>-0.74687889623689452</c:v>
                </c:pt>
                <c:pt idx="335">
                  <c:v>-0.74874544110711028</c:v>
                </c:pt>
                <c:pt idx="336">
                  <c:v>-0.75090501855575409</c:v>
                </c:pt>
                <c:pt idx="337">
                  <c:v>-0.75273531637362057</c:v>
                </c:pt>
                <c:pt idx="338">
                  <c:v>-0.75501295564238036</c:v>
                </c:pt>
                <c:pt idx="339">
                  <c:v>-0.75665715951735846</c:v>
                </c:pt>
                <c:pt idx="340">
                  <c:v>-0.75878681504333756</c:v>
                </c:pt>
                <c:pt idx="341">
                  <c:v>-0.76033237299929601</c:v>
                </c:pt>
                <c:pt idx="342">
                  <c:v>-0.76244921134410581</c:v>
                </c:pt>
                <c:pt idx="343">
                  <c:v>-0.7645030742318043</c:v>
                </c:pt>
                <c:pt idx="344">
                  <c:v>-0.76634967661133813</c:v>
                </c:pt>
                <c:pt idx="345">
                  <c:v>-0.76889265290338404</c:v>
                </c:pt>
                <c:pt idx="346">
                  <c:v>-0.77085942078783154</c:v>
                </c:pt>
                <c:pt idx="347">
                  <c:v>-0.77286315605776845</c:v>
                </c:pt>
                <c:pt idx="348">
                  <c:v>-0.7753069575042939</c:v>
                </c:pt>
                <c:pt idx="349">
                  <c:v>-0.77742034080285338</c:v>
                </c:pt>
                <c:pt idx="350">
                  <c:v>-0.77900344467778071</c:v>
                </c:pt>
                <c:pt idx="351">
                  <c:v>-0.78140053586952141</c:v>
                </c:pt>
                <c:pt idx="352">
                  <c:v>-0.78367532728924605</c:v>
                </c:pt>
                <c:pt idx="353">
                  <c:v>-0.78589757200042831</c:v>
                </c:pt>
                <c:pt idx="354">
                  <c:v>-0.78793048675007638</c:v>
                </c:pt>
                <c:pt idx="355">
                  <c:v>-0.79040755403682061</c:v>
                </c:pt>
                <c:pt idx="356">
                  <c:v>-0.79291457991956826</c:v>
                </c:pt>
                <c:pt idx="357">
                  <c:v>-0.79522094120614595</c:v>
                </c:pt>
                <c:pt idx="358">
                  <c:v>-0.79723021399367555</c:v>
                </c:pt>
                <c:pt idx="359">
                  <c:v>-0.79962444812665801</c:v>
                </c:pt>
                <c:pt idx="360">
                  <c:v>-0.80178393622516686</c:v>
                </c:pt>
                <c:pt idx="361">
                  <c:v>-0.80384610989569938</c:v>
                </c:pt>
                <c:pt idx="362">
                  <c:v>-0.80590281767619953</c:v>
                </c:pt>
                <c:pt idx="363">
                  <c:v>-0.80831831608685578</c:v>
                </c:pt>
                <c:pt idx="364">
                  <c:v>-0.81063806788080706</c:v>
                </c:pt>
                <c:pt idx="365">
                  <c:v>-0.81290965328809439</c:v>
                </c:pt>
                <c:pt idx="366">
                  <c:v>-0.81521877858879199</c:v>
                </c:pt>
                <c:pt idx="367">
                  <c:v>-0.81730050122494835</c:v>
                </c:pt>
                <c:pt idx="368">
                  <c:v>-0.81991479958209612</c:v>
                </c:pt>
                <c:pt idx="369">
                  <c:v>-0.82205043940808931</c:v>
                </c:pt>
                <c:pt idx="370">
                  <c:v>-0.823949764125122</c:v>
                </c:pt>
                <c:pt idx="371">
                  <c:v>-0.8261179048475904</c:v>
                </c:pt>
                <c:pt idx="372">
                  <c:v>-0.82823562546940321</c:v>
                </c:pt>
                <c:pt idx="373">
                  <c:v>-0.83015702647631651</c:v>
                </c:pt>
                <c:pt idx="374">
                  <c:v>-0.83254703745940539</c:v>
                </c:pt>
                <c:pt idx="375">
                  <c:v>-0.83483693247388213</c:v>
                </c:pt>
                <c:pt idx="376">
                  <c:v>-0.83686068608884079</c:v>
                </c:pt>
                <c:pt idx="377">
                  <c:v>-0.83909220858564837</c:v>
                </c:pt>
                <c:pt idx="378">
                  <c:v>-0.84132208708739864</c:v>
                </c:pt>
                <c:pt idx="379">
                  <c:v>-0.84348628038232887</c:v>
                </c:pt>
                <c:pt idx="380">
                  <c:v>-0.84570055937909827</c:v>
                </c:pt>
                <c:pt idx="381">
                  <c:v>-0.84784067766040994</c:v>
                </c:pt>
                <c:pt idx="382">
                  <c:v>-0.85021826073496243</c:v>
                </c:pt>
                <c:pt idx="383">
                  <c:v>-0.85283824754002213</c:v>
                </c:pt>
                <c:pt idx="384">
                  <c:v>-0.85475018769499722</c:v>
                </c:pt>
                <c:pt idx="385">
                  <c:v>-0.85692248174935037</c:v>
                </c:pt>
                <c:pt idx="386">
                  <c:v>-0.85951521184006852</c:v>
                </c:pt>
                <c:pt idx="387">
                  <c:v>-0.86171420332332371</c:v>
                </c:pt>
                <c:pt idx="388">
                  <c:v>-0.86381157777665429</c:v>
                </c:pt>
                <c:pt idx="389">
                  <c:v>-0.86587949930155061</c:v>
                </c:pt>
                <c:pt idx="390">
                  <c:v>-0.86840159161070019</c:v>
                </c:pt>
                <c:pt idx="391">
                  <c:v>-0.87082364168783133</c:v>
                </c:pt>
                <c:pt idx="392">
                  <c:v>-0.87299863963967494</c:v>
                </c:pt>
                <c:pt idx="393">
                  <c:v>-0.87532974624243376</c:v>
                </c:pt>
                <c:pt idx="394">
                  <c:v>-0.87735364566889795</c:v>
                </c:pt>
                <c:pt idx="395">
                  <c:v>-0.87958902491152091</c:v>
                </c:pt>
                <c:pt idx="396">
                  <c:v>-0.88210776085790088</c:v>
                </c:pt>
                <c:pt idx="397">
                  <c:v>-0.88412103052799706</c:v>
                </c:pt>
                <c:pt idx="398">
                  <c:v>-0.88634325009812021</c:v>
                </c:pt>
                <c:pt idx="399">
                  <c:v>-0.88854535054510397</c:v>
                </c:pt>
                <c:pt idx="400">
                  <c:v>-0.89072585437375018</c:v>
                </c:pt>
                <c:pt idx="401">
                  <c:v>-0.89247806221413584</c:v>
                </c:pt>
                <c:pt idx="402">
                  <c:v>-0.89494975352187744</c:v>
                </c:pt>
                <c:pt idx="403">
                  <c:v>-0.89653909633362139</c:v>
                </c:pt>
                <c:pt idx="404">
                  <c:v>-0.89810393526155896</c:v>
                </c:pt>
                <c:pt idx="405">
                  <c:v>-0.90080462675408168</c:v>
                </c:pt>
                <c:pt idx="406">
                  <c:v>-0.90280433313768105</c:v>
                </c:pt>
                <c:pt idx="407">
                  <c:v>-0.90527381650376171</c:v>
                </c:pt>
                <c:pt idx="408">
                  <c:v>-0.9073594419100367</c:v>
                </c:pt>
                <c:pt idx="409">
                  <c:v>-0.90916693871092602</c:v>
                </c:pt>
                <c:pt idx="410">
                  <c:v>-0.91175899846868835</c:v>
                </c:pt>
                <c:pt idx="411">
                  <c:v>-0.91399579616991034</c:v>
                </c:pt>
                <c:pt idx="412">
                  <c:v>-0.91619496931828948</c:v>
                </c:pt>
                <c:pt idx="413">
                  <c:v>-0.91865164806531585</c:v>
                </c:pt>
                <c:pt idx="414">
                  <c:v>-0.92116930519664064</c:v>
                </c:pt>
                <c:pt idx="415">
                  <c:v>-0.92307052686816959</c:v>
                </c:pt>
                <c:pt idx="416">
                  <c:v>-0.92515765366356451</c:v>
                </c:pt>
                <c:pt idx="417">
                  <c:v>-0.92787922570246606</c:v>
                </c:pt>
                <c:pt idx="418">
                  <c:v>-0.92958743918071818</c:v>
                </c:pt>
                <c:pt idx="419">
                  <c:v>-0.9319473208538831</c:v>
                </c:pt>
                <c:pt idx="420">
                  <c:v>-0.93419861015284456</c:v>
                </c:pt>
                <c:pt idx="421">
                  <c:v>-0.93629819249854229</c:v>
                </c:pt>
                <c:pt idx="422">
                  <c:v>-0.93849990145441076</c:v>
                </c:pt>
                <c:pt idx="423">
                  <c:v>-0.94072346230850212</c:v>
                </c:pt>
                <c:pt idx="424">
                  <c:v>-0.94311799204283919</c:v>
                </c:pt>
                <c:pt idx="425">
                  <c:v>-0.94542529425582789</c:v>
                </c:pt>
                <c:pt idx="426">
                  <c:v>-0.94727096200118521</c:v>
                </c:pt>
                <c:pt idx="427">
                  <c:v>-0.94977488622721162</c:v>
                </c:pt>
                <c:pt idx="428">
                  <c:v>-0.95203101939481605</c:v>
                </c:pt>
                <c:pt idx="429">
                  <c:v>-0.95437988246613359</c:v>
                </c:pt>
                <c:pt idx="430">
                  <c:v>-0.95552936673118205</c:v>
                </c:pt>
                <c:pt idx="431">
                  <c:v>-0.95850451733369191</c:v>
                </c:pt>
                <c:pt idx="432">
                  <c:v>-0.96074444164516726</c:v>
                </c:pt>
                <c:pt idx="433">
                  <c:v>-0.96263051853497095</c:v>
                </c:pt>
                <c:pt idx="434">
                  <c:v>-0.96488458672418609</c:v>
                </c:pt>
                <c:pt idx="435">
                  <c:v>-0.96697360789928211</c:v>
                </c:pt>
                <c:pt idx="436">
                  <c:v>-0.96965089001506577</c:v>
                </c:pt>
                <c:pt idx="437">
                  <c:v>-0.97193634840044851</c:v>
                </c:pt>
                <c:pt idx="438">
                  <c:v>-0.97424506107919429</c:v>
                </c:pt>
                <c:pt idx="439">
                  <c:v>-0.97626333231249252</c:v>
                </c:pt>
                <c:pt idx="440">
                  <c:v>-0.97827018512579345</c:v>
                </c:pt>
                <c:pt idx="441">
                  <c:v>-0.98052354498682426</c:v>
                </c:pt>
                <c:pt idx="442">
                  <c:v>-0.98278505905381741</c:v>
                </c:pt>
                <c:pt idx="443">
                  <c:v>-0.98541463429281662</c:v>
                </c:pt>
                <c:pt idx="444">
                  <c:v>-0.98756469375483802</c:v>
                </c:pt>
                <c:pt idx="445">
                  <c:v>-0.99032935182671233</c:v>
                </c:pt>
                <c:pt idx="446">
                  <c:v>-0.99203291888750922</c:v>
                </c:pt>
                <c:pt idx="447">
                  <c:v>-0.99435412694240966</c:v>
                </c:pt>
                <c:pt idx="448">
                  <c:v>-0.99655003327925129</c:v>
                </c:pt>
                <c:pt idx="449">
                  <c:v>-0.99892783603088853</c:v>
                </c:pt>
                <c:pt idx="450">
                  <c:v>-1.0012617626466802</c:v>
                </c:pt>
                <c:pt idx="451">
                  <c:v>-1.0033427442352749</c:v>
                </c:pt>
                <c:pt idx="452">
                  <c:v>-1.0054120624679665</c:v>
                </c:pt>
                <c:pt idx="453">
                  <c:v>-1.0079301741571436</c:v>
                </c:pt>
                <c:pt idx="454">
                  <c:v>-1.0104169616482057</c:v>
                </c:pt>
                <c:pt idx="455">
                  <c:v>-1.0118422648846839</c:v>
                </c:pt>
                <c:pt idx="456">
                  <c:v>-1.0145047157446656</c:v>
                </c:pt>
                <c:pt idx="457">
                  <c:v>-1.0161355072262728</c:v>
                </c:pt>
                <c:pt idx="458">
                  <c:v>-1.0191051283562536</c:v>
                </c:pt>
                <c:pt idx="459">
                  <c:v>-1.0210221544157954</c:v>
                </c:pt>
                <c:pt idx="460">
                  <c:v>-1.023087896936252</c:v>
                </c:pt>
                <c:pt idx="461">
                  <c:v>-1.0246643189474172</c:v>
                </c:pt>
                <c:pt idx="462">
                  <c:v>-1.0271761343540029</c:v>
                </c:pt>
                <c:pt idx="463">
                  <c:v>-1.0290697898008987</c:v>
                </c:pt>
                <c:pt idx="464">
                  <c:v>-1.030908081489275</c:v>
                </c:pt>
                <c:pt idx="465">
                  <c:v>-1.0335292422961679</c:v>
                </c:pt>
                <c:pt idx="466">
                  <c:v>-1.0356638198714032</c:v>
                </c:pt>
                <c:pt idx="467">
                  <c:v>-1.0374807178678829</c:v>
                </c:pt>
                <c:pt idx="468">
                  <c:v>-1.0396332762226881</c:v>
                </c:pt>
                <c:pt idx="469">
                  <c:v>-1.0417213660305915</c:v>
                </c:pt>
                <c:pt idx="470">
                  <c:v>-1.0442645630173999</c:v>
                </c:pt>
                <c:pt idx="471">
                  <c:v>-1.0463385384373651</c:v>
                </c:pt>
                <c:pt idx="472">
                  <c:v>-1.0486632630907864</c:v>
                </c:pt>
                <c:pt idx="473">
                  <c:v>-1.0511828147091939</c:v>
                </c:pt>
                <c:pt idx="474">
                  <c:v>-1.0531916332119111</c:v>
                </c:pt>
                <c:pt idx="475">
                  <c:v>-1.0552086269052054</c:v>
                </c:pt>
                <c:pt idx="476">
                  <c:v>-1.0576362468798834</c:v>
                </c:pt>
                <c:pt idx="477">
                  <c:v>-1.0599770111415194</c:v>
                </c:pt>
                <c:pt idx="478">
                  <c:v>-1.0622702013671392</c:v>
                </c:pt>
                <c:pt idx="479">
                  <c:v>-1.0643838436093929</c:v>
                </c:pt>
                <c:pt idx="480">
                  <c:v>-1.0664809121147658</c:v>
                </c:pt>
                <c:pt idx="481">
                  <c:v>-1.0681563247299424</c:v>
                </c:pt>
                <c:pt idx="482">
                  <c:v>-1.0708184235020606</c:v>
                </c:pt>
                <c:pt idx="483">
                  <c:v>-1.0731915112525978</c:v>
                </c:pt>
                <c:pt idx="484">
                  <c:v>-1.07499811137086</c:v>
                </c:pt>
                <c:pt idx="485">
                  <c:v>-1.0766939493674557</c:v>
                </c:pt>
                <c:pt idx="486">
                  <c:v>-1.07873283628604</c:v>
                </c:pt>
                <c:pt idx="487">
                  <c:v>-1.0817219528271567</c:v>
                </c:pt>
                <c:pt idx="488">
                  <c:v>-1.083414084870634</c:v>
                </c:pt>
                <c:pt idx="489">
                  <c:v>-1.0859000434129054</c:v>
                </c:pt>
                <c:pt idx="490">
                  <c:v>-1.0878859238209915</c:v>
                </c:pt>
                <c:pt idx="491">
                  <c:v>-1.0895553088950851</c:v>
                </c:pt>
                <c:pt idx="492">
                  <c:v>-1.0922680136512031</c:v>
                </c:pt>
                <c:pt idx="493">
                  <c:v>-1.0941804979480965</c:v>
                </c:pt>
                <c:pt idx="494">
                  <c:v>-1.0964420223645617</c:v>
                </c:pt>
                <c:pt idx="495">
                  <c:v>-1.0981393379893902</c:v>
                </c:pt>
                <c:pt idx="496">
                  <c:v>-1.1005340464585551</c:v>
                </c:pt>
                <c:pt idx="497">
                  <c:v>-1.1030142654480086</c:v>
                </c:pt>
                <c:pt idx="498">
                  <c:v>-1.1060343102994987</c:v>
                </c:pt>
                <c:pt idx="499">
                  <c:v>-1.1075849523072798</c:v>
                </c:pt>
                <c:pt idx="500">
                  <c:v>-1.1100639210248322</c:v>
                </c:pt>
                <c:pt idx="501">
                  <c:v>-1.1121251433410391</c:v>
                </c:pt>
                <c:pt idx="502">
                  <c:v>-1.1144496131480079</c:v>
                </c:pt>
                <c:pt idx="503">
                  <c:v>-1.116573062411238</c:v>
                </c:pt>
                <c:pt idx="504">
                  <c:v>-1.11928926908866</c:v>
                </c:pt>
                <c:pt idx="505">
                  <c:v>-1.1212695231513701</c:v>
                </c:pt>
                <c:pt idx="506">
                  <c:v>-1.1226000459686849</c:v>
                </c:pt>
                <c:pt idx="507">
                  <c:v>-1.1257826583573129</c:v>
                </c:pt>
                <c:pt idx="508">
                  <c:v>-1.1276036151003537</c:v>
                </c:pt>
                <c:pt idx="509">
                  <c:v>-1.1297362289092003</c:v>
                </c:pt>
                <c:pt idx="510">
                  <c:v>-1.1319756403342995</c:v>
                </c:pt>
                <c:pt idx="511">
                  <c:v>-1.1340561670556089</c:v>
                </c:pt>
                <c:pt idx="512">
                  <c:v>-1.1365345762289003</c:v>
                </c:pt>
                <c:pt idx="513">
                  <c:v>-1.1388083120041796</c:v>
                </c:pt>
                <c:pt idx="514">
                  <c:v>-1.1410964071717948</c:v>
                </c:pt>
                <c:pt idx="515">
                  <c:v>-1.1434893256021896</c:v>
                </c:pt>
                <c:pt idx="516">
                  <c:v>-1.1452667328866764</c:v>
                </c:pt>
                <c:pt idx="517">
                  <c:v>-1.1475795689877635</c:v>
                </c:pt>
                <c:pt idx="518">
                  <c:v>-1.149667197823625</c:v>
                </c:pt>
                <c:pt idx="519">
                  <c:v>-1.1523535918171328</c:v>
                </c:pt>
                <c:pt idx="520">
                  <c:v>-1.1540818003591833</c:v>
                </c:pt>
                <c:pt idx="521">
                  <c:v>-1.1571342646152638</c:v>
                </c:pt>
                <c:pt idx="522">
                  <c:v>-1.1595800653563413</c:v>
                </c:pt>
                <c:pt idx="523">
                  <c:v>-1.1619153348775804</c:v>
                </c:pt>
                <c:pt idx="524">
                  <c:v>-1.1635503178004436</c:v>
                </c:pt>
                <c:pt idx="525">
                  <c:v>-1.1663641239949436</c:v>
                </c:pt>
                <c:pt idx="526">
                  <c:v>-1.1683727082472997</c:v>
                </c:pt>
                <c:pt idx="527">
                  <c:v>-1.1709037976286341</c:v>
                </c:pt>
                <c:pt idx="528">
                  <c:v>-1.1728155893821848</c:v>
                </c:pt>
                <c:pt idx="529">
                  <c:v>-1.1749997008032909</c:v>
                </c:pt>
                <c:pt idx="530">
                  <c:v>-1.1780879414629204</c:v>
                </c:pt>
                <c:pt idx="531">
                  <c:v>-1.1794629354170079</c:v>
                </c:pt>
                <c:pt idx="532">
                  <c:v>-1.1821766234322912</c:v>
                </c:pt>
                <c:pt idx="533">
                  <c:v>-1.1843012979961502</c:v>
                </c:pt>
                <c:pt idx="534">
                  <c:v>-1.1870780483916783</c:v>
                </c:pt>
                <c:pt idx="535">
                  <c:v>-1.1883408588783098</c:v>
                </c:pt>
                <c:pt idx="536">
                  <c:v>-1.1916840436111209</c:v>
                </c:pt>
                <c:pt idx="537">
                  <c:v>-1.1941535047652994</c:v>
                </c:pt>
                <c:pt idx="538">
                  <c:v>-1.1957374646142909</c:v>
                </c:pt>
                <c:pt idx="539">
                  <c:v>-1.1986994640371078</c:v>
                </c:pt>
                <c:pt idx="540">
                  <c:v>-1.2017980256041449</c:v>
                </c:pt>
                <c:pt idx="541">
                  <c:v>-1.2044282261570249</c:v>
                </c:pt>
                <c:pt idx="542">
                  <c:v>-1.2063125842899529</c:v>
                </c:pt>
                <c:pt idx="543">
                  <c:v>-1.208828157500246</c:v>
                </c:pt>
                <c:pt idx="544">
                  <c:v>-1.2120672587958616</c:v>
                </c:pt>
                <c:pt idx="545">
                  <c:v>-1.2146613190643938</c:v>
                </c:pt>
                <c:pt idx="546">
                  <c:v>-1.2168011067322324</c:v>
                </c:pt>
                <c:pt idx="547">
                  <c:v>-1.218893153905007</c:v>
                </c:pt>
                <c:pt idx="548">
                  <c:v>-1.2214167178236759</c:v>
                </c:pt>
                <c:pt idx="549">
                  <c:v>-1.2242271630876131</c:v>
                </c:pt>
                <c:pt idx="550">
                  <c:v>-1.2263607760086384</c:v>
                </c:pt>
                <c:pt idx="551">
                  <c:v>-1.2291785471342536</c:v>
                </c:pt>
                <c:pt idx="552">
                  <c:v>-1.2304536714493017</c:v>
                </c:pt>
                <c:pt idx="553">
                  <c:v>-1.2338624941102034</c:v>
                </c:pt>
                <c:pt idx="554">
                  <c:v>-1.2360364953165455</c:v>
                </c:pt>
                <c:pt idx="555">
                  <c:v>-1.2384101355681512</c:v>
                </c:pt>
                <c:pt idx="556">
                  <c:v>-1.2400960335535125</c:v>
                </c:pt>
                <c:pt idx="557">
                  <c:v>-1.2421692970844345</c:v>
                </c:pt>
                <c:pt idx="558">
                  <c:v>-1.2443929851498954</c:v>
                </c:pt>
                <c:pt idx="559">
                  <c:v>-1.2469280883844418</c:v>
                </c:pt>
                <c:pt idx="560">
                  <c:v>-1.2491712464808871</c:v>
                </c:pt>
                <c:pt idx="561">
                  <c:v>-1.2511513937497114</c:v>
                </c:pt>
                <c:pt idx="562">
                  <c:v>-1.2545460069900529</c:v>
                </c:pt>
                <c:pt idx="563">
                  <c:v>-1.2563290732912233</c:v>
                </c:pt>
                <c:pt idx="564">
                  <c:v>-1.2589603759456727</c:v>
                </c:pt>
                <c:pt idx="565">
                  <c:v>-1.2613652923010295</c:v>
                </c:pt>
                <c:pt idx="566">
                  <c:v>-1.2639552237858216</c:v>
                </c:pt>
                <c:pt idx="567">
                  <c:v>-1.2662688925258256</c:v>
                </c:pt>
                <c:pt idx="568">
                  <c:v>-1.2682361844143597</c:v>
                </c:pt>
                <c:pt idx="569">
                  <c:v>-1.2709759904637616</c:v>
                </c:pt>
                <c:pt idx="570">
                  <c:v>-1.2728670039928429</c:v>
                </c:pt>
                <c:pt idx="571">
                  <c:v>-1.2755295345560584</c:v>
                </c:pt>
                <c:pt idx="572">
                  <c:v>-1.2778043152066272</c:v>
                </c:pt>
                <c:pt idx="573">
                  <c:v>-1.2798798431927267</c:v>
                </c:pt>
                <c:pt idx="574">
                  <c:v>-1.2821587691798584</c:v>
                </c:pt>
                <c:pt idx="575">
                  <c:v>-1.2841371541901279</c:v>
                </c:pt>
                <c:pt idx="576">
                  <c:v>-1.2860632891531607</c:v>
                </c:pt>
                <c:pt idx="577">
                  <c:v>-1.2889350437106224</c:v>
                </c:pt>
                <c:pt idx="578">
                  <c:v>-1.2905345626254245</c:v>
                </c:pt>
                <c:pt idx="579">
                  <c:v>-1.2925464465402707</c:v>
                </c:pt>
                <c:pt idx="580">
                  <c:v>-1.2946815115001871</c:v>
                </c:pt>
                <c:pt idx="581">
                  <c:v>-1.2968954433596662</c:v>
                </c:pt>
                <c:pt idx="582">
                  <c:v>-1.2990193824844374</c:v>
                </c:pt>
                <c:pt idx="583">
                  <c:v>-1.3016866142717147</c:v>
                </c:pt>
                <c:pt idx="584">
                  <c:v>-1.3037164575792706</c:v>
                </c:pt>
                <c:pt idx="585">
                  <c:v>-1.3058640208302708</c:v>
                </c:pt>
                <c:pt idx="586">
                  <c:v>-1.308556343719472</c:v>
                </c:pt>
                <c:pt idx="587">
                  <c:v>-1.3108327189289226</c:v>
                </c:pt>
                <c:pt idx="588">
                  <c:v>-1.3125958879403554</c:v>
                </c:pt>
                <c:pt idx="589">
                  <c:v>-1.3138706594139626</c:v>
                </c:pt>
                <c:pt idx="590">
                  <c:v>-1.3172252853936484</c:v>
                </c:pt>
                <c:pt idx="591">
                  <c:v>-1.319499247467929</c:v>
                </c:pt>
                <c:pt idx="592">
                  <c:v>-1.3218382444841512</c:v>
                </c:pt>
                <c:pt idx="593">
                  <c:v>-1.3236791457750794</c:v>
                </c:pt>
                <c:pt idx="594">
                  <c:v>-1.326426502474376</c:v>
                </c:pt>
                <c:pt idx="595">
                  <c:v>-1.3287787853944497</c:v>
                </c:pt>
                <c:pt idx="596">
                  <c:v>-1.3310685269158367</c:v>
                </c:pt>
                <c:pt idx="597">
                  <c:v>-1.3335366288336592</c:v>
                </c:pt>
                <c:pt idx="598">
                  <c:v>-1.3351472026196032</c:v>
                </c:pt>
                <c:pt idx="599">
                  <c:v>-1.3379521641299066</c:v>
                </c:pt>
                <c:pt idx="600">
                  <c:v>-1.3393717282375712</c:v>
                </c:pt>
                <c:pt idx="601">
                  <c:v>-1.3415431879607036</c:v>
                </c:pt>
                <c:pt idx="602">
                  <c:v>-1.3441820448333053</c:v>
                </c:pt>
                <c:pt idx="603">
                  <c:v>-1.3457606186912865</c:v>
                </c:pt>
                <c:pt idx="604">
                  <c:v>-1.348119688213183</c:v>
                </c:pt>
                <c:pt idx="605">
                  <c:v>-1.3513657792414211</c:v>
                </c:pt>
                <c:pt idx="606">
                  <c:v>-1.3528680415457881</c:v>
                </c:pt>
                <c:pt idx="607">
                  <c:v>-1.3552979251879327</c:v>
                </c:pt>
                <c:pt idx="608">
                  <c:v>-1.3578604894812127</c:v>
                </c:pt>
                <c:pt idx="609">
                  <c:v>-1.3601910880625467</c:v>
                </c:pt>
                <c:pt idx="610">
                  <c:v>-1.362266284615576</c:v>
                </c:pt>
                <c:pt idx="611">
                  <c:v>-1.3645153074536742</c:v>
                </c:pt>
                <c:pt idx="612">
                  <c:v>-1.3667412712719951</c:v>
                </c:pt>
                <c:pt idx="613">
                  <c:v>-1.3691760077808073</c:v>
                </c:pt>
                <c:pt idx="614">
                  <c:v>-1.3717023610028896</c:v>
                </c:pt>
                <c:pt idx="615">
                  <c:v>-1.3730125074637698</c:v>
                </c:pt>
                <c:pt idx="616">
                  <c:v>-1.3756454229680315</c:v>
                </c:pt>
                <c:pt idx="617">
                  <c:v>-1.3775466901399669</c:v>
                </c:pt>
                <c:pt idx="618">
                  <c:v>-1.3798981535845585</c:v>
                </c:pt>
                <c:pt idx="619">
                  <c:v>-1.3821346729799187</c:v>
                </c:pt>
                <c:pt idx="620">
                  <c:v>-1.384357002060153</c:v>
                </c:pt>
                <c:pt idx="621">
                  <c:v>-1.3874809836737416</c:v>
                </c:pt>
                <c:pt idx="622">
                  <c:v>-1.3898957206241307</c:v>
                </c:pt>
                <c:pt idx="623">
                  <c:v>-1.3921210922188163</c:v>
                </c:pt>
                <c:pt idx="624">
                  <c:v>-1.3935180062301231</c:v>
                </c:pt>
                <c:pt idx="625">
                  <c:v>-1.3967731266804626</c:v>
                </c:pt>
                <c:pt idx="626">
                  <c:v>-1.3980903285456405</c:v>
                </c:pt>
                <c:pt idx="627">
                  <c:v>-1.4009885412115581</c:v>
                </c:pt>
                <c:pt idx="628">
                  <c:v>-1.4027378379734212</c:v>
                </c:pt>
                <c:pt idx="629">
                  <c:v>-1.4045309666133161</c:v>
                </c:pt>
                <c:pt idx="630">
                  <c:v>-1.407564760501846</c:v>
                </c:pt>
                <c:pt idx="631">
                  <c:v>-1.4098443310414706</c:v>
                </c:pt>
                <c:pt idx="632">
                  <c:v>-1.4121516691398317</c:v>
                </c:pt>
                <c:pt idx="633">
                  <c:v>-1.4135343109078335</c:v>
                </c:pt>
                <c:pt idx="634">
                  <c:v>-1.4156474345324428</c:v>
                </c:pt>
                <c:pt idx="635">
                  <c:v>-1.4186585766556319</c:v>
                </c:pt>
                <c:pt idx="636">
                  <c:v>-1.420532699527187</c:v>
                </c:pt>
                <c:pt idx="637">
                  <c:v>-1.4227483502028884</c:v>
                </c:pt>
                <c:pt idx="638">
                  <c:v>-1.424610670442793</c:v>
                </c:pt>
                <c:pt idx="639">
                  <c:v>-1.4275968717775882</c:v>
                </c:pt>
                <c:pt idx="640">
                  <c:v>-1.4292904934980342</c:v>
                </c:pt>
                <c:pt idx="641">
                  <c:v>-1.4316923630388789</c:v>
                </c:pt>
                <c:pt idx="642">
                  <c:v>-1.4347730389734137</c:v>
                </c:pt>
                <c:pt idx="643">
                  <c:v>-1.4364722091794715</c:v>
                </c:pt>
                <c:pt idx="644">
                  <c:v>-1.4386325352893348</c:v>
                </c:pt>
                <c:pt idx="645">
                  <c:v>-1.4392456517385004</c:v>
                </c:pt>
                <c:pt idx="646">
                  <c:v>-1.442803585203551</c:v>
                </c:pt>
                <c:pt idx="647">
                  <c:v>-1.4440209553208416</c:v>
                </c:pt>
                <c:pt idx="648">
                  <c:v>-1.4461016487542411</c:v>
                </c:pt>
                <c:pt idx="649">
                  <c:v>-1.4479897495351735</c:v>
                </c:pt>
                <c:pt idx="650">
                  <c:v>-1.449915698466923</c:v>
                </c:pt>
                <c:pt idx="651">
                  <c:v>-1.4528769554595244</c:v>
                </c:pt>
                <c:pt idx="652">
                  <c:v>-1.4540945585632572</c:v>
                </c:pt>
                <c:pt idx="653">
                  <c:v>-1.4570884330658995</c:v>
                </c:pt>
                <c:pt idx="654">
                  <c:v>-1.4585825411598252</c:v>
                </c:pt>
                <c:pt idx="655">
                  <c:v>-1.4616352749596304</c:v>
                </c:pt>
                <c:pt idx="656">
                  <c:v>-1.4636217549544939</c:v>
                </c:pt>
                <c:pt idx="657">
                  <c:v>-1.4665609239117769</c:v>
                </c:pt>
                <c:pt idx="658">
                  <c:v>-1.4676957448313095</c:v>
                </c:pt>
                <c:pt idx="659">
                  <c:v>-1.4704797436948138</c:v>
                </c:pt>
                <c:pt idx="660">
                  <c:v>-1.4739369569357736</c:v>
                </c:pt>
                <c:pt idx="661">
                  <c:v>-1.4761801032655077</c:v>
                </c:pt>
                <c:pt idx="662">
                  <c:v>-1.4794807458455139</c:v>
                </c:pt>
                <c:pt idx="663">
                  <c:v>-1.4813030601614758</c:v>
                </c:pt>
                <c:pt idx="664">
                  <c:v>-1.4831113555008284</c:v>
                </c:pt>
                <c:pt idx="665">
                  <c:v>-1.4870280503640441</c:v>
                </c:pt>
                <c:pt idx="666">
                  <c:v>-1.4884140170763769</c:v>
                </c:pt>
                <c:pt idx="667">
                  <c:v>-1.4905200706904096</c:v>
                </c:pt>
                <c:pt idx="668">
                  <c:v>-1.4934526486382149</c:v>
                </c:pt>
                <c:pt idx="669">
                  <c:v>-1.495419086218025</c:v>
                </c:pt>
                <c:pt idx="670">
                  <c:v>-1.4983850109643688</c:v>
                </c:pt>
                <c:pt idx="671">
                  <c:v>-1.4998333328664246</c:v>
                </c:pt>
                <c:pt idx="672">
                  <c:v>-1.5033789332587768</c:v>
                </c:pt>
                <c:pt idx="673">
                  <c:v>-1.5047478124595006</c:v>
                </c:pt>
                <c:pt idx="674">
                  <c:v>-1.5073899444977408</c:v>
                </c:pt>
                <c:pt idx="675">
                  <c:v>-1.5098429462076943</c:v>
                </c:pt>
                <c:pt idx="676">
                  <c:v>-1.5117553446449079</c:v>
                </c:pt>
                <c:pt idx="677">
                  <c:v>-1.5152004332369697</c:v>
                </c:pt>
                <c:pt idx="678">
                  <c:v>-1.5163913314151194</c:v>
                </c:pt>
                <c:pt idx="679">
                  <c:v>-1.518795066154385</c:v>
                </c:pt>
                <c:pt idx="680">
                  <c:v>-1.521753833669083</c:v>
                </c:pt>
                <c:pt idx="681">
                  <c:v>-1.523991344816694</c:v>
                </c:pt>
                <c:pt idx="682">
                  <c:v>-1.5262762609871821</c:v>
                </c:pt>
                <c:pt idx="683">
                  <c:v>-1.528044728880775</c:v>
                </c:pt>
                <c:pt idx="684">
                  <c:v>-1.5308433887108313</c:v>
                </c:pt>
                <c:pt idx="685">
                  <c:v>-1.5326877515822035</c:v>
                </c:pt>
                <c:pt idx="686">
                  <c:v>-1.5351695343926972</c:v>
                </c:pt>
                <c:pt idx="687">
                  <c:v>-1.5375362637785024</c:v>
                </c:pt>
                <c:pt idx="688">
                  <c:v>-1.5389146919725825</c:v>
                </c:pt>
                <c:pt idx="689">
                  <c:v>-1.5412182495584745</c:v>
                </c:pt>
                <c:pt idx="690">
                  <c:v>-1.5435315592657661</c:v>
                </c:pt>
                <c:pt idx="691">
                  <c:v>-1.5455876061938394</c:v>
                </c:pt>
                <c:pt idx="692">
                  <c:v>-1.5472201620603103</c:v>
                </c:pt>
                <c:pt idx="693">
                  <c:v>-1.5503763440738465</c:v>
                </c:pt>
                <c:pt idx="694">
                  <c:v>-1.5527196850060394</c:v>
                </c:pt>
                <c:pt idx="695">
                  <c:v>-1.5539418861954315</c:v>
                </c:pt>
                <c:pt idx="696">
                  <c:v>-1.5573837840474114</c:v>
                </c:pt>
                <c:pt idx="697">
                  <c:v>-1.5592425967605255</c:v>
                </c:pt>
                <c:pt idx="698">
                  <c:v>-1.5610892544238919</c:v>
                </c:pt>
                <c:pt idx="699">
                  <c:v>-1.5636227594849434</c:v>
                </c:pt>
                <c:pt idx="700">
                  <c:v>-1.5654721759759007</c:v>
                </c:pt>
                <c:pt idx="701">
                  <c:v>-1.5682048927076067</c:v>
                </c:pt>
                <c:pt idx="702">
                  <c:v>-1.568986718171157</c:v>
                </c:pt>
                <c:pt idx="703">
                  <c:v>-1.5723405674342394</c:v>
                </c:pt>
                <c:pt idx="704">
                  <c:v>-1.5737714701056762</c:v>
                </c:pt>
                <c:pt idx="705">
                  <c:v>-1.5763098029712976</c:v>
                </c:pt>
                <c:pt idx="706">
                  <c:v>-1.5782289255009838</c:v>
                </c:pt>
                <c:pt idx="707">
                  <c:v>-1.580019144057782</c:v>
                </c:pt>
                <c:pt idx="708">
                  <c:v>-1.5827747690443554</c:v>
                </c:pt>
                <c:pt idx="709">
                  <c:v>-1.58486191607384</c:v>
                </c:pt>
                <c:pt idx="710">
                  <c:v>-1.5879204081762175</c:v>
                </c:pt>
                <c:pt idx="711">
                  <c:v>-1.5897174029505818</c:v>
                </c:pt>
                <c:pt idx="712">
                  <c:v>-1.5909320906949165</c:v>
                </c:pt>
                <c:pt idx="713">
                  <c:v>-1.5939810007790689</c:v>
                </c:pt>
                <c:pt idx="714">
                  <c:v>-1.5968492088678901</c:v>
                </c:pt>
                <c:pt idx="715">
                  <c:v>-1.5987917419894946</c:v>
                </c:pt>
                <c:pt idx="716">
                  <c:v>-1.6016363923517465</c:v>
                </c:pt>
                <c:pt idx="717">
                  <c:v>-1.6040451369024866</c:v>
                </c:pt>
                <c:pt idx="718">
                  <c:v>-1.6057851808148285</c:v>
                </c:pt>
                <c:pt idx="719">
                  <c:v>-1.6086561301918119</c:v>
                </c:pt>
                <c:pt idx="720">
                  <c:v>-1.6111864964331604</c:v>
                </c:pt>
                <c:pt idx="721">
                  <c:v>-1.6125544370433147</c:v>
                </c:pt>
                <c:pt idx="722">
                  <c:v>-1.6145318935249129</c:v>
                </c:pt>
                <c:pt idx="723">
                  <c:v>-1.618037322512109</c:v>
                </c:pt>
                <c:pt idx="724">
                  <c:v>-1.6198645261686195</c:v>
                </c:pt>
                <c:pt idx="725">
                  <c:v>-1.6213958492599181</c:v>
                </c:pt>
                <c:pt idx="726">
                  <c:v>-1.6253657009699614</c:v>
                </c:pt>
                <c:pt idx="727">
                  <c:v>-1.6264533913995241</c:v>
                </c:pt>
                <c:pt idx="728">
                  <c:v>-1.6294042273104192</c:v>
                </c:pt>
                <c:pt idx="729">
                  <c:v>-1.6319031892260121</c:v>
                </c:pt>
                <c:pt idx="730">
                  <c:v>-1.6336987262072284</c:v>
                </c:pt>
                <c:pt idx="731">
                  <c:v>-1.6342553727695452</c:v>
                </c:pt>
                <c:pt idx="732">
                  <c:v>-1.6373739180408562</c:v>
                </c:pt>
                <c:pt idx="733">
                  <c:v>-1.639132133941577</c:v>
                </c:pt>
                <c:pt idx="734">
                  <c:v>-1.6426091688003763</c:v>
                </c:pt>
                <c:pt idx="735">
                  <c:v>-1.6445680665457505</c:v>
                </c:pt>
                <c:pt idx="736">
                  <c:v>-1.6462777511179452</c:v>
                </c:pt>
                <c:pt idx="737">
                  <c:v>-1.647526931405471</c:v>
                </c:pt>
                <c:pt idx="738">
                  <c:v>-1.6503533770125347</c:v>
                </c:pt>
                <c:pt idx="739">
                  <c:v>-1.6525900475875728</c:v>
                </c:pt>
                <c:pt idx="740">
                  <c:v>-1.6545668325110434</c:v>
                </c:pt>
                <c:pt idx="741">
                  <c:v>-1.655305874728745</c:v>
                </c:pt>
                <c:pt idx="742">
                  <c:v>-1.6581182621093811</c:v>
                </c:pt>
                <c:pt idx="743">
                  <c:v>-1.6601440295819809</c:v>
                </c:pt>
                <c:pt idx="744">
                  <c:v>-1.6620708231634362</c:v>
                </c:pt>
                <c:pt idx="745">
                  <c:v>-1.6654347624165526</c:v>
                </c:pt>
                <c:pt idx="746">
                  <c:v>-1.6669694113119573</c:v>
                </c:pt>
                <c:pt idx="747">
                  <c:v>-1.6685179267341592</c:v>
                </c:pt>
                <c:pt idx="748">
                  <c:v>-1.6706407492361732</c:v>
                </c:pt>
                <c:pt idx="749">
                  <c:v>-1.6723452171197648</c:v>
                </c:pt>
                <c:pt idx="750">
                  <c:v>-1.6736024438027479</c:v>
                </c:pt>
                <c:pt idx="751">
                  <c:v>-1.6783409475567002</c:v>
                </c:pt>
                <c:pt idx="752">
                  <c:v>-1.6798949523559059</c:v>
                </c:pt>
                <c:pt idx="753">
                  <c:v>-1.6827767174748811</c:v>
                </c:pt>
                <c:pt idx="754">
                  <c:v>-1.6844741411712958</c:v>
                </c:pt>
                <c:pt idx="755">
                  <c:v>-1.6866435115333123</c:v>
                </c:pt>
                <c:pt idx="756">
                  <c:v>-1.6882375393797571</c:v>
                </c:pt>
                <c:pt idx="757">
                  <c:v>-1.6909191509496111</c:v>
                </c:pt>
                <c:pt idx="758">
                  <c:v>-1.6930472028721597</c:v>
                </c:pt>
                <c:pt idx="759">
                  <c:v>-1.6949116000234903</c:v>
                </c:pt>
                <c:pt idx="760">
                  <c:v>-1.6958814799641502</c:v>
                </c:pt>
                <c:pt idx="761">
                  <c:v>-1.6992811743733465</c:v>
                </c:pt>
                <c:pt idx="762">
                  <c:v>-1.7011792839849125</c:v>
                </c:pt>
                <c:pt idx="763">
                  <c:v>-1.7014881283778429</c:v>
                </c:pt>
                <c:pt idx="764">
                  <c:v>-1.7046985206121805</c:v>
                </c:pt>
                <c:pt idx="765">
                  <c:v>-1.7030885948391199</c:v>
                </c:pt>
                <c:pt idx="766">
                  <c:v>-1.7090067320369136</c:v>
                </c:pt>
                <c:pt idx="767">
                  <c:v>-1.7116277425090212</c:v>
                </c:pt>
                <c:pt idx="768">
                  <c:v>-1.7132902144971178</c:v>
                </c:pt>
                <c:pt idx="769">
                  <c:v>-1.7162763172319395</c:v>
                </c:pt>
                <c:pt idx="770">
                  <c:v>-1.7185657058155912</c:v>
                </c:pt>
                <c:pt idx="771">
                  <c:v>-1.720186101792937</c:v>
                </c:pt>
                <c:pt idx="772">
                  <c:v>-1.7227944775693231</c:v>
                </c:pt>
                <c:pt idx="773">
                  <c:v>-1.723390724322982</c:v>
                </c:pt>
                <c:pt idx="774">
                  <c:v>-1.7263413647369004</c:v>
                </c:pt>
                <c:pt idx="775">
                  <c:v>-1.7282279660303861</c:v>
                </c:pt>
                <c:pt idx="776">
                  <c:v>-1.7323797567166999</c:v>
                </c:pt>
                <c:pt idx="777">
                  <c:v>-1.7353113067589061</c:v>
                </c:pt>
                <c:pt idx="778">
                  <c:v>-1.7368268978021444</c:v>
                </c:pt>
                <c:pt idx="779">
                  <c:v>-1.7373001550909424</c:v>
                </c:pt>
                <c:pt idx="780">
                  <c:v>-1.7385396795264207</c:v>
                </c:pt>
                <c:pt idx="781">
                  <c:v>-1.7415574168860122</c:v>
                </c:pt>
                <c:pt idx="782">
                  <c:v>-1.7425821058785302</c:v>
                </c:pt>
                <c:pt idx="783">
                  <c:v>-1.7449481825670068</c:v>
                </c:pt>
                <c:pt idx="784">
                  <c:v>-1.7472116899074508</c:v>
                </c:pt>
                <c:pt idx="785">
                  <c:v>-1.7482991654872144</c:v>
                </c:pt>
                <c:pt idx="786">
                  <c:v>-1.7501516561900949</c:v>
                </c:pt>
                <c:pt idx="787">
                  <c:v>-1.7518379642559454</c:v>
                </c:pt>
                <c:pt idx="788">
                  <c:v>-1.7527973176066471</c:v>
                </c:pt>
                <c:pt idx="789">
                  <c:v>-1.7546865756999837</c:v>
                </c:pt>
                <c:pt idx="790">
                  <c:v>-1.7574303140358503</c:v>
                </c:pt>
                <c:pt idx="791">
                  <c:v>-1.7595527411324634</c:v>
                </c:pt>
                <c:pt idx="792">
                  <c:v>-1.761775515873943</c:v>
                </c:pt>
                <c:pt idx="793">
                  <c:v>-1.7631428885334888</c:v>
                </c:pt>
                <c:pt idx="794">
                  <c:v>-1.7648034124179948</c:v>
                </c:pt>
                <c:pt idx="795">
                  <c:v>-1.7668568069644996</c:v>
                </c:pt>
                <c:pt idx="796">
                  <c:v>-1.7689250993154635</c:v>
                </c:pt>
                <c:pt idx="797">
                  <c:v>-1.7713957390903778</c:v>
                </c:pt>
                <c:pt idx="798">
                  <c:v>-1.7722570097503707</c:v>
                </c:pt>
                <c:pt idx="799">
                  <c:v>-1.7745134107859826</c:v>
                </c:pt>
                <c:pt idx="800">
                  <c:v>-1.7764898527601189</c:v>
                </c:pt>
                <c:pt idx="801">
                  <c:v>-1.7783827970186377</c:v>
                </c:pt>
                <c:pt idx="802">
                  <c:v>-1.7808832857421451</c:v>
                </c:pt>
                <c:pt idx="803">
                  <c:v>-1.7836451711050478</c:v>
                </c:pt>
                <c:pt idx="804">
                  <c:v>-1.7841775612613919</c:v>
                </c:pt>
                <c:pt idx="805">
                  <c:v>-1.7879861297237383</c:v>
                </c:pt>
                <c:pt idx="806">
                  <c:v>-1.7887895112642076</c:v>
                </c:pt>
                <c:pt idx="807">
                  <c:v>-1.79091672882097</c:v>
                </c:pt>
                <c:pt idx="808">
                  <c:v>-1.7938449585398466</c:v>
                </c:pt>
                <c:pt idx="809">
                  <c:v>-1.7967324007076362</c:v>
                </c:pt>
                <c:pt idx="810">
                  <c:v>-1.7979574865916894</c:v>
                </c:pt>
                <c:pt idx="811">
                  <c:v>-1.7985694913980848</c:v>
                </c:pt>
                <c:pt idx="812">
                  <c:v>-1.8014218422700181</c:v>
                </c:pt>
                <c:pt idx="813">
                  <c:v>-1.8037008495058529</c:v>
                </c:pt>
                <c:pt idx="814">
                  <c:v>-1.805395050135201</c:v>
                </c:pt>
                <c:pt idx="815">
                  <c:v>-1.8077752154959936</c:v>
                </c:pt>
                <c:pt idx="816">
                  <c:v>-1.8098616726513042</c:v>
                </c:pt>
                <c:pt idx="817">
                  <c:v>-1.8103449504932374</c:v>
                </c:pt>
                <c:pt idx="818">
                  <c:v>-1.8142651055977805</c:v>
                </c:pt>
                <c:pt idx="819">
                  <c:v>-1.8151188709126989</c:v>
                </c:pt>
                <c:pt idx="820">
                  <c:v>-1.8175061225178653</c:v>
                </c:pt>
                <c:pt idx="821">
                  <c:v>-1.8199807900860256</c:v>
                </c:pt>
                <c:pt idx="822">
                  <c:v>-1.8221500844277094</c:v>
                </c:pt>
                <c:pt idx="823">
                  <c:v>-1.8230571097031336</c:v>
                </c:pt>
                <c:pt idx="824">
                  <c:v>-1.8232177880477365</c:v>
                </c:pt>
                <c:pt idx="825">
                  <c:v>-1.8258602778896078</c:v>
                </c:pt>
                <c:pt idx="826">
                  <c:v>-1.82726909837657</c:v>
                </c:pt>
                <c:pt idx="827">
                  <c:v>-1.8293232100438177</c:v>
                </c:pt>
                <c:pt idx="828">
                  <c:v>-1.8314003210446699</c:v>
                </c:pt>
                <c:pt idx="829">
                  <c:v>-1.8332180790981485</c:v>
                </c:pt>
                <c:pt idx="830">
                  <c:v>-1.8358101339221473</c:v>
                </c:pt>
                <c:pt idx="831">
                  <c:v>-1.8378615096040392</c:v>
                </c:pt>
                <c:pt idx="832">
                  <c:v>-1.8411855708710507</c:v>
                </c:pt>
                <c:pt idx="833">
                  <c:v>-1.8418464245971802</c:v>
                </c:pt>
                <c:pt idx="834">
                  <c:v>-1.8450877439457172</c:v>
                </c:pt>
                <c:pt idx="835">
                  <c:v>-1.8471498287472663</c:v>
                </c:pt>
                <c:pt idx="836">
                  <c:v>-1.849357266270282</c:v>
                </c:pt>
                <c:pt idx="837">
                  <c:v>-1.849295488097445</c:v>
                </c:pt>
                <c:pt idx="838">
                  <c:v>-1.8530542874956051</c:v>
                </c:pt>
                <c:pt idx="839">
                  <c:v>-1.8552006413685218</c:v>
                </c:pt>
                <c:pt idx="840">
                  <c:v>-1.8567567196640811</c:v>
                </c:pt>
                <c:pt idx="841">
                  <c:v>-1.8600252163246123</c:v>
                </c:pt>
                <c:pt idx="842">
                  <c:v>-1.8627667624998732</c:v>
                </c:pt>
                <c:pt idx="843">
                  <c:v>-1.8635458963478981</c:v>
                </c:pt>
                <c:pt idx="844">
                  <c:v>-1.8664306880064991</c:v>
                </c:pt>
                <c:pt idx="845">
                  <c:v>-1.8682538947587115</c:v>
                </c:pt>
                <c:pt idx="846">
                  <c:v>-1.8713520300112636</c:v>
                </c:pt>
                <c:pt idx="847">
                  <c:v>-1.8733054084931282</c:v>
                </c:pt>
                <c:pt idx="848">
                  <c:v>-1.8745699573095762</c:v>
                </c:pt>
                <c:pt idx="849">
                  <c:v>-1.8774007113921731</c:v>
                </c:pt>
                <c:pt idx="850">
                  <c:v>-1.8800095578788389</c:v>
                </c:pt>
                <c:pt idx="851">
                  <c:v>-1.8806494922594557</c:v>
                </c:pt>
                <c:pt idx="852">
                  <c:v>-1.8846464950475708</c:v>
                </c:pt>
                <c:pt idx="853">
                  <c:v>-1.8866794630259738</c:v>
                </c:pt>
                <c:pt idx="854">
                  <c:v>-1.8895897592043687</c:v>
                </c:pt>
                <c:pt idx="855">
                  <c:v>-1.8899903451442237</c:v>
                </c:pt>
                <c:pt idx="856">
                  <c:v>-1.8932566805522169</c:v>
                </c:pt>
                <c:pt idx="857">
                  <c:v>-1.8935063069748848</c:v>
                </c:pt>
                <c:pt idx="858">
                  <c:v>-1.8974449623212262</c:v>
                </c:pt>
                <c:pt idx="859">
                  <c:v>-1.8970349602143106</c:v>
                </c:pt>
                <c:pt idx="860">
                  <c:v>-1.9013464537899309</c:v>
                </c:pt>
                <c:pt idx="861">
                  <c:v>-1.9011372450720709</c:v>
                </c:pt>
                <c:pt idx="862">
                  <c:v>-1.904162274130951</c:v>
                </c:pt>
                <c:pt idx="863">
                  <c:v>-1.9065297576830615</c:v>
                </c:pt>
                <c:pt idx="864">
                  <c:v>-1.9096575313798494</c:v>
                </c:pt>
                <c:pt idx="865">
                  <c:v>-1.9114946470682634</c:v>
                </c:pt>
                <c:pt idx="866">
                  <c:v>-1.9145022655187949</c:v>
                </c:pt>
                <c:pt idx="867">
                  <c:v>-1.915958297967266</c:v>
                </c:pt>
                <c:pt idx="868">
                  <c:v>-1.9175530505241118</c:v>
                </c:pt>
                <c:pt idx="869">
                  <c:v>-1.9202084240208586</c:v>
                </c:pt>
                <c:pt idx="870">
                  <c:v>-1.9239222196849863</c:v>
                </c:pt>
                <c:pt idx="871">
                  <c:v>-1.9240530142823689</c:v>
                </c:pt>
                <c:pt idx="872">
                  <c:v>-1.9267116656222973</c:v>
                </c:pt>
                <c:pt idx="873">
                  <c:v>-1.9280247903668926</c:v>
                </c:pt>
                <c:pt idx="874">
                  <c:v>-1.9307631341595108</c:v>
                </c:pt>
                <c:pt idx="875">
                  <c:v>-1.9343279455264257</c:v>
                </c:pt>
                <c:pt idx="876">
                  <c:v>-1.9370407554274129</c:v>
                </c:pt>
                <c:pt idx="877">
                  <c:v>-1.9378578401586715</c:v>
                </c:pt>
                <c:pt idx="878">
                  <c:v>-1.9393339025329057</c:v>
                </c:pt>
                <c:pt idx="879">
                  <c:v>-1.9418519190965264</c:v>
                </c:pt>
                <c:pt idx="880">
                  <c:v>-1.9446818528693934</c:v>
                </c:pt>
                <c:pt idx="881">
                  <c:v>-1.9453726581427242</c:v>
                </c:pt>
                <c:pt idx="882">
                  <c:v>-1.9487661796530558</c:v>
                </c:pt>
                <c:pt idx="883">
                  <c:v>-1.9513583745156478</c:v>
                </c:pt>
                <c:pt idx="884">
                  <c:v>-1.9518130418368063</c:v>
                </c:pt>
                <c:pt idx="885">
                  <c:v>-1.9533051650587854</c:v>
                </c:pt>
                <c:pt idx="886">
                  <c:v>-1.9556291037027933</c:v>
                </c:pt>
                <c:pt idx="887">
                  <c:v>-1.9561566297832573</c:v>
                </c:pt>
                <c:pt idx="888">
                  <c:v>-1.9598863844158494</c:v>
                </c:pt>
                <c:pt idx="889">
                  <c:v>-1.9606120232422968</c:v>
                </c:pt>
                <c:pt idx="890">
                  <c:v>-1.963339415340001</c:v>
                </c:pt>
                <c:pt idx="891">
                  <c:v>-1.9666271136987803</c:v>
                </c:pt>
                <c:pt idx="892">
                  <c:v>-1.9679640691369717</c:v>
                </c:pt>
                <c:pt idx="893">
                  <c:v>-1.9711694309934802</c:v>
                </c:pt>
                <c:pt idx="894">
                  <c:v>-1.9729382728989209</c:v>
                </c:pt>
                <c:pt idx="895">
                  <c:v>-1.9756031423223515</c:v>
                </c:pt>
                <c:pt idx="896">
                  <c:v>-1.9774635048070175</c:v>
                </c:pt>
                <c:pt idx="897">
                  <c:v>-1.9791115366363743</c:v>
                </c:pt>
                <c:pt idx="898">
                  <c:v>-1.9811443680466521</c:v>
                </c:pt>
                <c:pt idx="899">
                  <c:v>-1.9826535192015826</c:v>
                </c:pt>
                <c:pt idx="900">
                  <c:v>-1.9850203786169176</c:v>
                </c:pt>
                <c:pt idx="901">
                  <c:v>-1.98648224064307</c:v>
                </c:pt>
                <c:pt idx="902">
                  <c:v>-1.9876647024015066</c:v>
                </c:pt>
                <c:pt idx="903">
                  <c:v>-1.9900712295003569</c:v>
                </c:pt>
                <c:pt idx="904">
                  <c:v>-1.9920964353707835</c:v>
                </c:pt>
                <c:pt idx="905">
                  <c:v>-1.9920828659270529</c:v>
                </c:pt>
                <c:pt idx="906">
                  <c:v>-1.9956733124617616</c:v>
                </c:pt>
                <c:pt idx="907">
                  <c:v>-1.9961454731904944</c:v>
                </c:pt>
                <c:pt idx="908">
                  <c:v>-1.9982419699593652</c:v>
                </c:pt>
                <c:pt idx="909">
                  <c:v>-2.0002975943242709</c:v>
                </c:pt>
                <c:pt idx="910">
                  <c:v>-2.0012939845434214</c:v>
                </c:pt>
                <c:pt idx="911">
                  <c:v>-2.0038314236052641</c:v>
                </c:pt>
                <c:pt idx="912">
                  <c:v>-2.0071852714239609</c:v>
                </c:pt>
                <c:pt idx="913">
                  <c:v>-2.0105725514554216</c:v>
                </c:pt>
                <c:pt idx="914">
                  <c:v>-2.013305374051285</c:v>
                </c:pt>
                <c:pt idx="915">
                  <c:v>-2.0152239586783636</c:v>
                </c:pt>
                <c:pt idx="916">
                  <c:v>-2.0168794964459762</c:v>
                </c:pt>
                <c:pt idx="917">
                  <c:v>-2.0189981514501314</c:v>
                </c:pt>
                <c:pt idx="918">
                  <c:v>-2.0214165530267083</c:v>
                </c:pt>
                <c:pt idx="919">
                  <c:v>-2.0251557162303557</c:v>
                </c:pt>
                <c:pt idx="920">
                  <c:v>-2.0265459880937411</c:v>
                </c:pt>
                <c:pt idx="921">
                  <c:v>-2.0286563179192805</c:v>
                </c:pt>
                <c:pt idx="922">
                  <c:v>-2.0302237103879883</c:v>
                </c:pt>
                <c:pt idx="923">
                  <c:v>-2.0329106880415844</c:v>
                </c:pt>
                <c:pt idx="924">
                  <c:v>-2.0340495218878303</c:v>
                </c:pt>
                <c:pt idx="925">
                  <c:v>-2.0369260217528078</c:v>
                </c:pt>
                <c:pt idx="926">
                  <c:v>-2.038686900817329</c:v>
                </c:pt>
                <c:pt idx="927">
                  <c:v>-2.0417884570468172</c:v>
                </c:pt>
                <c:pt idx="928">
                  <c:v>-2.042773613149699</c:v>
                </c:pt>
                <c:pt idx="929">
                  <c:v>-2.0450201979981562</c:v>
                </c:pt>
                <c:pt idx="930">
                  <c:v>-2.0471638730688517</c:v>
                </c:pt>
                <c:pt idx="931">
                  <c:v>-2.0485531642062496</c:v>
                </c:pt>
                <c:pt idx="932">
                  <c:v>-2.050757783746346</c:v>
                </c:pt>
                <c:pt idx="933">
                  <c:v>-2.0551008626374996</c:v>
                </c:pt>
                <c:pt idx="934">
                  <c:v>-2.056267017428238</c:v>
                </c:pt>
                <c:pt idx="935">
                  <c:v>-2.0585725275969997</c:v>
                </c:pt>
                <c:pt idx="936">
                  <c:v>-2.0597988829802008</c:v>
                </c:pt>
                <c:pt idx="937">
                  <c:v>-2.0631673516071238</c:v>
                </c:pt>
                <c:pt idx="938">
                  <c:v>-2.0633224023200207</c:v>
                </c:pt>
                <c:pt idx="939">
                  <c:v>-2.0637755393446779</c:v>
                </c:pt>
                <c:pt idx="940">
                  <c:v>-2.0664420129839116</c:v>
                </c:pt>
                <c:pt idx="941">
                  <c:v>-2.0687950131146713</c:v>
                </c:pt>
                <c:pt idx="942">
                  <c:v>-2.0720389212290846</c:v>
                </c:pt>
                <c:pt idx="943">
                  <c:v>-2.0742326791211783</c:v>
                </c:pt>
                <c:pt idx="944">
                  <c:v>-2.0759717972628899</c:v>
                </c:pt>
                <c:pt idx="945">
                  <c:v>-2.077794636394378</c:v>
                </c:pt>
                <c:pt idx="946">
                  <c:v>-2.0793996571155988</c:v>
                </c:pt>
                <c:pt idx="947">
                  <c:v>-2.0803443553787178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56-4628-AFFD-01D088FB3E41}"/>
            </c:ext>
          </c:extLst>
        </c:ser>
        <c:ser>
          <c:idx val="1"/>
          <c:order val="1"/>
          <c:tx>
            <c:strRef>
              <c:f>'Part 3 Data'!$H$2</c:f>
              <c:strCache>
                <c:ptCount val="1"/>
                <c:pt idx="0">
                  <c:v>ln(Theta_n)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'Part 3 Data'!$A$3:$A$1919</c:f>
              <c:numCache>
                <c:formatCode>0.0</c:formatCode>
                <c:ptCount val="1917"/>
                <c:pt idx="0">
                  <c:v>0</c:v>
                </c:pt>
                <c:pt idx="1">
                  <c:v>0.56399999999999995</c:v>
                </c:pt>
                <c:pt idx="2">
                  <c:v>1.1279999999999999</c:v>
                </c:pt>
                <c:pt idx="3">
                  <c:v>1.6919999999999999</c:v>
                </c:pt>
                <c:pt idx="4">
                  <c:v>2.2559999999999998</c:v>
                </c:pt>
                <c:pt idx="5">
                  <c:v>2.82</c:v>
                </c:pt>
                <c:pt idx="6">
                  <c:v>3.3839999999999999</c:v>
                </c:pt>
                <c:pt idx="7">
                  <c:v>3.948</c:v>
                </c:pt>
                <c:pt idx="8">
                  <c:v>4.5119999999999996</c:v>
                </c:pt>
                <c:pt idx="9">
                  <c:v>5.0759999999999996</c:v>
                </c:pt>
                <c:pt idx="10">
                  <c:v>5.64</c:v>
                </c:pt>
                <c:pt idx="11">
                  <c:v>6.2039999999999997</c:v>
                </c:pt>
                <c:pt idx="12">
                  <c:v>6.7679999999999998</c:v>
                </c:pt>
                <c:pt idx="13">
                  <c:v>7.3319999999999999</c:v>
                </c:pt>
                <c:pt idx="14">
                  <c:v>7.8959999999999999</c:v>
                </c:pt>
                <c:pt idx="15">
                  <c:v>8.4600000000000009</c:v>
                </c:pt>
                <c:pt idx="16">
                  <c:v>9.0239999999999991</c:v>
                </c:pt>
                <c:pt idx="17">
                  <c:v>9.5879999999999992</c:v>
                </c:pt>
                <c:pt idx="18">
                  <c:v>10.151999999999999</c:v>
                </c:pt>
                <c:pt idx="19">
                  <c:v>10.715999999999999</c:v>
                </c:pt>
                <c:pt idx="20">
                  <c:v>11.28</c:v>
                </c:pt>
                <c:pt idx="21">
                  <c:v>11.843999999999999</c:v>
                </c:pt>
                <c:pt idx="22">
                  <c:v>12.407999999999999</c:v>
                </c:pt>
                <c:pt idx="23">
                  <c:v>12.972</c:v>
                </c:pt>
                <c:pt idx="24">
                  <c:v>13.536</c:v>
                </c:pt>
                <c:pt idx="25">
                  <c:v>14.1</c:v>
                </c:pt>
                <c:pt idx="26">
                  <c:v>14.664</c:v>
                </c:pt>
                <c:pt idx="27">
                  <c:v>15.228</c:v>
                </c:pt>
                <c:pt idx="28">
                  <c:v>15.792</c:v>
                </c:pt>
                <c:pt idx="29">
                  <c:v>16.356000000000002</c:v>
                </c:pt>
                <c:pt idx="30">
                  <c:v>16.920000000000002</c:v>
                </c:pt>
                <c:pt idx="31">
                  <c:v>17.484000000000002</c:v>
                </c:pt>
                <c:pt idx="32">
                  <c:v>18.047999999999998</c:v>
                </c:pt>
                <c:pt idx="33">
                  <c:v>18.611999999999998</c:v>
                </c:pt>
                <c:pt idx="34">
                  <c:v>19.175999999999998</c:v>
                </c:pt>
                <c:pt idx="35">
                  <c:v>19.739999999999998</c:v>
                </c:pt>
                <c:pt idx="36">
                  <c:v>20.303999999999998</c:v>
                </c:pt>
                <c:pt idx="37">
                  <c:v>20.867999999999999</c:v>
                </c:pt>
                <c:pt idx="38">
                  <c:v>21.431999999999999</c:v>
                </c:pt>
                <c:pt idx="39">
                  <c:v>21.995999999999999</c:v>
                </c:pt>
                <c:pt idx="40">
                  <c:v>22.56</c:v>
                </c:pt>
                <c:pt idx="41">
                  <c:v>23.123999999999999</c:v>
                </c:pt>
                <c:pt idx="42">
                  <c:v>23.687999999999999</c:v>
                </c:pt>
                <c:pt idx="43">
                  <c:v>24.251999999999999</c:v>
                </c:pt>
                <c:pt idx="44">
                  <c:v>24.815999999999999</c:v>
                </c:pt>
                <c:pt idx="45">
                  <c:v>25.38</c:v>
                </c:pt>
                <c:pt idx="46">
                  <c:v>25.943999999999999</c:v>
                </c:pt>
                <c:pt idx="47">
                  <c:v>26.507999999999999</c:v>
                </c:pt>
                <c:pt idx="48">
                  <c:v>27.071999999999999</c:v>
                </c:pt>
                <c:pt idx="49">
                  <c:v>27.635999999999999</c:v>
                </c:pt>
                <c:pt idx="50">
                  <c:v>28.2</c:v>
                </c:pt>
                <c:pt idx="51">
                  <c:v>28.763999999999999</c:v>
                </c:pt>
                <c:pt idx="52">
                  <c:v>29.327999999999999</c:v>
                </c:pt>
                <c:pt idx="53">
                  <c:v>29.891999999999999</c:v>
                </c:pt>
                <c:pt idx="54">
                  <c:v>30.456</c:v>
                </c:pt>
                <c:pt idx="55">
                  <c:v>31.02</c:v>
                </c:pt>
                <c:pt idx="56">
                  <c:v>31.584</c:v>
                </c:pt>
                <c:pt idx="57">
                  <c:v>32.148000000000003</c:v>
                </c:pt>
                <c:pt idx="58">
                  <c:v>32.712000000000003</c:v>
                </c:pt>
                <c:pt idx="59">
                  <c:v>33.276000000000003</c:v>
                </c:pt>
                <c:pt idx="60">
                  <c:v>33.840000000000003</c:v>
                </c:pt>
                <c:pt idx="61">
                  <c:v>34.404000000000003</c:v>
                </c:pt>
                <c:pt idx="62">
                  <c:v>34.968000000000004</c:v>
                </c:pt>
                <c:pt idx="63">
                  <c:v>35.531999999999996</c:v>
                </c:pt>
                <c:pt idx="64">
                  <c:v>36.095999999999997</c:v>
                </c:pt>
                <c:pt idx="65">
                  <c:v>36.659999999999997</c:v>
                </c:pt>
                <c:pt idx="66">
                  <c:v>37.223999999999997</c:v>
                </c:pt>
                <c:pt idx="67">
                  <c:v>37.787999999999997</c:v>
                </c:pt>
                <c:pt idx="68">
                  <c:v>38.351999999999997</c:v>
                </c:pt>
                <c:pt idx="69">
                  <c:v>38.915999999999997</c:v>
                </c:pt>
                <c:pt idx="70">
                  <c:v>39.479999999999997</c:v>
                </c:pt>
                <c:pt idx="71">
                  <c:v>40.043999999999997</c:v>
                </c:pt>
                <c:pt idx="72">
                  <c:v>40.607999999999997</c:v>
                </c:pt>
                <c:pt idx="73">
                  <c:v>41.171999999999997</c:v>
                </c:pt>
                <c:pt idx="74">
                  <c:v>41.735999999999997</c:v>
                </c:pt>
                <c:pt idx="75">
                  <c:v>42.3</c:v>
                </c:pt>
                <c:pt idx="76">
                  <c:v>42.863999999999997</c:v>
                </c:pt>
                <c:pt idx="77">
                  <c:v>43.427999999999997</c:v>
                </c:pt>
                <c:pt idx="78">
                  <c:v>43.991999999999997</c:v>
                </c:pt>
                <c:pt idx="79">
                  <c:v>44.555999999999997</c:v>
                </c:pt>
                <c:pt idx="80">
                  <c:v>45.12</c:v>
                </c:pt>
                <c:pt idx="81">
                  <c:v>45.683999999999997</c:v>
                </c:pt>
                <c:pt idx="82">
                  <c:v>46.247999999999998</c:v>
                </c:pt>
                <c:pt idx="83">
                  <c:v>46.811999999999998</c:v>
                </c:pt>
                <c:pt idx="84">
                  <c:v>47.375999999999998</c:v>
                </c:pt>
                <c:pt idx="85">
                  <c:v>47.94</c:v>
                </c:pt>
                <c:pt idx="86">
                  <c:v>48.503999999999998</c:v>
                </c:pt>
                <c:pt idx="87">
                  <c:v>49.067999999999998</c:v>
                </c:pt>
                <c:pt idx="88">
                  <c:v>49.631999999999998</c:v>
                </c:pt>
                <c:pt idx="89">
                  <c:v>50.195999999999998</c:v>
                </c:pt>
                <c:pt idx="90">
                  <c:v>50.76</c:v>
                </c:pt>
                <c:pt idx="91">
                  <c:v>51.323999999999998</c:v>
                </c:pt>
                <c:pt idx="92">
                  <c:v>51.887999999999998</c:v>
                </c:pt>
                <c:pt idx="93">
                  <c:v>52.451999999999998</c:v>
                </c:pt>
                <c:pt idx="94">
                  <c:v>53.015999999999998</c:v>
                </c:pt>
                <c:pt idx="95">
                  <c:v>53.58</c:v>
                </c:pt>
                <c:pt idx="96">
                  <c:v>54.143999999999998</c:v>
                </c:pt>
                <c:pt idx="97">
                  <c:v>54.707999999999998</c:v>
                </c:pt>
                <c:pt idx="98">
                  <c:v>55.271999999999998</c:v>
                </c:pt>
                <c:pt idx="99">
                  <c:v>55.835999999999999</c:v>
                </c:pt>
                <c:pt idx="100">
                  <c:v>56.4</c:v>
                </c:pt>
                <c:pt idx="101">
                  <c:v>56.963999999999999</c:v>
                </c:pt>
                <c:pt idx="102">
                  <c:v>57.527999999999999</c:v>
                </c:pt>
                <c:pt idx="103">
                  <c:v>58.091999999999999</c:v>
                </c:pt>
                <c:pt idx="104">
                  <c:v>58.655999999999999</c:v>
                </c:pt>
                <c:pt idx="105">
                  <c:v>59.22</c:v>
                </c:pt>
                <c:pt idx="106">
                  <c:v>59.783999999999999</c:v>
                </c:pt>
                <c:pt idx="107">
                  <c:v>60.347999999999999</c:v>
                </c:pt>
                <c:pt idx="108">
                  <c:v>60.911999999999999</c:v>
                </c:pt>
                <c:pt idx="109">
                  <c:v>61.475999999999999</c:v>
                </c:pt>
                <c:pt idx="110">
                  <c:v>62.04</c:v>
                </c:pt>
                <c:pt idx="111">
                  <c:v>62.603999999999999</c:v>
                </c:pt>
                <c:pt idx="112">
                  <c:v>63.167999999999999</c:v>
                </c:pt>
                <c:pt idx="113">
                  <c:v>63.731999999999999</c:v>
                </c:pt>
                <c:pt idx="114">
                  <c:v>64.296000000000006</c:v>
                </c:pt>
                <c:pt idx="115">
                  <c:v>64.86</c:v>
                </c:pt>
                <c:pt idx="116">
                  <c:v>65.424000000000007</c:v>
                </c:pt>
                <c:pt idx="117">
                  <c:v>65.988</c:v>
                </c:pt>
                <c:pt idx="118">
                  <c:v>66.552000000000007</c:v>
                </c:pt>
                <c:pt idx="119">
                  <c:v>67.116</c:v>
                </c:pt>
                <c:pt idx="120">
                  <c:v>67.680000000000007</c:v>
                </c:pt>
                <c:pt idx="121">
                  <c:v>68.244</c:v>
                </c:pt>
                <c:pt idx="122">
                  <c:v>68.808000000000007</c:v>
                </c:pt>
                <c:pt idx="123">
                  <c:v>69.372</c:v>
                </c:pt>
                <c:pt idx="124">
                  <c:v>69.936000000000007</c:v>
                </c:pt>
                <c:pt idx="125">
                  <c:v>70.5</c:v>
                </c:pt>
                <c:pt idx="126">
                  <c:v>71.063999999999993</c:v>
                </c:pt>
                <c:pt idx="127">
                  <c:v>71.628</c:v>
                </c:pt>
                <c:pt idx="128">
                  <c:v>72.191999999999993</c:v>
                </c:pt>
                <c:pt idx="129">
                  <c:v>72.756</c:v>
                </c:pt>
                <c:pt idx="130">
                  <c:v>73.319999999999993</c:v>
                </c:pt>
                <c:pt idx="131">
                  <c:v>73.884</c:v>
                </c:pt>
                <c:pt idx="132">
                  <c:v>74.447999999999993</c:v>
                </c:pt>
                <c:pt idx="133">
                  <c:v>75.012</c:v>
                </c:pt>
                <c:pt idx="134">
                  <c:v>75.575999999999993</c:v>
                </c:pt>
                <c:pt idx="135">
                  <c:v>76.14</c:v>
                </c:pt>
                <c:pt idx="136">
                  <c:v>76.703999999999994</c:v>
                </c:pt>
                <c:pt idx="137">
                  <c:v>77.268000000000001</c:v>
                </c:pt>
                <c:pt idx="138">
                  <c:v>77.831999999999994</c:v>
                </c:pt>
                <c:pt idx="139">
                  <c:v>78.396000000000001</c:v>
                </c:pt>
                <c:pt idx="140">
                  <c:v>78.959999999999994</c:v>
                </c:pt>
                <c:pt idx="141">
                  <c:v>79.524000000000001</c:v>
                </c:pt>
                <c:pt idx="142">
                  <c:v>80.087999999999994</c:v>
                </c:pt>
                <c:pt idx="143">
                  <c:v>80.652000000000001</c:v>
                </c:pt>
                <c:pt idx="144">
                  <c:v>81.215999999999994</c:v>
                </c:pt>
                <c:pt idx="145">
                  <c:v>81.78</c:v>
                </c:pt>
                <c:pt idx="146">
                  <c:v>82.343999999999994</c:v>
                </c:pt>
                <c:pt idx="147">
                  <c:v>82.908000000000001</c:v>
                </c:pt>
                <c:pt idx="148">
                  <c:v>83.471999999999994</c:v>
                </c:pt>
                <c:pt idx="149">
                  <c:v>84.036000000000001</c:v>
                </c:pt>
                <c:pt idx="150">
                  <c:v>84.6</c:v>
                </c:pt>
                <c:pt idx="151">
                  <c:v>85.164000000000001</c:v>
                </c:pt>
                <c:pt idx="152">
                  <c:v>85.727999999999994</c:v>
                </c:pt>
                <c:pt idx="153">
                  <c:v>86.292000000000002</c:v>
                </c:pt>
                <c:pt idx="154">
                  <c:v>86.855999999999995</c:v>
                </c:pt>
                <c:pt idx="155">
                  <c:v>87.42</c:v>
                </c:pt>
                <c:pt idx="156">
                  <c:v>87.983999999999995</c:v>
                </c:pt>
                <c:pt idx="157">
                  <c:v>88.548000000000002</c:v>
                </c:pt>
                <c:pt idx="158">
                  <c:v>89.111999999999995</c:v>
                </c:pt>
                <c:pt idx="159">
                  <c:v>89.676000000000002</c:v>
                </c:pt>
                <c:pt idx="160">
                  <c:v>90.24</c:v>
                </c:pt>
                <c:pt idx="161">
                  <c:v>90.804000000000002</c:v>
                </c:pt>
                <c:pt idx="162">
                  <c:v>91.367999999999995</c:v>
                </c:pt>
                <c:pt idx="163">
                  <c:v>91.932000000000002</c:v>
                </c:pt>
                <c:pt idx="164">
                  <c:v>92.495999999999995</c:v>
                </c:pt>
                <c:pt idx="165">
                  <c:v>93.06</c:v>
                </c:pt>
                <c:pt idx="166">
                  <c:v>93.623999999999995</c:v>
                </c:pt>
                <c:pt idx="167">
                  <c:v>94.188000000000002</c:v>
                </c:pt>
                <c:pt idx="168">
                  <c:v>94.751999999999995</c:v>
                </c:pt>
                <c:pt idx="169">
                  <c:v>95.316000000000003</c:v>
                </c:pt>
                <c:pt idx="170">
                  <c:v>95.88</c:v>
                </c:pt>
                <c:pt idx="171">
                  <c:v>96.444000000000003</c:v>
                </c:pt>
                <c:pt idx="172">
                  <c:v>97.007999999999996</c:v>
                </c:pt>
                <c:pt idx="173">
                  <c:v>97.572000000000003</c:v>
                </c:pt>
                <c:pt idx="174">
                  <c:v>98.135999999999996</c:v>
                </c:pt>
                <c:pt idx="175">
                  <c:v>98.7</c:v>
                </c:pt>
                <c:pt idx="176">
                  <c:v>99.263999999999996</c:v>
                </c:pt>
                <c:pt idx="177">
                  <c:v>99.828000000000003</c:v>
                </c:pt>
                <c:pt idx="178">
                  <c:v>100.392</c:v>
                </c:pt>
                <c:pt idx="179">
                  <c:v>100.956</c:v>
                </c:pt>
                <c:pt idx="180">
                  <c:v>101.52</c:v>
                </c:pt>
                <c:pt idx="181">
                  <c:v>102.084</c:v>
                </c:pt>
                <c:pt idx="182">
                  <c:v>102.648</c:v>
                </c:pt>
                <c:pt idx="183">
                  <c:v>103.212</c:v>
                </c:pt>
                <c:pt idx="184">
                  <c:v>103.776</c:v>
                </c:pt>
                <c:pt idx="185">
                  <c:v>104.34</c:v>
                </c:pt>
                <c:pt idx="186">
                  <c:v>104.904</c:v>
                </c:pt>
                <c:pt idx="187">
                  <c:v>105.468</c:v>
                </c:pt>
                <c:pt idx="188">
                  <c:v>106.032</c:v>
                </c:pt>
                <c:pt idx="189">
                  <c:v>106.596</c:v>
                </c:pt>
                <c:pt idx="190">
                  <c:v>107.16</c:v>
                </c:pt>
                <c:pt idx="191">
                  <c:v>107.724</c:v>
                </c:pt>
                <c:pt idx="192">
                  <c:v>108.288</c:v>
                </c:pt>
                <c:pt idx="193">
                  <c:v>108.852</c:v>
                </c:pt>
                <c:pt idx="194">
                  <c:v>109.416</c:v>
                </c:pt>
                <c:pt idx="195">
                  <c:v>109.98</c:v>
                </c:pt>
                <c:pt idx="196">
                  <c:v>110.544</c:v>
                </c:pt>
                <c:pt idx="197">
                  <c:v>111.108</c:v>
                </c:pt>
                <c:pt idx="198">
                  <c:v>111.672</c:v>
                </c:pt>
                <c:pt idx="199">
                  <c:v>112.236</c:v>
                </c:pt>
                <c:pt idx="200">
                  <c:v>112.8</c:v>
                </c:pt>
                <c:pt idx="201">
                  <c:v>113.364</c:v>
                </c:pt>
                <c:pt idx="202">
                  <c:v>113.928</c:v>
                </c:pt>
                <c:pt idx="203">
                  <c:v>114.492</c:v>
                </c:pt>
                <c:pt idx="204">
                  <c:v>115.056</c:v>
                </c:pt>
                <c:pt idx="205">
                  <c:v>115.62</c:v>
                </c:pt>
                <c:pt idx="206">
                  <c:v>116.184</c:v>
                </c:pt>
                <c:pt idx="207">
                  <c:v>116.748</c:v>
                </c:pt>
                <c:pt idx="208">
                  <c:v>117.312</c:v>
                </c:pt>
                <c:pt idx="209">
                  <c:v>117.876</c:v>
                </c:pt>
                <c:pt idx="210">
                  <c:v>118.44</c:v>
                </c:pt>
                <c:pt idx="211">
                  <c:v>119.004</c:v>
                </c:pt>
                <c:pt idx="212">
                  <c:v>119.568</c:v>
                </c:pt>
                <c:pt idx="213">
                  <c:v>120.13200000000001</c:v>
                </c:pt>
                <c:pt idx="214">
                  <c:v>120.696</c:v>
                </c:pt>
                <c:pt idx="215">
                  <c:v>121.26</c:v>
                </c:pt>
                <c:pt idx="216">
                  <c:v>121.824</c:v>
                </c:pt>
                <c:pt idx="217">
                  <c:v>122.38800000000001</c:v>
                </c:pt>
                <c:pt idx="218">
                  <c:v>122.952</c:v>
                </c:pt>
                <c:pt idx="219">
                  <c:v>123.51600000000001</c:v>
                </c:pt>
                <c:pt idx="220">
                  <c:v>124.08</c:v>
                </c:pt>
                <c:pt idx="221">
                  <c:v>124.64400000000001</c:v>
                </c:pt>
                <c:pt idx="222">
                  <c:v>125.208</c:v>
                </c:pt>
                <c:pt idx="223">
                  <c:v>125.77200000000001</c:v>
                </c:pt>
                <c:pt idx="224">
                  <c:v>126.336</c:v>
                </c:pt>
                <c:pt idx="225">
                  <c:v>126.9</c:v>
                </c:pt>
                <c:pt idx="226">
                  <c:v>127.464</c:v>
                </c:pt>
                <c:pt idx="227">
                  <c:v>128.02799999999999</c:v>
                </c:pt>
                <c:pt idx="228">
                  <c:v>128.59200000000001</c:v>
                </c:pt>
                <c:pt idx="229">
                  <c:v>129.15600000000001</c:v>
                </c:pt>
                <c:pt idx="230">
                  <c:v>129.72</c:v>
                </c:pt>
                <c:pt idx="231">
                  <c:v>130.28399999999999</c:v>
                </c:pt>
                <c:pt idx="232">
                  <c:v>130.84800000000001</c:v>
                </c:pt>
                <c:pt idx="233">
                  <c:v>131.41200000000001</c:v>
                </c:pt>
                <c:pt idx="234">
                  <c:v>131.976</c:v>
                </c:pt>
                <c:pt idx="235">
                  <c:v>132.54</c:v>
                </c:pt>
                <c:pt idx="236">
                  <c:v>133.10400000000001</c:v>
                </c:pt>
                <c:pt idx="237">
                  <c:v>133.66800000000001</c:v>
                </c:pt>
                <c:pt idx="238">
                  <c:v>134.232</c:v>
                </c:pt>
                <c:pt idx="239">
                  <c:v>134.79599999999999</c:v>
                </c:pt>
                <c:pt idx="240">
                  <c:v>135.36000000000001</c:v>
                </c:pt>
                <c:pt idx="241">
                  <c:v>135.92400000000001</c:v>
                </c:pt>
                <c:pt idx="242">
                  <c:v>136.488</c:v>
                </c:pt>
                <c:pt idx="243">
                  <c:v>137.05199999999999</c:v>
                </c:pt>
                <c:pt idx="244">
                  <c:v>137.61600000000001</c:v>
                </c:pt>
                <c:pt idx="245">
                  <c:v>138.18</c:v>
                </c:pt>
                <c:pt idx="246">
                  <c:v>138.744</c:v>
                </c:pt>
                <c:pt idx="247">
                  <c:v>139.30799999999999</c:v>
                </c:pt>
                <c:pt idx="248">
                  <c:v>139.87200000000001</c:v>
                </c:pt>
                <c:pt idx="249">
                  <c:v>140.43600000000001</c:v>
                </c:pt>
                <c:pt idx="250">
                  <c:v>141</c:v>
                </c:pt>
                <c:pt idx="251">
                  <c:v>141.56399999999999</c:v>
                </c:pt>
                <c:pt idx="252">
                  <c:v>142.12799999999999</c:v>
                </c:pt>
                <c:pt idx="253">
                  <c:v>142.69200000000001</c:v>
                </c:pt>
                <c:pt idx="254">
                  <c:v>143.256</c:v>
                </c:pt>
                <c:pt idx="255">
                  <c:v>143.82</c:v>
                </c:pt>
                <c:pt idx="256">
                  <c:v>144.38399999999999</c:v>
                </c:pt>
                <c:pt idx="257">
                  <c:v>144.94800000000001</c:v>
                </c:pt>
                <c:pt idx="258">
                  <c:v>145.512</c:v>
                </c:pt>
                <c:pt idx="259">
                  <c:v>146.07599999999999</c:v>
                </c:pt>
                <c:pt idx="260">
                  <c:v>146.63999999999999</c:v>
                </c:pt>
                <c:pt idx="261">
                  <c:v>147.20400000000001</c:v>
                </c:pt>
                <c:pt idx="262">
                  <c:v>147.768</c:v>
                </c:pt>
                <c:pt idx="263">
                  <c:v>148.33199999999999</c:v>
                </c:pt>
                <c:pt idx="264">
                  <c:v>148.89599999999999</c:v>
                </c:pt>
                <c:pt idx="265">
                  <c:v>149.46</c:v>
                </c:pt>
                <c:pt idx="266">
                  <c:v>150.024</c:v>
                </c:pt>
                <c:pt idx="267">
                  <c:v>150.58799999999999</c:v>
                </c:pt>
                <c:pt idx="268">
                  <c:v>151.15199999999999</c:v>
                </c:pt>
                <c:pt idx="269">
                  <c:v>151.71600000000001</c:v>
                </c:pt>
                <c:pt idx="270">
                  <c:v>152.28</c:v>
                </c:pt>
                <c:pt idx="271">
                  <c:v>152.84399999999999</c:v>
                </c:pt>
                <c:pt idx="272">
                  <c:v>153.40799999999999</c:v>
                </c:pt>
                <c:pt idx="273">
                  <c:v>153.97200000000001</c:v>
                </c:pt>
                <c:pt idx="274">
                  <c:v>154.536</c:v>
                </c:pt>
                <c:pt idx="275">
                  <c:v>155.1</c:v>
                </c:pt>
                <c:pt idx="276">
                  <c:v>155.66399999999999</c:v>
                </c:pt>
                <c:pt idx="277">
                  <c:v>156.22800000000001</c:v>
                </c:pt>
                <c:pt idx="278">
                  <c:v>156.792</c:v>
                </c:pt>
                <c:pt idx="279">
                  <c:v>157.35599999999999</c:v>
                </c:pt>
                <c:pt idx="280">
                  <c:v>157.91999999999999</c:v>
                </c:pt>
                <c:pt idx="281">
                  <c:v>158.48400000000001</c:v>
                </c:pt>
                <c:pt idx="282">
                  <c:v>159.048</c:v>
                </c:pt>
                <c:pt idx="283">
                  <c:v>159.61199999999999</c:v>
                </c:pt>
                <c:pt idx="284">
                  <c:v>160.17599999999999</c:v>
                </c:pt>
                <c:pt idx="285">
                  <c:v>160.74</c:v>
                </c:pt>
                <c:pt idx="286">
                  <c:v>161.304</c:v>
                </c:pt>
                <c:pt idx="287">
                  <c:v>161.86799999999999</c:v>
                </c:pt>
                <c:pt idx="288">
                  <c:v>162.43199999999999</c:v>
                </c:pt>
                <c:pt idx="289">
                  <c:v>162.99600000000001</c:v>
                </c:pt>
                <c:pt idx="290">
                  <c:v>163.56</c:v>
                </c:pt>
                <c:pt idx="291">
                  <c:v>164.124</c:v>
                </c:pt>
                <c:pt idx="292">
                  <c:v>164.68799999999999</c:v>
                </c:pt>
                <c:pt idx="293">
                  <c:v>165.25200000000001</c:v>
                </c:pt>
                <c:pt idx="294">
                  <c:v>165.816</c:v>
                </c:pt>
                <c:pt idx="295">
                  <c:v>166.38</c:v>
                </c:pt>
                <c:pt idx="296">
                  <c:v>166.94399999999999</c:v>
                </c:pt>
                <c:pt idx="297">
                  <c:v>167.50800000000001</c:v>
                </c:pt>
                <c:pt idx="298">
                  <c:v>168.072</c:v>
                </c:pt>
                <c:pt idx="299">
                  <c:v>168.636</c:v>
                </c:pt>
                <c:pt idx="300">
                  <c:v>169.2</c:v>
                </c:pt>
                <c:pt idx="301">
                  <c:v>169.76400000000001</c:v>
                </c:pt>
                <c:pt idx="302">
                  <c:v>170.328</c:v>
                </c:pt>
                <c:pt idx="303">
                  <c:v>170.892</c:v>
                </c:pt>
                <c:pt idx="304">
                  <c:v>171.45599999999999</c:v>
                </c:pt>
                <c:pt idx="305">
                  <c:v>172.02</c:v>
                </c:pt>
                <c:pt idx="306">
                  <c:v>172.584</c:v>
                </c:pt>
                <c:pt idx="307">
                  <c:v>173.148</c:v>
                </c:pt>
                <c:pt idx="308">
                  <c:v>173.71199999999999</c:v>
                </c:pt>
                <c:pt idx="309">
                  <c:v>174.27600000000001</c:v>
                </c:pt>
                <c:pt idx="310">
                  <c:v>174.84</c:v>
                </c:pt>
                <c:pt idx="311">
                  <c:v>175.404</c:v>
                </c:pt>
                <c:pt idx="312">
                  <c:v>175.96799999999999</c:v>
                </c:pt>
                <c:pt idx="313">
                  <c:v>176.53200000000001</c:v>
                </c:pt>
                <c:pt idx="314">
                  <c:v>177.096</c:v>
                </c:pt>
                <c:pt idx="315">
                  <c:v>177.66</c:v>
                </c:pt>
                <c:pt idx="316">
                  <c:v>178.22399999999999</c:v>
                </c:pt>
                <c:pt idx="317">
                  <c:v>178.78800000000001</c:v>
                </c:pt>
                <c:pt idx="318">
                  <c:v>179.352</c:v>
                </c:pt>
                <c:pt idx="319">
                  <c:v>179.916</c:v>
                </c:pt>
                <c:pt idx="320">
                  <c:v>180.48</c:v>
                </c:pt>
                <c:pt idx="321">
                  <c:v>181.04400000000001</c:v>
                </c:pt>
                <c:pt idx="322">
                  <c:v>181.608</c:v>
                </c:pt>
                <c:pt idx="323">
                  <c:v>182.172</c:v>
                </c:pt>
                <c:pt idx="324">
                  <c:v>182.73599999999999</c:v>
                </c:pt>
                <c:pt idx="325">
                  <c:v>183.3</c:v>
                </c:pt>
                <c:pt idx="326">
                  <c:v>183.864</c:v>
                </c:pt>
                <c:pt idx="327">
                  <c:v>184.428</c:v>
                </c:pt>
                <c:pt idx="328">
                  <c:v>184.99199999999999</c:v>
                </c:pt>
                <c:pt idx="329">
                  <c:v>185.55600000000001</c:v>
                </c:pt>
                <c:pt idx="330">
                  <c:v>186.12</c:v>
                </c:pt>
                <c:pt idx="331">
                  <c:v>186.684</c:v>
                </c:pt>
                <c:pt idx="332">
                  <c:v>187.24799999999999</c:v>
                </c:pt>
                <c:pt idx="333">
                  <c:v>187.81200000000001</c:v>
                </c:pt>
                <c:pt idx="334">
                  <c:v>188.376</c:v>
                </c:pt>
                <c:pt idx="335">
                  <c:v>188.94</c:v>
                </c:pt>
                <c:pt idx="336">
                  <c:v>189.50399999999999</c:v>
                </c:pt>
                <c:pt idx="337">
                  <c:v>190.06800000000001</c:v>
                </c:pt>
                <c:pt idx="338">
                  <c:v>190.63200000000001</c:v>
                </c:pt>
                <c:pt idx="339">
                  <c:v>191.196</c:v>
                </c:pt>
                <c:pt idx="340">
                  <c:v>191.76</c:v>
                </c:pt>
                <c:pt idx="341">
                  <c:v>192.32400000000001</c:v>
                </c:pt>
                <c:pt idx="342">
                  <c:v>192.88800000000001</c:v>
                </c:pt>
                <c:pt idx="343">
                  <c:v>193.452</c:v>
                </c:pt>
                <c:pt idx="344">
                  <c:v>194.01599999999999</c:v>
                </c:pt>
                <c:pt idx="345">
                  <c:v>194.58</c:v>
                </c:pt>
                <c:pt idx="346">
                  <c:v>195.14400000000001</c:v>
                </c:pt>
                <c:pt idx="347">
                  <c:v>195.708</c:v>
                </c:pt>
                <c:pt idx="348">
                  <c:v>196.27199999999999</c:v>
                </c:pt>
                <c:pt idx="349">
                  <c:v>196.83600000000001</c:v>
                </c:pt>
                <c:pt idx="350">
                  <c:v>197.4</c:v>
                </c:pt>
                <c:pt idx="351">
                  <c:v>197.964</c:v>
                </c:pt>
                <c:pt idx="352">
                  <c:v>198.52799999999999</c:v>
                </c:pt>
                <c:pt idx="353">
                  <c:v>199.09200000000001</c:v>
                </c:pt>
                <c:pt idx="354">
                  <c:v>199.65600000000001</c:v>
                </c:pt>
                <c:pt idx="355">
                  <c:v>200.22</c:v>
                </c:pt>
                <c:pt idx="356">
                  <c:v>200.78399999999999</c:v>
                </c:pt>
                <c:pt idx="357">
                  <c:v>201.34800000000001</c:v>
                </c:pt>
                <c:pt idx="358">
                  <c:v>201.91200000000001</c:v>
                </c:pt>
                <c:pt idx="359">
                  <c:v>202.476</c:v>
                </c:pt>
                <c:pt idx="360">
                  <c:v>203.04</c:v>
                </c:pt>
                <c:pt idx="361">
                  <c:v>203.60400000000001</c:v>
                </c:pt>
                <c:pt idx="362">
                  <c:v>204.16800000000001</c:v>
                </c:pt>
                <c:pt idx="363">
                  <c:v>204.732</c:v>
                </c:pt>
                <c:pt idx="364">
                  <c:v>205.29599999999999</c:v>
                </c:pt>
                <c:pt idx="365">
                  <c:v>205.86</c:v>
                </c:pt>
                <c:pt idx="366">
                  <c:v>206.42400000000001</c:v>
                </c:pt>
                <c:pt idx="367">
                  <c:v>206.988</c:v>
                </c:pt>
                <c:pt idx="368">
                  <c:v>207.55199999999999</c:v>
                </c:pt>
                <c:pt idx="369">
                  <c:v>208.11600000000001</c:v>
                </c:pt>
                <c:pt idx="370">
                  <c:v>208.68</c:v>
                </c:pt>
                <c:pt idx="371">
                  <c:v>209.244</c:v>
                </c:pt>
                <c:pt idx="372">
                  <c:v>209.80799999999999</c:v>
                </c:pt>
                <c:pt idx="373">
                  <c:v>210.37200000000001</c:v>
                </c:pt>
                <c:pt idx="374">
                  <c:v>210.93600000000001</c:v>
                </c:pt>
                <c:pt idx="375">
                  <c:v>211.5</c:v>
                </c:pt>
                <c:pt idx="376">
                  <c:v>212.06399999999999</c:v>
                </c:pt>
                <c:pt idx="377">
                  <c:v>212.62799999999999</c:v>
                </c:pt>
                <c:pt idx="378">
                  <c:v>213.19200000000001</c:v>
                </c:pt>
                <c:pt idx="379">
                  <c:v>213.756</c:v>
                </c:pt>
                <c:pt idx="380">
                  <c:v>214.32</c:v>
                </c:pt>
                <c:pt idx="381">
                  <c:v>214.88399999999999</c:v>
                </c:pt>
                <c:pt idx="382">
                  <c:v>215.44800000000001</c:v>
                </c:pt>
                <c:pt idx="383">
                  <c:v>216.012</c:v>
                </c:pt>
                <c:pt idx="384">
                  <c:v>216.57599999999999</c:v>
                </c:pt>
                <c:pt idx="385">
                  <c:v>217.14</c:v>
                </c:pt>
                <c:pt idx="386">
                  <c:v>217.70400000000001</c:v>
                </c:pt>
                <c:pt idx="387">
                  <c:v>218.268</c:v>
                </c:pt>
                <c:pt idx="388">
                  <c:v>218.83199999999999</c:v>
                </c:pt>
                <c:pt idx="389">
                  <c:v>219.39599999999999</c:v>
                </c:pt>
                <c:pt idx="390">
                  <c:v>219.96</c:v>
                </c:pt>
                <c:pt idx="391">
                  <c:v>220.524</c:v>
                </c:pt>
                <c:pt idx="392">
                  <c:v>221.08799999999999</c:v>
                </c:pt>
                <c:pt idx="393">
                  <c:v>221.65199999999999</c:v>
                </c:pt>
                <c:pt idx="394">
                  <c:v>222.21600000000001</c:v>
                </c:pt>
                <c:pt idx="395">
                  <c:v>222.78</c:v>
                </c:pt>
                <c:pt idx="396">
                  <c:v>223.34399999999999</c:v>
                </c:pt>
                <c:pt idx="397">
                  <c:v>223.90799999999999</c:v>
                </c:pt>
                <c:pt idx="398">
                  <c:v>224.47200000000001</c:v>
                </c:pt>
                <c:pt idx="399">
                  <c:v>225.036</c:v>
                </c:pt>
                <c:pt idx="400">
                  <c:v>225.6</c:v>
                </c:pt>
                <c:pt idx="401">
                  <c:v>226.16399999999999</c:v>
                </c:pt>
                <c:pt idx="402">
                  <c:v>226.72800000000001</c:v>
                </c:pt>
                <c:pt idx="403">
                  <c:v>227.292</c:v>
                </c:pt>
                <c:pt idx="404">
                  <c:v>227.85599999999999</c:v>
                </c:pt>
                <c:pt idx="405">
                  <c:v>228.42</c:v>
                </c:pt>
                <c:pt idx="406">
                  <c:v>228.98400000000001</c:v>
                </c:pt>
                <c:pt idx="407">
                  <c:v>229.548</c:v>
                </c:pt>
                <c:pt idx="408">
                  <c:v>230.11199999999999</c:v>
                </c:pt>
                <c:pt idx="409">
                  <c:v>230.67599999999999</c:v>
                </c:pt>
                <c:pt idx="410">
                  <c:v>231.24</c:v>
                </c:pt>
                <c:pt idx="411">
                  <c:v>231.804</c:v>
                </c:pt>
                <c:pt idx="412">
                  <c:v>232.36799999999999</c:v>
                </c:pt>
                <c:pt idx="413">
                  <c:v>232.93199999999999</c:v>
                </c:pt>
                <c:pt idx="414">
                  <c:v>233.49600000000001</c:v>
                </c:pt>
                <c:pt idx="415">
                  <c:v>234.06</c:v>
                </c:pt>
                <c:pt idx="416">
                  <c:v>234.624</c:v>
                </c:pt>
                <c:pt idx="417">
                  <c:v>235.18799999999999</c:v>
                </c:pt>
                <c:pt idx="418">
                  <c:v>235.75200000000001</c:v>
                </c:pt>
                <c:pt idx="419">
                  <c:v>236.316</c:v>
                </c:pt>
                <c:pt idx="420">
                  <c:v>236.88</c:v>
                </c:pt>
                <c:pt idx="421">
                  <c:v>237.44399999999999</c:v>
                </c:pt>
                <c:pt idx="422">
                  <c:v>238.00800000000001</c:v>
                </c:pt>
                <c:pt idx="423">
                  <c:v>238.572</c:v>
                </c:pt>
                <c:pt idx="424">
                  <c:v>239.136</c:v>
                </c:pt>
                <c:pt idx="425">
                  <c:v>239.7</c:v>
                </c:pt>
                <c:pt idx="426">
                  <c:v>240.26400000000001</c:v>
                </c:pt>
                <c:pt idx="427">
                  <c:v>240.828</c:v>
                </c:pt>
                <c:pt idx="428">
                  <c:v>241.392</c:v>
                </c:pt>
                <c:pt idx="429">
                  <c:v>241.95599999999999</c:v>
                </c:pt>
                <c:pt idx="430">
                  <c:v>242.52</c:v>
                </c:pt>
                <c:pt idx="431">
                  <c:v>243.084</c:v>
                </c:pt>
                <c:pt idx="432">
                  <c:v>243.648</c:v>
                </c:pt>
                <c:pt idx="433">
                  <c:v>244.21199999999999</c:v>
                </c:pt>
                <c:pt idx="434">
                  <c:v>244.77600000000001</c:v>
                </c:pt>
                <c:pt idx="435">
                  <c:v>245.34</c:v>
                </c:pt>
                <c:pt idx="436">
                  <c:v>245.904</c:v>
                </c:pt>
                <c:pt idx="437">
                  <c:v>246.46799999999999</c:v>
                </c:pt>
                <c:pt idx="438">
                  <c:v>247.03200000000001</c:v>
                </c:pt>
                <c:pt idx="439">
                  <c:v>247.596</c:v>
                </c:pt>
                <c:pt idx="440">
                  <c:v>248.16</c:v>
                </c:pt>
                <c:pt idx="441">
                  <c:v>248.72399999999999</c:v>
                </c:pt>
                <c:pt idx="442">
                  <c:v>249.28800000000001</c:v>
                </c:pt>
                <c:pt idx="443">
                  <c:v>249.852</c:v>
                </c:pt>
                <c:pt idx="444">
                  <c:v>250.416</c:v>
                </c:pt>
                <c:pt idx="445">
                  <c:v>250.98</c:v>
                </c:pt>
                <c:pt idx="446">
                  <c:v>251.54400000000001</c:v>
                </c:pt>
                <c:pt idx="447">
                  <c:v>252.108</c:v>
                </c:pt>
                <c:pt idx="448">
                  <c:v>252.672</c:v>
                </c:pt>
                <c:pt idx="449">
                  <c:v>253.23599999999999</c:v>
                </c:pt>
                <c:pt idx="450">
                  <c:v>253.8</c:v>
                </c:pt>
                <c:pt idx="451">
                  <c:v>254.364</c:v>
                </c:pt>
                <c:pt idx="452">
                  <c:v>254.928</c:v>
                </c:pt>
                <c:pt idx="453">
                  <c:v>255.49199999999999</c:v>
                </c:pt>
                <c:pt idx="454">
                  <c:v>256.05599999999998</c:v>
                </c:pt>
                <c:pt idx="455">
                  <c:v>256.62</c:v>
                </c:pt>
                <c:pt idx="456">
                  <c:v>257.18400000000003</c:v>
                </c:pt>
                <c:pt idx="457">
                  <c:v>257.74799999999999</c:v>
                </c:pt>
                <c:pt idx="458">
                  <c:v>258.31200000000001</c:v>
                </c:pt>
                <c:pt idx="459">
                  <c:v>258.87599999999998</c:v>
                </c:pt>
                <c:pt idx="460">
                  <c:v>259.44</c:v>
                </c:pt>
                <c:pt idx="461">
                  <c:v>260.00400000000002</c:v>
                </c:pt>
                <c:pt idx="462">
                  <c:v>260.56799999999998</c:v>
                </c:pt>
                <c:pt idx="463">
                  <c:v>261.13200000000001</c:v>
                </c:pt>
                <c:pt idx="464">
                  <c:v>261.69600000000003</c:v>
                </c:pt>
                <c:pt idx="465">
                  <c:v>262.26</c:v>
                </c:pt>
                <c:pt idx="466">
                  <c:v>262.82400000000001</c:v>
                </c:pt>
                <c:pt idx="467">
                  <c:v>263.38799999999998</c:v>
                </c:pt>
                <c:pt idx="468">
                  <c:v>263.952</c:v>
                </c:pt>
                <c:pt idx="469">
                  <c:v>264.51600000000002</c:v>
                </c:pt>
                <c:pt idx="470">
                  <c:v>265.08</c:v>
                </c:pt>
                <c:pt idx="471">
                  <c:v>265.64400000000001</c:v>
                </c:pt>
                <c:pt idx="472">
                  <c:v>266.20800000000003</c:v>
                </c:pt>
                <c:pt idx="473">
                  <c:v>266.77199999999999</c:v>
                </c:pt>
                <c:pt idx="474">
                  <c:v>267.33600000000001</c:v>
                </c:pt>
                <c:pt idx="475">
                  <c:v>267.89999999999998</c:v>
                </c:pt>
                <c:pt idx="476">
                  <c:v>268.464</c:v>
                </c:pt>
                <c:pt idx="477">
                  <c:v>269.02800000000002</c:v>
                </c:pt>
                <c:pt idx="478">
                  <c:v>269.59199999999998</c:v>
                </c:pt>
                <c:pt idx="479">
                  <c:v>270.15600000000001</c:v>
                </c:pt>
                <c:pt idx="480">
                  <c:v>270.72000000000003</c:v>
                </c:pt>
                <c:pt idx="481">
                  <c:v>271.28399999999999</c:v>
                </c:pt>
                <c:pt idx="482">
                  <c:v>271.84800000000001</c:v>
                </c:pt>
                <c:pt idx="483">
                  <c:v>272.41199999999998</c:v>
                </c:pt>
                <c:pt idx="484">
                  <c:v>272.976</c:v>
                </c:pt>
                <c:pt idx="485">
                  <c:v>273.54000000000002</c:v>
                </c:pt>
                <c:pt idx="486">
                  <c:v>274.10399999999998</c:v>
                </c:pt>
                <c:pt idx="487">
                  <c:v>274.66800000000001</c:v>
                </c:pt>
                <c:pt idx="488">
                  <c:v>275.23200000000003</c:v>
                </c:pt>
                <c:pt idx="489">
                  <c:v>275.79599999999999</c:v>
                </c:pt>
                <c:pt idx="490">
                  <c:v>276.36</c:v>
                </c:pt>
                <c:pt idx="491">
                  <c:v>276.92399999999998</c:v>
                </c:pt>
                <c:pt idx="492">
                  <c:v>277.488</c:v>
                </c:pt>
                <c:pt idx="493">
                  <c:v>278.05200000000002</c:v>
                </c:pt>
                <c:pt idx="494">
                  <c:v>278.61599999999999</c:v>
                </c:pt>
                <c:pt idx="495">
                  <c:v>279.18</c:v>
                </c:pt>
                <c:pt idx="496">
                  <c:v>279.74400000000003</c:v>
                </c:pt>
                <c:pt idx="497">
                  <c:v>280.30799999999999</c:v>
                </c:pt>
                <c:pt idx="498">
                  <c:v>280.87200000000001</c:v>
                </c:pt>
                <c:pt idx="499">
                  <c:v>281.43599999999998</c:v>
                </c:pt>
                <c:pt idx="500">
                  <c:v>282</c:v>
                </c:pt>
                <c:pt idx="501">
                  <c:v>282.56400000000002</c:v>
                </c:pt>
                <c:pt idx="502">
                  <c:v>283.12799999999999</c:v>
                </c:pt>
                <c:pt idx="503">
                  <c:v>283.69200000000001</c:v>
                </c:pt>
                <c:pt idx="504">
                  <c:v>284.25599999999997</c:v>
                </c:pt>
                <c:pt idx="505">
                  <c:v>284.82</c:v>
                </c:pt>
                <c:pt idx="506">
                  <c:v>285.38400000000001</c:v>
                </c:pt>
                <c:pt idx="507">
                  <c:v>285.94799999999998</c:v>
                </c:pt>
                <c:pt idx="508">
                  <c:v>286.512</c:v>
                </c:pt>
                <c:pt idx="509">
                  <c:v>287.07600000000002</c:v>
                </c:pt>
                <c:pt idx="510">
                  <c:v>287.64</c:v>
                </c:pt>
                <c:pt idx="511">
                  <c:v>288.20400000000001</c:v>
                </c:pt>
                <c:pt idx="512">
                  <c:v>288.76799999999997</c:v>
                </c:pt>
                <c:pt idx="513">
                  <c:v>289.33199999999999</c:v>
                </c:pt>
                <c:pt idx="514">
                  <c:v>289.89600000000002</c:v>
                </c:pt>
                <c:pt idx="515">
                  <c:v>290.45999999999998</c:v>
                </c:pt>
                <c:pt idx="516">
                  <c:v>291.024</c:v>
                </c:pt>
                <c:pt idx="517">
                  <c:v>291.58800000000002</c:v>
                </c:pt>
                <c:pt idx="518">
                  <c:v>292.15199999999999</c:v>
                </c:pt>
                <c:pt idx="519">
                  <c:v>292.71600000000001</c:v>
                </c:pt>
                <c:pt idx="520">
                  <c:v>293.27999999999997</c:v>
                </c:pt>
                <c:pt idx="521">
                  <c:v>293.84399999999999</c:v>
                </c:pt>
                <c:pt idx="522">
                  <c:v>294.40800000000002</c:v>
                </c:pt>
                <c:pt idx="523">
                  <c:v>294.97199999999998</c:v>
                </c:pt>
                <c:pt idx="524">
                  <c:v>295.536</c:v>
                </c:pt>
                <c:pt idx="525">
                  <c:v>296.10000000000002</c:v>
                </c:pt>
                <c:pt idx="526">
                  <c:v>296.66399999999999</c:v>
                </c:pt>
                <c:pt idx="527">
                  <c:v>297.22800000000001</c:v>
                </c:pt>
                <c:pt idx="528">
                  <c:v>297.79199999999997</c:v>
                </c:pt>
                <c:pt idx="529">
                  <c:v>298.35599999999999</c:v>
                </c:pt>
                <c:pt idx="530">
                  <c:v>298.92</c:v>
                </c:pt>
                <c:pt idx="531">
                  <c:v>299.48399999999998</c:v>
                </c:pt>
                <c:pt idx="532">
                  <c:v>300.048</c:v>
                </c:pt>
                <c:pt idx="533">
                  <c:v>300.61200000000002</c:v>
                </c:pt>
                <c:pt idx="534">
                  <c:v>301.17599999999999</c:v>
                </c:pt>
                <c:pt idx="535">
                  <c:v>301.74</c:v>
                </c:pt>
                <c:pt idx="536">
                  <c:v>302.30399999999997</c:v>
                </c:pt>
                <c:pt idx="537">
                  <c:v>302.86799999999999</c:v>
                </c:pt>
                <c:pt idx="538">
                  <c:v>303.43200000000002</c:v>
                </c:pt>
                <c:pt idx="539">
                  <c:v>303.99599999999998</c:v>
                </c:pt>
                <c:pt idx="540">
                  <c:v>304.56</c:v>
                </c:pt>
                <c:pt idx="541">
                  <c:v>305.12400000000002</c:v>
                </c:pt>
                <c:pt idx="542">
                  <c:v>305.68799999999999</c:v>
                </c:pt>
                <c:pt idx="543">
                  <c:v>306.25200000000001</c:v>
                </c:pt>
                <c:pt idx="544">
                  <c:v>306.81599999999997</c:v>
                </c:pt>
                <c:pt idx="545">
                  <c:v>307.38</c:v>
                </c:pt>
                <c:pt idx="546">
                  <c:v>307.94400000000002</c:v>
                </c:pt>
                <c:pt idx="547">
                  <c:v>308.50799999999998</c:v>
                </c:pt>
                <c:pt idx="548">
                  <c:v>309.072</c:v>
                </c:pt>
                <c:pt idx="549">
                  <c:v>309.63600000000002</c:v>
                </c:pt>
                <c:pt idx="550">
                  <c:v>310.2</c:v>
                </c:pt>
                <c:pt idx="551">
                  <c:v>310.76400000000001</c:v>
                </c:pt>
                <c:pt idx="552">
                  <c:v>311.32799999999997</c:v>
                </c:pt>
                <c:pt idx="553">
                  <c:v>311.892</c:v>
                </c:pt>
                <c:pt idx="554">
                  <c:v>312.45600000000002</c:v>
                </c:pt>
                <c:pt idx="555">
                  <c:v>313.02</c:v>
                </c:pt>
                <c:pt idx="556">
                  <c:v>313.584</c:v>
                </c:pt>
                <c:pt idx="557">
                  <c:v>314.14800000000002</c:v>
                </c:pt>
                <c:pt idx="558">
                  <c:v>314.71199999999999</c:v>
                </c:pt>
                <c:pt idx="559">
                  <c:v>315.27600000000001</c:v>
                </c:pt>
                <c:pt idx="560">
                  <c:v>315.83999999999997</c:v>
                </c:pt>
                <c:pt idx="561">
                  <c:v>316.404</c:v>
                </c:pt>
                <c:pt idx="562">
                  <c:v>316.96800000000002</c:v>
                </c:pt>
                <c:pt idx="563">
                  <c:v>317.53199999999998</c:v>
                </c:pt>
                <c:pt idx="564">
                  <c:v>318.096</c:v>
                </c:pt>
                <c:pt idx="565">
                  <c:v>318.66000000000003</c:v>
                </c:pt>
                <c:pt idx="566">
                  <c:v>319.22399999999999</c:v>
                </c:pt>
                <c:pt idx="567">
                  <c:v>319.78800000000001</c:v>
                </c:pt>
                <c:pt idx="568">
                  <c:v>320.35199999999998</c:v>
                </c:pt>
                <c:pt idx="569">
                  <c:v>320.916</c:v>
                </c:pt>
                <c:pt idx="570">
                  <c:v>321.48</c:v>
                </c:pt>
                <c:pt idx="571">
                  <c:v>322.04399999999998</c:v>
                </c:pt>
                <c:pt idx="572">
                  <c:v>322.608</c:v>
                </c:pt>
                <c:pt idx="573">
                  <c:v>323.17200000000003</c:v>
                </c:pt>
                <c:pt idx="574">
                  <c:v>323.73599999999999</c:v>
                </c:pt>
                <c:pt idx="575">
                  <c:v>324.3</c:v>
                </c:pt>
                <c:pt idx="576">
                  <c:v>324.86399999999998</c:v>
                </c:pt>
                <c:pt idx="577">
                  <c:v>325.428</c:v>
                </c:pt>
                <c:pt idx="578">
                  <c:v>325.99200000000002</c:v>
                </c:pt>
                <c:pt idx="579">
                  <c:v>326.55599999999998</c:v>
                </c:pt>
                <c:pt idx="580">
                  <c:v>327.12</c:v>
                </c:pt>
                <c:pt idx="581">
                  <c:v>327.68400000000003</c:v>
                </c:pt>
                <c:pt idx="582">
                  <c:v>328.24799999999999</c:v>
                </c:pt>
                <c:pt idx="583">
                  <c:v>328.81200000000001</c:v>
                </c:pt>
                <c:pt idx="584">
                  <c:v>329.37599999999998</c:v>
                </c:pt>
                <c:pt idx="585">
                  <c:v>329.94</c:v>
                </c:pt>
                <c:pt idx="586">
                  <c:v>330.50400000000002</c:v>
                </c:pt>
                <c:pt idx="587">
                  <c:v>331.06799999999998</c:v>
                </c:pt>
                <c:pt idx="588">
                  <c:v>331.63200000000001</c:v>
                </c:pt>
                <c:pt idx="589">
                  <c:v>332.19600000000003</c:v>
                </c:pt>
                <c:pt idx="590">
                  <c:v>332.76</c:v>
                </c:pt>
                <c:pt idx="591">
                  <c:v>333.32400000000001</c:v>
                </c:pt>
                <c:pt idx="592">
                  <c:v>333.88799999999998</c:v>
                </c:pt>
                <c:pt idx="593">
                  <c:v>334.452</c:v>
                </c:pt>
                <c:pt idx="594">
                  <c:v>335.01600000000002</c:v>
                </c:pt>
                <c:pt idx="595">
                  <c:v>335.58</c:v>
                </c:pt>
                <c:pt idx="596">
                  <c:v>336.14400000000001</c:v>
                </c:pt>
                <c:pt idx="597">
                  <c:v>336.70800000000003</c:v>
                </c:pt>
                <c:pt idx="598">
                  <c:v>337.27199999999999</c:v>
                </c:pt>
                <c:pt idx="599">
                  <c:v>337.83600000000001</c:v>
                </c:pt>
                <c:pt idx="600">
                  <c:v>338.4</c:v>
                </c:pt>
                <c:pt idx="601">
                  <c:v>338.964</c:v>
                </c:pt>
                <c:pt idx="602">
                  <c:v>339.52800000000002</c:v>
                </c:pt>
                <c:pt idx="603">
                  <c:v>340.09199999999998</c:v>
                </c:pt>
                <c:pt idx="604">
                  <c:v>340.65600000000001</c:v>
                </c:pt>
                <c:pt idx="605">
                  <c:v>341.22</c:v>
                </c:pt>
                <c:pt idx="606">
                  <c:v>341.78399999999999</c:v>
                </c:pt>
                <c:pt idx="607">
                  <c:v>342.34800000000001</c:v>
                </c:pt>
                <c:pt idx="608">
                  <c:v>342.91199999999998</c:v>
                </c:pt>
                <c:pt idx="609">
                  <c:v>343.476</c:v>
                </c:pt>
                <c:pt idx="610">
                  <c:v>344.04</c:v>
                </c:pt>
                <c:pt idx="611">
                  <c:v>344.60399999999998</c:v>
                </c:pt>
                <c:pt idx="612">
                  <c:v>345.16800000000001</c:v>
                </c:pt>
                <c:pt idx="613">
                  <c:v>345.73200000000003</c:v>
                </c:pt>
                <c:pt idx="614">
                  <c:v>346.29599999999999</c:v>
                </c:pt>
                <c:pt idx="615">
                  <c:v>346.86</c:v>
                </c:pt>
                <c:pt idx="616">
                  <c:v>347.42399999999998</c:v>
                </c:pt>
                <c:pt idx="617">
                  <c:v>347.988</c:v>
                </c:pt>
                <c:pt idx="618">
                  <c:v>348.55200000000002</c:v>
                </c:pt>
                <c:pt idx="619">
                  <c:v>349.11599999999999</c:v>
                </c:pt>
                <c:pt idx="620">
                  <c:v>349.68</c:v>
                </c:pt>
                <c:pt idx="621">
                  <c:v>350.24400000000003</c:v>
                </c:pt>
                <c:pt idx="622">
                  <c:v>350.80799999999999</c:v>
                </c:pt>
                <c:pt idx="623">
                  <c:v>351.37200000000001</c:v>
                </c:pt>
                <c:pt idx="624">
                  <c:v>351.93599999999998</c:v>
                </c:pt>
                <c:pt idx="625">
                  <c:v>352.5</c:v>
                </c:pt>
                <c:pt idx="626">
                  <c:v>353.06400000000002</c:v>
                </c:pt>
                <c:pt idx="627">
                  <c:v>353.62799999999999</c:v>
                </c:pt>
                <c:pt idx="628">
                  <c:v>354.19200000000001</c:v>
                </c:pt>
                <c:pt idx="629">
                  <c:v>354.75599999999997</c:v>
                </c:pt>
                <c:pt idx="630">
                  <c:v>355.32</c:v>
                </c:pt>
                <c:pt idx="631">
                  <c:v>355.88400000000001</c:v>
                </c:pt>
                <c:pt idx="632">
                  <c:v>356.44799999999998</c:v>
                </c:pt>
                <c:pt idx="633">
                  <c:v>357.012</c:v>
                </c:pt>
                <c:pt idx="634">
                  <c:v>357.57600000000002</c:v>
                </c:pt>
                <c:pt idx="635">
                  <c:v>358.14</c:v>
                </c:pt>
                <c:pt idx="636">
                  <c:v>358.70400000000001</c:v>
                </c:pt>
                <c:pt idx="637">
                  <c:v>359.26799999999997</c:v>
                </c:pt>
                <c:pt idx="638">
                  <c:v>359.83199999999999</c:v>
                </c:pt>
                <c:pt idx="639">
                  <c:v>360.39600000000002</c:v>
                </c:pt>
                <c:pt idx="640">
                  <c:v>360.96</c:v>
                </c:pt>
                <c:pt idx="641">
                  <c:v>361.524</c:v>
                </c:pt>
                <c:pt idx="642">
                  <c:v>362.08800000000002</c:v>
                </c:pt>
                <c:pt idx="643">
                  <c:v>362.65199999999999</c:v>
                </c:pt>
                <c:pt idx="644">
                  <c:v>363.21600000000001</c:v>
                </c:pt>
                <c:pt idx="645">
                  <c:v>363.78</c:v>
                </c:pt>
                <c:pt idx="646">
                  <c:v>364.34399999999999</c:v>
                </c:pt>
                <c:pt idx="647">
                  <c:v>364.90800000000002</c:v>
                </c:pt>
                <c:pt idx="648">
                  <c:v>365.47199999999998</c:v>
                </c:pt>
                <c:pt idx="649">
                  <c:v>366.036</c:v>
                </c:pt>
                <c:pt idx="650">
                  <c:v>366.6</c:v>
                </c:pt>
                <c:pt idx="651">
                  <c:v>367.16399999999999</c:v>
                </c:pt>
                <c:pt idx="652">
                  <c:v>367.72800000000001</c:v>
                </c:pt>
                <c:pt idx="653">
                  <c:v>368.29199999999997</c:v>
                </c:pt>
                <c:pt idx="654">
                  <c:v>368.85599999999999</c:v>
                </c:pt>
                <c:pt idx="655">
                  <c:v>369.42</c:v>
                </c:pt>
                <c:pt idx="656">
                  <c:v>369.98399999999998</c:v>
                </c:pt>
                <c:pt idx="657">
                  <c:v>370.548</c:v>
                </c:pt>
                <c:pt idx="658">
                  <c:v>371.11200000000002</c:v>
                </c:pt>
                <c:pt idx="659">
                  <c:v>371.67599999999999</c:v>
                </c:pt>
                <c:pt idx="660">
                  <c:v>372.24</c:v>
                </c:pt>
                <c:pt idx="661">
                  <c:v>372.80399999999997</c:v>
                </c:pt>
                <c:pt idx="662">
                  <c:v>373.36799999999999</c:v>
                </c:pt>
                <c:pt idx="663">
                  <c:v>373.93200000000002</c:v>
                </c:pt>
                <c:pt idx="664">
                  <c:v>374.49599999999998</c:v>
                </c:pt>
                <c:pt idx="665">
                  <c:v>375.06</c:v>
                </c:pt>
                <c:pt idx="666">
                  <c:v>375.62400000000002</c:v>
                </c:pt>
                <c:pt idx="667">
                  <c:v>376.18799999999999</c:v>
                </c:pt>
                <c:pt idx="668">
                  <c:v>376.75200000000001</c:v>
                </c:pt>
                <c:pt idx="669">
                  <c:v>377.31599999999997</c:v>
                </c:pt>
                <c:pt idx="670">
                  <c:v>377.88</c:v>
                </c:pt>
                <c:pt idx="671">
                  <c:v>378.44400000000002</c:v>
                </c:pt>
                <c:pt idx="672">
                  <c:v>379.00799999999998</c:v>
                </c:pt>
                <c:pt idx="673">
                  <c:v>379.572</c:v>
                </c:pt>
                <c:pt idx="674">
                  <c:v>380.13600000000002</c:v>
                </c:pt>
                <c:pt idx="675">
                  <c:v>380.7</c:v>
                </c:pt>
                <c:pt idx="676">
                  <c:v>381.26400000000001</c:v>
                </c:pt>
                <c:pt idx="677">
                  <c:v>381.82799999999997</c:v>
                </c:pt>
                <c:pt idx="678">
                  <c:v>382.392</c:v>
                </c:pt>
                <c:pt idx="679">
                  <c:v>382.95600000000002</c:v>
                </c:pt>
                <c:pt idx="680">
                  <c:v>383.52</c:v>
                </c:pt>
                <c:pt idx="681">
                  <c:v>384.084</c:v>
                </c:pt>
                <c:pt idx="682">
                  <c:v>384.64800000000002</c:v>
                </c:pt>
                <c:pt idx="683">
                  <c:v>385.21199999999999</c:v>
                </c:pt>
                <c:pt idx="684">
                  <c:v>385.77600000000001</c:v>
                </c:pt>
                <c:pt idx="685">
                  <c:v>386.34</c:v>
                </c:pt>
                <c:pt idx="686">
                  <c:v>386.904</c:v>
                </c:pt>
                <c:pt idx="687">
                  <c:v>387.46800000000002</c:v>
                </c:pt>
                <c:pt idx="688">
                  <c:v>388.03199999999998</c:v>
                </c:pt>
                <c:pt idx="689">
                  <c:v>388.596</c:v>
                </c:pt>
                <c:pt idx="690">
                  <c:v>389.16</c:v>
                </c:pt>
                <c:pt idx="691">
                  <c:v>389.72399999999999</c:v>
                </c:pt>
                <c:pt idx="692">
                  <c:v>390.28800000000001</c:v>
                </c:pt>
                <c:pt idx="693">
                  <c:v>390.85199999999998</c:v>
                </c:pt>
                <c:pt idx="694">
                  <c:v>391.416</c:v>
                </c:pt>
                <c:pt idx="695">
                  <c:v>391.98</c:v>
                </c:pt>
                <c:pt idx="696">
                  <c:v>392.54399999999998</c:v>
                </c:pt>
                <c:pt idx="697">
                  <c:v>393.108</c:v>
                </c:pt>
                <c:pt idx="698">
                  <c:v>393.67200000000003</c:v>
                </c:pt>
                <c:pt idx="699">
                  <c:v>394.23599999999999</c:v>
                </c:pt>
                <c:pt idx="700">
                  <c:v>394.8</c:v>
                </c:pt>
                <c:pt idx="701">
                  <c:v>395.36399999999998</c:v>
                </c:pt>
                <c:pt idx="702">
                  <c:v>395.928</c:v>
                </c:pt>
                <c:pt idx="703">
                  <c:v>396.49200000000002</c:v>
                </c:pt>
                <c:pt idx="704">
                  <c:v>397.05599999999998</c:v>
                </c:pt>
                <c:pt idx="705">
                  <c:v>397.62</c:v>
                </c:pt>
                <c:pt idx="706">
                  <c:v>398.18400000000003</c:v>
                </c:pt>
                <c:pt idx="707">
                  <c:v>398.74799999999999</c:v>
                </c:pt>
                <c:pt idx="708">
                  <c:v>399.31200000000001</c:v>
                </c:pt>
                <c:pt idx="709">
                  <c:v>399.87599999999998</c:v>
                </c:pt>
                <c:pt idx="710">
                  <c:v>400.44</c:v>
                </c:pt>
                <c:pt idx="711">
                  <c:v>401.00400000000002</c:v>
                </c:pt>
                <c:pt idx="712">
                  <c:v>401.56799999999998</c:v>
                </c:pt>
                <c:pt idx="713">
                  <c:v>402.13200000000001</c:v>
                </c:pt>
                <c:pt idx="714">
                  <c:v>402.69600000000003</c:v>
                </c:pt>
                <c:pt idx="715">
                  <c:v>403.26</c:v>
                </c:pt>
                <c:pt idx="716">
                  <c:v>403.82400000000001</c:v>
                </c:pt>
                <c:pt idx="717">
                  <c:v>404.38799999999998</c:v>
                </c:pt>
                <c:pt idx="718">
                  <c:v>404.952</c:v>
                </c:pt>
                <c:pt idx="719">
                  <c:v>405.51600000000002</c:v>
                </c:pt>
                <c:pt idx="720">
                  <c:v>406.08</c:v>
                </c:pt>
                <c:pt idx="721">
                  <c:v>406.64400000000001</c:v>
                </c:pt>
                <c:pt idx="722">
                  <c:v>407.20800000000003</c:v>
                </c:pt>
                <c:pt idx="723">
                  <c:v>407.77199999999999</c:v>
                </c:pt>
                <c:pt idx="724">
                  <c:v>408.33600000000001</c:v>
                </c:pt>
                <c:pt idx="725">
                  <c:v>408.9</c:v>
                </c:pt>
                <c:pt idx="726">
                  <c:v>409.464</c:v>
                </c:pt>
                <c:pt idx="727">
                  <c:v>410.02800000000002</c:v>
                </c:pt>
                <c:pt idx="728">
                  <c:v>410.59199999999998</c:v>
                </c:pt>
                <c:pt idx="729">
                  <c:v>411.15600000000001</c:v>
                </c:pt>
                <c:pt idx="730">
                  <c:v>411.72</c:v>
                </c:pt>
                <c:pt idx="731">
                  <c:v>412.28399999999999</c:v>
                </c:pt>
                <c:pt idx="732">
                  <c:v>412.84800000000001</c:v>
                </c:pt>
                <c:pt idx="733">
                  <c:v>413.41199999999998</c:v>
                </c:pt>
                <c:pt idx="734">
                  <c:v>413.976</c:v>
                </c:pt>
                <c:pt idx="735">
                  <c:v>414.54</c:v>
                </c:pt>
                <c:pt idx="736">
                  <c:v>415.10399999999998</c:v>
                </c:pt>
                <c:pt idx="737">
                  <c:v>415.66800000000001</c:v>
                </c:pt>
                <c:pt idx="738">
                  <c:v>416.23200000000003</c:v>
                </c:pt>
                <c:pt idx="739">
                  <c:v>416.79599999999999</c:v>
                </c:pt>
                <c:pt idx="740">
                  <c:v>417.36</c:v>
                </c:pt>
                <c:pt idx="741">
                  <c:v>417.92399999999998</c:v>
                </c:pt>
                <c:pt idx="742">
                  <c:v>418.488</c:v>
                </c:pt>
                <c:pt idx="743">
                  <c:v>419.05200000000002</c:v>
                </c:pt>
                <c:pt idx="744">
                  <c:v>419.61599999999999</c:v>
                </c:pt>
                <c:pt idx="745">
                  <c:v>420.18</c:v>
                </c:pt>
                <c:pt idx="746">
                  <c:v>420.74400000000003</c:v>
                </c:pt>
                <c:pt idx="747">
                  <c:v>421.30799999999999</c:v>
                </c:pt>
                <c:pt idx="748">
                  <c:v>421.87200000000001</c:v>
                </c:pt>
                <c:pt idx="749">
                  <c:v>422.43599999999998</c:v>
                </c:pt>
                <c:pt idx="750">
                  <c:v>423</c:v>
                </c:pt>
                <c:pt idx="751">
                  <c:v>423.56400000000002</c:v>
                </c:pt>
                <c:pt idx="752">
                  <c:v>424.12799999999999</c:v>
                </c:pt>
                <c:pt idx="753">
                  <c:v>424.69200000000001</c:v>
                </c:pt>
                <c:pt idx="754">
                  <c:v>425.25599999999997</c:v>
                </c:pt>
                <c:pt idx="755">
                  <c:v>425.82</c:v>
                </c:pt>
                <c:pt idx="756">
                  <c:v>426.38400000000001</c:v>
                </c:pt>
                <c:pt idx="757">
                  <c:v>426.94799999999998</c:v>
                </c:pt>
                <c:pt idx="758">
                  <c:v>427.512</c:v>
                </c:pt>
                <c:pt idx="759">
                  <c:v>428.07600000000002</c:v>
                </c:pt>
                <c:pt idx="760">
                  <c:v>428.64</c:v>
                </c:pt>
                <c:pt idx="761">
                  <c:v>429.20400000000001</c:v>
                </c:pt>
                <c:pt idx="762">
                  <c:v>429.76799999999997</c:v>
                </c:pt>
                <c:pt idx="763">
                  <c:v>430.33199999999999</c:v>
                </c:pt>
                <c:pt idx="764">
                  <c:v>430.89600000000002</c:v>
                </c:pt>
                <c:pt idx="765">
                  <c:v>431.46</c:v>
                </c:pt>
                <c:pt idx="766">
                  <c:v>432.024</c:v>
                </c:pt>
                <c:pt idx="767">
                  <c:v>432.58800000000002</c:v>
                </c:pt>
                <c:pt idx="768">
                  <c:v>433.15199999999999</c:v>
                </c:pt>
                <c:pt idx="769">
                  <c:v>433.71600000000001</c:v>
                </c:pt>
                <c:pt idx="770">
                  <c:v>434.28</c:v>
                </c:pt>
                <c:pt idx="771">
                  <c:v>434.84399999999999</c:v>
                </c:pt>
                <c:pt idx="772">
                  <c:v>435.40800000000002</c:v>
                </c:pt>
                <c:pt idx="773">
                  <c:v>435.97199999999998</c:v>
                </c:pt>
                <c:pt idx="774">
                  <c:v>436.536</c:v>
                </c:pt>
                <c:pt idx="775">
                  <c:v>437.1</c:v>
                </c:pt>
                <c:pt idx="776">
                  <c:v>437.66399999999999</c:v>
                </c:pt>
                <c:pt idx="777">
                  <c:v>438.22800000000001</c:v>
                </c:pt>
                <c:pt idx="778">
                  <c:v>438.79199999999997</c:v>
                </c:pt>
                <c:pt idx="779">
                  <c:v>439.35599999999999</c:v>
                </c:pt>
                <c:pt idx="780">
                  <c:v>439.92</c:v>
                </c:pt>
                <c:pt idx="781">
                  <c:v>440.48399999999998</c:v>
                </c:pt>
                <c:pt idx="782">
                  <c:v>441.048</c:v>
                </c:pt>
                <c:pt idx="783">
                  <c:v>441.61200000000002</c:v>
                </c:pt>
                <c:pt idx="784">
                  <c:v>442.17599999999999</c:v>
                </c:pt>
                <c:pt idx="785">
                  <c:v>442.74</c:v>
                </c:pt>
                <c:pt idx="786">
                  <c:v>443.30399999999997</c:v>
                </c:pt>
                <c:pt idx="787">
                  <c:v>443.86799999999999</c:v>
                </c:pt>
                <c:pt idx="788">
                  <c:v>444.43200000000002</c:v>
                </c:pt>
                <c:pt idx="789">
                  <c:v>444.99599999999998</c:v>
                </c:pt>
                <c:pt idx="790">
                  <c:v>445.56</c:v>
                </c:pt>
                <c:pt idx="791">
                  <c:v>446.12400000000002</c:v>
                </c:pt>
                <c:pt idx="792">
                  <c:v>446.68799999999999</c:v>
                </c:pt>
                <c:pt idx="793">
                  <c:v>447.25200000000001</c:v>
                </c:pt>
                <c:pt idx="794">
                  <c:v>447.81599999999997</c:v>
                </c:pt>
                <c:pt idx="795">
                  <c:v>448.38</c:v>
                </c:pt>
                <c:pt idx="796">
                  <c:v>448.94400000000002</c:v>
                </c:pt>
                <c:pt idx="797">
                  <c:v>449.50799999999998</c:v>
                </c:pt>
                <c:pt idx="798">
                  <c:v>450.072</c:v>
                </c:pt>
                <c:pt idx="799">
                  <c:v>450.63600000000002</c:v>
                </c:pt>
                <c:pt idx="800">
                  <c:v>451.2</c:v>
                </c:pt>
                <c:pt idx="801">
                  <c:v>451.76400000000001</c:v>
                </c:pt>
                <c:pt idx="802">
                  <c:v>452.32799999999997</c:v>
                </c:pt>
                <c:pt idx="803">
                  <c:v>452.892</c:v>
                </c:pt>
                <c:pt idx="804">
                  <c:v>453.45600000000002</c:v>
                </c:pt>
                <c:pt idx="805">
                  <c:v>454.02</c:v>
                </c:pt>
                <c:pt idx="806">
                  <c:v>454.584</c:v>
                </c:pt>
                <c:pt idx="807">
                  <c:v>455.14800000000002</c:v>
                </c:pt>
                <c:pt idx="808">
                  <c:v>455.71199999999999</c:v>
                </c:pt>
                <c:pt idx="809">
                  <c:v>456.27600000000001</c:v>
                </c:pt>
                <c:pt idx="810">
                  <c:v>456.84</c:v>
                </c:pt>
                <c:pt idx="811">
                  <c:v>457.404</c:v>
                </c:pt>
                <c:pt idx="812">
                  <c:v>457.96800000000002</c:v>
                </c:pt>
                <c:pt idx="813">
                  <c:v>458.53199999999998</c:v>
                </c:pt>
                <c:pt idx="814">
                  <c:v>459.096</c:v>
                </c:pt>
                <c:pt idx="815">
                  <c:v>459.66</c:v>
                </c:pt>
                <c:pt idx="816">
                  <c:v>460.22399999999999</c:v>
                </c:pt>
                <c:pt idx="817">
                  <c:v>460.78800000000001</c:v>
                </c:pt>
                <c:pt idx="818">
                  <c:v>461.35199999999998</c:v>
                </c:pt>
                <c:pt idx="819">
                  <c:v>461.916</c:v>
                </c:pt>
                <c:pt idx="820">
                  <c:v>462.48</c:v>
                </c:pt>
                <c:pt idx="821">
                  <c:v>463.04399999999998</c:v>
                </c:pt>
                <c:pt idx="822">
                  <c:v>463.608</c:v>
                </c:pt>
                <c:pt idx="823">
                  <c:v>464.17200000000003</c:v>
                </c:pt>
                <c:pt idx="824">
                  <c:v>464.73599999999999</c:v>
                </c:pt>
                <c:pt idx="825">
                  <c:v>465.3</c:v>
                </c:pt>
                <c:pt idx="826">
                  <c:v>465.86399999999998</c:v>
                </c:pt>
                <c:pt idx="827">
                  <c:v>466.428</c:v>
                </c:pt>
                <c:pt idx="828">
                  <c:v>466.99200000000002</c:v>
                </c:pt>
                <c:pt idx="829">
                  <c:v>467.55599999999998</c:v>
                </c:pt>
                <c:pt idx="830">
                  <c:v>468.12</c:v>
                </c:pt>
                <c:pt idx="831">
                  <c:v>468.68400000000003</c:v>
                </c:pt>
                <c:pt idx="832">
                  <c:v>469.24799999999999</c:v>
                </c:pt>
                <c:pt idx="833">
                  <c:v>469.81200000000001</c:v>
                </c:pt>
                <c:pt idx="834">
                  <c:v>470.37599999999998</c:v>
                </c:pt>
                <c:pt idx="835">
                  <c:v>470.94</c:v>
                </c:pt>
                <c:pt idx="836">
                  <c:v>471.50400000000002</c:v>
                </c:pt>
                <c:pt idx="837">
                  <c:v>472.06799999999998</c:v>
                </c:pt>
                <c:pt idx="838">
                  <c:v>472.63200000000001</c:v>
                </c:pt>
                <c:pt idx="839">
                  <c:v>473.19600000000003</c:v>
                </c:pt>
                <c:pt idx="840">
                  <c:v>473.76</c:v>
                </c:pt>
                <c:pt idx="841">
                  <c:v>474.32400000000001</c:v>
                </c:pt>
                <c:pt idx="842">
                  <c:v>474.88799999999998</c:v>
                </c:pt>
                <c:pt idx="843">
                  <c:v>475.452</c:v>
                </c:pt>
                <c:pt idx="844">
                  <c:v>476.01600000000002</c:v>
                </c:pt>
                <c:pt idx="845">
                  <c:v>476.58</c:v>
                </c:pt>
                <c:pt idx="846">
                  <c:v>477.14400000000001</c:v>
                </c:pt>
                <c:pt idx="847">
                  <c:v>477.70800000000003</c:v>
                </c:pt>
                <c:pt idx="848">
                  <c:v>478.27199999999999</c:v>
                </c:pt>
                <c:pt idx="849">
                  <c:v>478.83600000000001</c:v>
                </c:pt>
                <c:pt idx="850">
                  <c:v>479.4</c:v>
                </c:pt>
                <c:pt idx="851">
                  <c:v>479.964</c:v>
                </c:pt>
                <c:pt idx="852">
                  <c:v>480.52800000000002</c:v>
                </c:pt>
                <c:pt idx="853">
                  <c:v>481.09199999999998</c:v>
                </c:pt>
                <c:pt idx="854">
                  <c:v>481.65600000000001</c:v>
                </c:pt>
                <c:pt idx="855">
                  <c:v>482.22</c:v>
                </c:pt>
                <c:pt idx="856">
                  <c:v>482.78399999999999</c:v>
                </c:pt>
                <c:pt idx="857">
                  <c:v>483.34800000000001</c:v>
                </c:pt>
                <c:pt idx="858">
                  <c:v>483.91199999999998</c:v>
                </c:pt>
                <c:pt idx="859">
                  <c:v>484.476</c:v>
                </c:pt>
                <c:pt idx="860">
                  <c:v>485.04</c:v>
                </c:pt>
                <c:pt idx="861">
                  <c:v>485.60399999999998</c:v>
                </c:pt>
                <c:pt idx="862">
                  <c:v>486.16800000000001</c:v>
                </c:pt>
                <c:pt idx="863">
                  <c:v>486.73200000000003</c:v>
                </c:pt>
                <c:pt idx="864">
                  <c:v>487.29599999999999</c:v>
                </c:pt>
                <c:pt idx="865">
                  <c:v>487.86</c:v>
                </c:pt>
                <c:pt idx="866">
                  <c:v>488.42399999999998</c:v>
                </c:pt>
                <c:pt idx="867">
                  <c:v>488.988</c:v>
                </c:pt>
                <c:pt idx="868">
                  <c:v>489.55200000000002</c:v>
                </c:pt>
                <c:pt idx="869">
                  <c:v>490.11599999999999</c:v>
                </c:pt>
                <c:pt idx="870">
                  <c:v>490.68</c:v>
                </c:pt>
                <c:pt idx="871">
                  <c:v>491.24400000000003</c:v>
                </c:pt>
                <c:pt idx="872">
                  <c:v>491.80799999999999</c:v>
                </c:pt>
                <c:pt idx="873">
                  <c:v>492.37200000000001</c:v>
                </c:pt>
                <c:pt idx="874">
                  <c:v>492.93599999999998</c:v>
                </c:pt>
                <c:pt idx="875">
                  <c:v>493.5</c:v>
                </c:pt>
                <c:pt idx="876">
                  <c:v>494.06400000000002</c:v>
                </c:pt>
                <c:pt idx="877">
                  <c:v>494.62799999999999</c:v>
                </c:pt>
                <c:pt idx="878">
                  <c:v>495.19200000000001</c:v>
                </c:pt>
                <c:pt idx="879">
                  <c:v>495.75599999999997</c:v>
                </c:pt>
                <c:pt idx="880">
                  <c:v>496.32</c:v>
                </c:pt>
                <c:pt idx="881">
                  <c:v>496.88400000000001</c:v>
                </c:pt>
                <c:pt idx="882">
                  <c:v>497.44799999999998</c:v>
                </c:pt>
                <c:pt idx="883">
                  <c:v>498.012</c:v>
                </c:pt>
                <c:pt idx="884">
                  <c:v>498.57600000000002</c:v>
                </c:pt>
                <c:pt idx="885">
                  <c:v>499.14</c:v>
                </c:pt>
                <c:pt idx="886">
                  <c:v>499.70400000000001</c:v>
                </c:pt>
                <c:pt idx="887">
                  <c:v>500.26799999999997</c:v>
                </c:pt>
                <c:pt idx="888">
                  <c:v>500.83199999999999</c:v>
                </c:pt>
                <c:pt idx="889">
                  <c:v>501.39600000000002</c:v>
                </c:pt>
                <c:pt idx="890">
                  <c:v>501.96</c:v>
                </c:pt>
                <c:pt idx="891">
                  <c:v>502.524</c:v>
                </c:pt>
                <c:pt idx="892">
                  <c:v>503.08800000000002</c:v>
                </c:pt>
                <c:pt idx="893">
                  <c:v>503.65199999999999</c:v>
                </c:pt>
                <c:pt idx="894">
                  <c:v>504.21600000000001</c:v>
                </c:pt>
                <c:pt idx="895">
                  <c:v>504.78</c:v>
                </c:pt>
                <c:pt idx="896">
                  <c:v>505.34399999999999</c:v>
                </c:pt>
                <c:pt idx="897">
                  <c:v>505.90800000000002</c:v>
                </c:pt>
                <c:pt idx="898">
                  <c:v>506.47199999999998</c:v>
                </c:pt>
                <c:pt idx="899">
                  <c:v>507.036</c:v>
                </c:pt>
                <c:pt idx="900">
                  <c:v>507.6</c:v>
                </c:pt>
                <c:pt idx="901">
                  <c:v>508.16399999999999</c:v>
                </c:pt>
                <c:pt idx="902">
                  <c:v>508.72800000000001</c:v>
                </c:pt>
                <c:pt idx="903">
                  <c:v>509.29199999999997</c:v>
                </c:pt>
                <c:pt idx="904">
                  <c:v>509.85599999999999</c:v>
                </c:pt>
                <c:pt idx="905">
                  <c:v>510.42</c:v>
                </c:pt>
                <c:pt idx="906">
                  <c:v>510.98399999999998</c:v>
                </c:pt>
                <c:pt idx="907">
                  <c:v>511.548</c:v>
                </c:pt>
                <c:pt idx="908">
                  <c:v>512.11199999999997</c:v>
                </c:pt>
                <c:pt idx="909">
                  <c:v>512.67600000000004</c:v>
                </c:pt>
                <c:pt idx="910">
                  <c:v>513.24</c:v>
                </c:pt>
                <c:pt idx="911">
                  <c:v>513.80399999999997</c:v>
                </c:pt>
                <c:pt idx="912">
                  <c:v>514.36800000000005</c:v>
                </c:pt>
                <c:pt idx="913">
                  <c:v>514.93200000000002</c:v>
                </c:pt>
                <c:pt idx="914">
                  <c:v>515.49599999999998</c:v>
                </c:pt>
                <c:pt idx="915">
                  <c:v>516.05999999999995</c:v>
                </c:pt>
                <c:pt idx="916">
                  <c:v>516.62400000000002</c:v>
                </c:pt>
                <c:pt idx="917">
                  <c:v>517.18799999999999</c:v>
                </c:pt>
                <c:pt idx="918">
                  <c:v>517.75199999999995</c:v>
                </c:pt>
                <c:pt idx="919">
                  <c:v>518.31600000000003</c:v>
                </c:pt>
                <c:pt idx="920">
                  <c:v>518.88</c:v>
                </c:pt>
                <c:pt idx="921">
                  <c:v>519.44399999999996</c:v>
                </c:pt>
                <c:pt idx="922">
                  <c:v>520.00800000000004</c:v>
                </c:pt>
                <c:pt idx="923">
                  <c:v>520.572</c:v>
                </c:pt>
                <c:pt idx="924">
                  <c:v>521.13599999999997</c:v>
                </c:pt>
                <c:pt idx="925">
                  <c:v>521.70000000000005</c:v>
                </c:pt>
                <c:pt idx="926">
                  <c:v>522.26400000000001</c:v>
                </c:pt>
                <c:pt idx="927">
                  <c:v>522.82799999999997</c:v>
                </c:pt>
                <c:pt idx="928">
                  <c:v>523.39200000000005</c:v>
                </c:pt>
                <c:pt idx="929">
                  <c:v>523.95600000000002</c:v>
                </c:pt>
                <c:pt idx="930">
                  <c:v>524.52</c:v>
                </c:pt>
                <c:pt idx="931">
                  <c:v>525.08399999999995</c:v>
                </c:pt>
                <c:pt idx="932">
                  <c:v>525.64800000000002</c:v>
                </c:pt>
                <c:pt idx="933">
                  <c:v>526.21199999999999</c:v>
                </c:pt>
                <c:pt idx="934">
                  <c:v>526.77599999999995</c:v>
                </c:pt>
                <c:pt idx="935">
                  <c:v>527.34</c:v>
                </c:pt>
                <c:pt idx="936">
                  <c:v>527.904</c:v>
                </c:pt>
                <c:pt idx="937">
                  <c:v>528.46799999999996</c:v>
                </c:pt>
                <c:pt idx="938">
                  <c:v>529.03200000000004</c:v>
                </c:pt>
                <c:pt idx="939">
                  <c:v>529.596</c:v>
                </c:pt>
                <c:pt idx="940">
                  <c:v>530.16</c:v>
                </c:pt>
                <c:pt idx="941">
                  <c:v>530.72400000000005</c:v>
                </c:pt>
                <c:pt idx="942">
                  <c:v>531.28800000000001</c:v>
                </c:pt>
                <c:pt idx="943">
                  <c:v>531.85199999999998</c:v>
                </c:pt>
                <c:pt idx="944">
                  <c:v>532.41600000000005</c:v>
                </c:pt>
                <c:pt idx="945">
                  <c:v>532.98</c:v>
                </c:pt>
                <c:pt idx="946">
                  <c:v>533.54399999999998</c:v>
                </c:pt>
                <c:pt idx="947">
                  <c:v>534.10799999999995</c:v>
                </c:pt>
              </c:numCache>
            </c:numRef>
          </c:xVal>
          <c:yVal>
            <c:numRef>
              <c:f>'Part 3 Data'!$H$3:$H$1919</c:f>
              <c:numCache>
                <c:formatCode>0.00</c:formatCode>
                <c:ptCount val="1917"/>
                <c:pt idx="0">
                  <c:v>-4.1779842934738434E-3</c:v>
                </c:pt>
                <c:pt idx="1">
                  <c:v>-5.2927791514216262E-3</c:v>
                </c:pt>
                <c:pt idx="2">
                  <c:v>-6.3396149410421404E-3</c:v>
                </c:pt>
                <c:pt idx="3">
                  <c:v>-7.5412181450978137E-3</c:v>
                </c:pt>
                <c:pt idx="4">
                  <c:v>-8.708464376149758E-3</c:v>
                </c:pt>
                <c:pt idx="5">
                  <c:v>-9.5018210915153445E-3</c:v>
                </c:pt>
                <c:pt idx="6">
                  <c:v>-1.0473063086409893E-2</c:v>
                </c:pt>
                <c:pt idx="7">
                  <c:v>-1.1676057192860863E-2</c:v>
                </c:pt>
                <c:pt idx="8">
                  <c:v>-1.2576707494853392E-2</c:v>
                </c:pt>
                <c:pt idx="9">
                  <c:v>-1.3771066076098012E-2</c:v>
                </c:pt>
                <c:pt idx="10">
                  <c:v>-1.4588259633005416E-2</c:v>
                </c:pt>
                <c:pt idx="11">
                  <c:v>-1.5663030838851E-2</c:v>
                </c:pt>
                <c:pt idx="12">
                  <c:v>-1.6690476737261022E-2</c:v>
                </c:pt>
                <c:pt idx="13">
                  <c:v>-1.7467780634282611E-2</c:v>
                </c:pt>
                <c:pt idx="14">
                  <c:v>-1.8621207495593161E-2</c:v>
                </c:pt>
                <c:pt idx="15">
                  <c:v>-1.9428882809525684E-2</c:v>
                </c:pt>
                <c:pt idx="16">
                  <c:v>-2.0190376355974666E-2</c:v>
                </c:pt>
                <c:pt idx="17">
                  <c:v>-2.1249449407955555E-2</c:v>
                </c:pt>
                <c:pt idx="18">
                  <c:v>-2.1814155154735008E-2</c:v>
                </c:pt>
                <c:pt idx="19">
                  <c:v>-2.2490589613252614E-2</c:v>
                </c:pt>
                <c:pt idx="20">
                  <c:v>-2.3483860910932963E-2</c:v>
                </c:pt>
                <c:pt idx="21">
                  <c:v>-2.415797786562849E-2</c:v>
                </c:pt>
                <c:pt idx="22">
                  <c:v>-2.4700057924232011E-2</c:v>
                </c:pt>
                <c:pt idx="23">
                  <c:v>-2.5662112766319172E-2</c:v>
                </c:pt>
                <c:pt idx="24">
                  <c:v>-2.6419202382160334E-2</c:v>
                </c:pt>
                <c:pt idx="25">
                  <c:v>-2.7164670014709631E-2</c:v>
                </c:pt>
                <c:pt idx="26">
                  <c:v>-2.7859152267909058E-2</c:v>
                </c:pt>
                <c:pt idx="27">
                  <c:v>-2.8676315972261911E-2</c:v>
                </c:pt>
                <c:pt idx="28">
                  <c:v>-2.9417400262480353E-2</c:v>
                </c:pt>
                <c:pt idx="29">
                  <c:v>-3.0020907841846172E-2</c:v>
                </c:pt>
                <c:pt idx="30">
                  <c:v>-3.0710188216450756E-2</c:v>
                </c:pt>
                <c:pt idx="31">
                  <c:v>-3.1477131417016233E-2</c:v>
                </c:pt>
                <c:pt idx="32">
                  <c:v>-3.2051443483630621E-2</c:v>
                </c:pt>
                <c:pt idx="33">
                  <c:v>-3.2687375714658302E-2</c:v>
                </c:pt>
                <c:pt idx="34">
                  <c:v>-3.3278912755480998E-2</c:v>
                </c:pt>
                <c:pt idx="35">
                  <c:v>-3.3849030697605274E-2</c:v>
                </c:pt>
                <c:pt idx="36">
                  <c:v>-3.4421617568622873E-2</c:v>
                </c:pt>
                <c:pt idx="37">
                  <c:v>-3.4898559924797644E-2</c:v>
                </c:pt>
                <c:pt idx="38">
                  <c:v>-3.5357926278432344E-2</c:v>
                </c:pt>
                <c:pt idx="39">
                  <c:v>-3.6030747979591812E-2</c:v>
                </c:pt>
                <c:pt idx="40">
                  <c:v>-3.6593099976367616E-2</c:v>
                </c:pt>
                <c:pt idx="41">
                  <c:v>-3.7036097205463712E-2</c:v>
                </c:pt>
                <c:pt idx="42">
                  <c:v>-3.7533982089310573E-2</c:v>
                </c:pt>
                <c:pt idx="43">
                  <c:v>-3.7993657151464785E-2</c:v>
                </c:pt>
                <c:pt idx="44">
                  <c:v>-3.8555470706585659E-2</c:v>
                </c:pt>
                <c:pt idx="45">
                  <c:v>-3.9062710503677926E-2</c:v>
                </c:pt>
                <c:pt idx="46">
                  <c:v>-3.9459051315241606E-2</c:v>
                </c:pt>
                <c:pt idx="47">
                  <c:v>-4.0062859208823326E-2</c:v>
                </c:pt>
                <c:pt idx="48">
                  <c:v>-4.0596383302148285E-2</c:v>
                </c:pt>
                <c:pt idx="49">
                  <c:v>-4.1158368312824802E-2</c:v>
                </c:pt>
                <c:pt idx="50">
                  <c:v>-4.1681980944892658E-2</c:v>
                </c:pt>
                <c:pt idx="51">
                  <c:v>-4.2149408956169775E-2</c:v>
                </c:pt>
                <c:pt idx="52">
                  <c:v>-4.2722348515904868E-2</c:v>
                </c:pt>
                <c:pt idx="53">
                  <c:v>-4.331190560471395E-2</c:v>
                </c:pt>
                <c:pt idx="54">
                  <c:v>-4.3797134044000464E-2</c:v>
                </c:pt>
                <c:pt idx="55">
                  <c:v>-4.4312750728529755E-2</c:v>
                </c:pt>
                <c:pt idx="56">
                  <c:v>-4.4679948193600542E-2</c:v>
                </c:pt>
                <c:pt idx="57">
                  <c:v>-4.5344141212202177E-2</c:v>
                </c:pt>
                <c:pt idx="58">
                  <c:v>-4.5827335697254078E-2</c:v>
                </c:pt>
                <c:pt idx="59">
                  <c:v>-4.6394100628470283E-2</c:v>
                </c:pt>
                <c:pt idx="60">
                  <c:v>-4.6858548796100935E-2</c:v>
                </c:pt>
                <c:pt idx="61">
                  <c:v>-4.7689797890790774E-2</c:v>
                </c:pt>
                <c:pt idx="62">
                  <c:v>-4.7902258753459312E-2</c:v>
                </c:pt>
                <c:pt idx="63">
                  <c:v>-4.8343446033946073E-2</c:v>
                </c:pt>
                <c:pt idx="64">
                  <c:v>-4.8909530807559963E-2</c:v>
                </c:pt>
                <c:pt idx="65">
                  <c:v>-4.95317901902083E-2</c:v>
                </c:pt>
                <c:pt idx="66">
                  <c:v>-5.015278691041003E-2</c:v>
                </c:pt>
                <c:pt idx="67">
                  <c:v>-5.0713961979865455E-2</c:v>
                </c:pt>
                <c:pt idx="68">
                  <c:v>-5.1353538552279886E-2</c:v>
                </c:pt>
                <c:pt idx="69">
                  <c:v>-5.1795601231163634E-2</c:v>
                </c:pt>
                <c:pt idx="70">
                  <c:v>-5.2292376544922255E-2</c:v>
                </c:pt>
                <c:pt idx="71">
                  <c:v>-5.2787527345880644E-2</c:v>
                </c:pt>
                <c:pt idx="72">
                  <c:v>-5.3219325764587107E-2</c:v>
                </c:pt>
                <c:pt idx="73">
                  <c:v>-5.3688703055151762E-2</c:v>
                </c:pt>
                <c:pt idx="74">
                  <c:v>-5.4164738641675689E-2</c:v>
                </c:pt>
                <c:pt idx="75">
                  <c:v>-5.4746541295522387E-2</c:v>
                </c:pt>
                <c:pt idx="76">
                  <c:v>-5.5252736342459911E-2</c:v>
                </c:pt>
                <c:pt idx="77">
                  <c:v>-5.5703115734671543E-2</c:v>
                </c:pt>
                <c:pt idx="78">
                  <c:v>-5.6405167533045898E-2</c:v>
                </c:pt>
                <c:pt idx="79">
                  <c:v>-5.6813931844339E-2</c:v>
                </c:pt>
                <c:pt idx="80">
                  <c:v>-5.7402451652230568E-2</c:v>
                </c:pt>
                <c:pt idx="81">
                  <c:v>-5.8057092240994063E-2</c:v>
                </c:pt>
                <c:pt idx="82">
                  <c:v>-5.8264075131083851E-2</c:v>
                </c:pt>
                <c:pt idx="83">
                  <c:v>-5.8974177961344659E-2</c:v>
                </c:pt>
                <c:pt idx="84">
                  <c:v>-5.9437819214430393E-2</c:v>
                </c:pt>
                <c:pt idx="85">
                  <c:v>-6.0057847526408636E-2</c:v>
                </c:pt>
                <c:pt idx="86">
                  <c:v>-6.0429642955402117E-2</c:v>
                </c:pt>
                <c:pt idx="87">
                  <c:v>-6.095418508252335E-2</c:v>
                </c:pt>
                <c:pt idx="88">
                  <c:v>-6.1577716763423003E-2</c:v>
                </c:pt>
                <c:pt idx="89">
                  <c:v>-6.2033216256598016E-2</c:v>
                </c:pt>
                <c:pt idx="90">
                  <c:v>-6.2618949500173757E-2</c:v>
                </c:pt>
                <c:pt idx="91">
                  <c:v>-6.3137036072702879E-2</c:v>
                </c:pt>
                <c:pt idx="92">
                  <c:v>-6.3586095901412884E-2</c:v>
                </c:pt>
                <c:pt idx="93">
                  <c:v>-6.4131127556539422E-2</c:v>
                </c:pt>
                <c:pt idx="94">
                  <c:v>-6.4802637654717346E-2</c:v>
                </c:pt>
                <c:pt idx="95">
                  <c:v>-6.5260893121823899E-2</c:v>
                </c:pt>
                <c:pt idx="96">
                  <c:v>-6.5878616749649538E-2</c:v>
                </c:pt>
                <c:pt idx="97">
                  <c:v>-6.6402403573510571E-2</c:v>
                </c:pt>
                <c:pt idx="98">
                  <c:v>-6.6919944808629048E-2</c:v>
                </c:pt>
                <c:pt idx="99">
                  <c:v>-6.750310149535238E-2</c:v>
                </c:pt>
                <c:pt idx="100">
                  <c:v>-6.7956250351042941E-2</c:v>
                </c:pt>
                <c:pt idx="101">
                  <c:v>-6.8504471498579675E-2</c:v>
                </c:pt>
                <c:pt idx="102">
                  <c:v>-6.9155978791207107E-2</c:v>
                </c:pt>
                <c:pt idx="103">
                  <c:v>-6.9552953332020592E-2</c:v>
                </c:pt>
                <c:pt idx="104">
                  <c:v>-7.006307765668375E-2</c:v>
                </c:pt>
                <c:pt idx="105">
                  <c:v>-7.0478303535166847E-2</c:v>
                </c:pt>
                <c:pt idx="106">
                  <c:v>-7.1170867511163083E-2</c:v>
                </c:pt>
                <c:pt idx="107">
                  <c:v>-7.1665144545516854E-2</c:v>
                </c:pt>
                <c:pt idx="108">
                  <c:v>-7.2224226363960184E-2</c:v>
                </c:pt>
                <c:pt idx="109">
                  <c:v>-7.2840953347718229E-2</c:v>
                </c:pt>
                <c:pt idx="110">
                  <c:v>-7.3562433076830802E-2</c:v>
                </c:pt>
                <c:pt idx="111">
                  <c:v>-7.3914486917255065E-2</c:v>
                </c:pt>
                <c:pt idx="112">
                  <c:v>-7.4484308447858694E-2</c:v>
                </c:pt>
                <c:pt idx="113">
                  <c:v>-7.5028425410015073E-2</c:v>
                </c:pt>
                <c:pt idx="114">
                  <c:v>-7.5685621964203503E-2</c:v>
                </c:pt>
                <c:pt idx="115">
                  <c:v>-7.6127708475263303E-2</c:v>
                </c:pt>
                <c:pt idx="116">
                  <c:v>-7.6639155836833034E-2</c:v>
                </c:pt>
                <c:pt idx="117">
                  <c:v>-7.7119015754201367E-2</c:v>
                </c:pt>
                <c:pt idx="118">
                  <c:v>-7.7715243292988775E-2</c:v>
                </c:pt>
                <c:pt idx="119">
                  <c:v>-7.8208479008591056E-2</c:v>
                </c:pt>
                <c:pt idx="120">
                  <c:v>-7.8681817327677442E-2</c:v>
                </c:pt>
                <c:pt idx="121">
                  <c:v>-7.9032315401583966E-2</c:v>
                </c:pt>
                <c:pt idx="122">
                  <c:v>-7.9574871962870289E-2</c:v>
                </c:pt>
                <c:pt idx="123">
                  <c:v>-7.9973559121883281E-2</c:v>
                </c:pt>
                <c:pt idx="124">
                  <c:v>-8.0634406243535794E-2</c:v>
                </c:pt>
                <c:pt idx="125">
                  <c:v>-8.1190944777935092E-2</c:v>
                </c:pt>
                <c:pt idx="126">
                  <c:v>-8.1566729934090643E-2</c:v>
                </c:pt>
                <c:pt idx="127">
                  <c:v>-8.209618102768379E-2</c:v>
                </c:pt>
                <c:pt idx="128">
                  <c:v>-8.2632522651058304E-2</c:v>
                </c:pt>
                <c:pt idx="129">
                  <c:v>-8.3103496867064752E-2</c:v>
                </c:pt>
                <c:pt idx="130">
                  <c:v>-8.3597349886108799E-2</c:v>
                </c:pt>
                <c:pt idx="131">
                  <c:v>-8.4006538598432365E-2</c:v>
                </c:pt>
                <c:pt idx="132">
                  <c:v>-8.4560708534812651E-2</c:v>
                </c:pt>
                <c:pt idx="133">
                  <c:v>-8.508076388289422E-2</c:v>
                </c:pt>
                <c:pt idx="134">
                  <c:v>-8.546200042912723E-2</c:v>
                </c:pt>
                <c:pt idx="135">
                  <c:v>-8.5925766547311294E-2</c:v>
                </c:pt>
                <c:pt idx="136">
                  <c:v>-8.6475245193514655E-2</c:v>
                </c:pt>
                <c:pt idx="137">
                  <c:v>-8.7101317039767201E-2</c:v>
                </c:pt>
                <c:pt idx="138">
                  <c:v>-8.7335794599796873E-2</c:v>
                </c:pt>
                <c:pt idx="139">
                  <c:v>-8.7978586223020877E-2</c:v>
                </c:pt>
                <c:pt idx="140">
                  <c:v>-8.8510606433913883E-2</c:v>
                </c:pt>
                <c:pt idx="141">
                  <c:v>-8.9048578911666801E-2</c:v>
                </c:pt>
                <c:pt idx="142">
                  <c:v>-8.9589701256752863E-2</c:v>
                </c:pt>
                <c:pt idx="143">
                  <c:v>-9.0198563627867642E-2</c:v>
                </c:pt>
                <c:pt idx="144">
                  <c:v>-9.0575378402572557E-2</c:v>
                </c:pt>
                <c:pt idx="145">
                  <c:v>-9.1229173705017041E-2</c:v>
                </c:pt>
                <c:pt idx="146">
                  <c:v>-9.1884740663704861E-2</c:v>
                </c:pt>
                <c:pt idx="147">
                  <c:v>-9.2151331727979735E-2</c:v>
                </c:pt>
                <c:pt idx="148">
                  <c:v>-9.2884982896979662E-2</c:v>
                </c:pt>
                <c:pt idx="149">
                  <c:v>-9.3269750611806507E-2</c:v>
                </c:pt>
                <c:pt idx="150">
                  <c:v>-9.3857321695355697E-2</c:v>
                </c:pt>
                <c:pt idx="151">
                  <c:v>-9.4385673538706666E-2</c:v>
                </c:pt>
                <c:pt idx="152">
                  <c:v>-9.5002066810629157E-2</c:v>
                </c:pt>
                <c:pt idx="153">
                  <c:v>-9.5568090711471945E-2</c:v>
                </c:pt>
                <c:pt idx="154">
                  <c:v>-9.6069987554493377E-2</c:v>
                </c:pt>
                <c:pt idx="155">
                  <c:v>-9.6488868626519869E-2</c:v>
                </c:pt>
                <c:pt idx="156">
                  <c:v>-9.706895421785551E-2</c:v>
                </c:pt>
                <c:pt idx="157">
                  <c:v>-9.7477105512030524E-2</c:v>
                </c:pt>
                <c:pt idx="158">
                  <c:v>-9.7882133041604355E-2</c:v>
                </c:pt>
                <c:pt idx="159">
                  <c:v>-9.8544752068179239E-2</c:v>
                </c:pt>
                <c:pt idx="160">
                  <c:v>-9.9026269684010598E-2</c:v>
                </c:pt>
                <c:pt idx="161">
                  <c:v>-9.9502982222670885E-2</c:v>
                </c:pt>
                <c:pt idx="162">
                  <c:v>-0.10015547467604753</c:v>
                </c:pt>
                <c:pt idx="163">
                  <c:v>-0.10050781696056117</c:v>
                </c:pt>
                <c:pt idx="164">
                  <c:v>-0.10106825166235792</c:v>
                </c:pt>
                <c:pt idx="165">
                  <c:v>-0.10161116936373382</c:v>
                </c:pt>
                <c:pt idx="166">
                  <c:v>-0.10206898354465063</c:v>
                </c:pt>
                <c:pt idx="167">
                  <c:v>-0.10258884690873914</c:v>
                </c:pt>
                <c:pt idx="168">
                  <c:v>-0.10312970448012165</c:v>
                </c:pt>
                <c:pt idx="169">
                  <c:v>-0.1034480865598669</c:v>
                </c:pt>
                <c:pt idx="170">
                  <c:v>-0.10406197143310494</c:v>
                </c:pt>
                <c:pt idx="171">
                  <c:v>-0.10462407579221147</c:v>
                </c:pt>
                <c:pt idx="172">
                  <c:v>-0.1049774912779521</c:v>
                </c:pt>
                <c:pt idx="173">
                  <c:v>-0.10558361873537979</c:v>
                </c:pt>
                <c:pt idx="174">
                  <c:v>-0.10600422075832337</c:v>
                </c:pt>
                <c:pt idx="175">
                  <c:v>-0.10649742501068983</c:v>
                </c:pt>
                <c:pt idx="176">
                  <c:v>-0.10715305829296069</c:v>
                </c:pt>
                <c:pt idx="177">
                  <c:v>-0.10752912683979379</c:v>
                </c:pt>
                <c:pt idx="178">
                  <c:v>-0.10801716254362635</c:v>
                </c:pt>
                <c:pt idx="179">
                  <c:v>-0.10849670721437729</c:v>
                </c:pt>
                <c:pt idx="180">
                  <c:v>-0.1090579787795721</c:v>
                </c:pt>
                <c:pt idx="181">
                  <c:v>-0.1096434478888736</c:v>
                </c:pt>
                <c:pt idx="182">
                  <c:v>-0.1100688897101459</c:v>
                </c:pt>
                <c:pt idx="183">
                  <c:v>-0.11065454468841245</c:v>
                </c:pt>
                <c:pt idx="184">
                  <c:v>-0.11128381478860407</c:v>
                </c:pt>
                <c:pt idx="185">
                  <c:v>-0.11165756974599499</c:v>
                </c:pt>
                <c:pt idx="186">
                  <c:v>-0.11223932646896109</c:v>
                </c:pt>
                <c:pt idx="187">
                  <c:v>-0.11270354372125393</c:v>
                </c:pt>
                <c:pt idx="188">
                  <c:v>-0.11318943336919801</c:v>
                </c:pt>
                <c:pt idx="189">
                  <c:v>-0.11386449034503757</c:v>
                </c:pt>
                <c:pt idx="190">
                  <c:v>-0.11428212958805065</c:v>
                </c:pt>
                <c:pt idx="191">
                  <c:v>-0.11480225812048947</c:v>
                </c:pt>
                <c:pt idx="192">
                  <c:v>-0.11550582750535225</c:v>
                </c:pt>
                <c:pt idx="193">
                  <c:v>-0.11584065580179093</c:v>
                </c:pt>
                <c:pt idx="194">
                  <c:v>-0.11635864776978928</c:v>
                </c:pt>
                <c:pt idx="195">
                  <c:v>-0.1168542667946975</c:v>
                </c:pt>
                <c:pt idx="196">
                  <c:v>-0.11749838471298904</c:v>
                </c:pt>
                <c:pt idx="197">
                  <c:v>-0.11802895046785167</c:v>
                </c:pt>
                <c:pt idx="198">
                  <c:v>-0.11853568944603952</c:v>
                </c:pt>
                <c:pt idx="199">
                  <c:v>-0.11915900760201278</c:v>
                </c:pt>
                <c:pt idx="200">
                  <c:v>-0.11964286306922099</c:v>
                </c:pt>
                <c:pt idx="201">
                  <c:v>-0.12035509000006991</c:v>
                </c:pt>
                <c:pt idx="202">
                  <c:v>-0.12069509624237836</c:v>
                </c:pt>
                <c:pt idx="203">
                  <c:v>-0.12126518545639664</c:v>
                </c:pt>
                <c:pt idx="204">
                  <c:v>-0.12191479509422087</c:v>
                </c:pt>
                <c:pt idx="205">
                  <c:v>-0.12236250561361108</c:v>
                </c:pt>
                <c:pt idx="206">
                  <c:v>-0.12289278602812155</c:v>
                </c:pt>
                <c:pt idx="207">
                  <c:v>-0.12329136181886469</c:v>
                </c:pt>
                <c:pt idx="208">
                  <c:v>-0.12381241235636116</c:v>
                </c:pt>
                <c:pt idx="209">
                  <c:v>-0.12432384472770161</c:v>
                </c:pt>
                <c:pt idx="210">
                  <c:v>-0.12480042432782835</c:v>
                </c:pt>
                <c:pt idx="211">
                  <c:v>-0.12541167135799305</c:v>
                </c:pt>
                <c:pt idx="212">
                  <c:v>-0.12596448199074961</c:v>
                </c:pt>
                <c:pt idx="213">
                  <c:v>-0.12645622455134226</c:v>
                </c:pt>
                <c:pt idx="214">
                  <c:v>-0.12691641610233989</c:v>
                </c:pt>
                <c:pt idx="215">
                  <c:v>-0.12754443865226672</c:v>
                </c:pt>
                <c:pt idx="216">
                  <c:v>-0.12807886438864632</c:v>
                </c:pt>
                <c:pt idx="217">
                  <c:v>-0.12858183765182579</c:v>
                </c:pt>
                <c:pt idx="218">
                  <c:v>-0.12916779200527284</c:v>
                </c:pt>
                <c:pt idx="219">
                  <c:v>-0.12967222029803219</c:v>
                </c:pt>
                <c:pt idx="220">
                  <c:v>-0.1303400623876958</c:v>
                </c:pt>
                <c:pt idx="221">
                  <c:v>-0.13086281078363696</c:v>
                </c:pt>
                <c:pt idx="222">
                  <c:v>-0.13110327329560981</c:v>
                </c:pt>
                <c:pt idx="223">
                  <c:v>-0.13168084088785426</c:v>
                </c:pt>
                <c:pt idx="224">
                  <c:v>-0.13203384659068559</c:v>
                </c:pt>
                <c:pt idx="225">
                  <c:v>-0.13278786182575969</c:v>
                </c:pt>
                <c:pt idx="226">
                  <c:v>-0.13324827895150737</c:v>
                </c:pt>
                <c:pt idx="227">
                  <c:v>-0.13389955124115469</c:v>
                </c:pt>
                <c:pt idx="228">
                  <c:v>-0.13449574923324173</c:v>
                </c:pt>
                <c:pt idx="229">
                  <c:v>-0.13493632341129963</c:v>
                </c:pt>
                <c:pt idx="230">
                  <c:v>-0.13549033946323522</c:v>
                </c:pt>
                <c:pt idx="231">
                  <c:v>-0.13597148143319024</c:v>
                </c:pt>
                <c:pt idx="232">
                  <c:v>-0.13657035970059622</c:v>
                </c:pt>
                <c:pt idx="233">
                  <c:v>-0.13692135416944198</c:v>
                </c:pt>
                <c:pt idx="234">
                  <c:v>-0.13755496402742151</c:v>
                </c:pt>
                <c:pt idx="235">
                  <c:v>-0.13815058716617462</c:v>
                </c:pt>
                <c:pt idx="236">
                  <c:v>-0.13873395108418604</c:v>
                </c:pt>
                <c:pt idx="237">
                  <c:v>-0.13906376548615215</c:v>
                </c:pt>
                <c:pt idx="238">
                  <c:v>-0.13953246832683341</c:v>
                </c:pt>
                <c:pt idx="239">
                  <c:v>-0.14010697934503669</c:v>
                </c:pt>
                <c:pt idx="240">
                  <c:v>-0.14072735547229304</c:v>
                </c:pt>
                <c:pt idx="241">
                  <c:v>-0.14133938737836713</c:v>
                </c:pt>
                <c:pt idx="242">
                  <c:v>-0.14186261754981133</c:v>
                </c:pt>
                <c:pt idx="243">
                  <c:v>-0.14231272210015389</c:v>
                </c:pt>
                <c:pt idx="244">
                  <c:v>-0.14269956126086844</c:v>
                </c:pt>
                <c:pt idx="245">
                  <c:v>-0.14316055200943026</c:v>
                </c:pt>
                <c:pt idx="246">
                  <c:v>-0.14391578921456069</c:v>
                </c:pt>
                <c:pt idx="247">
                  <c:v>-0.14450301338724381</c:v>
                </c:pt>
                <c:pt idx="248">
                  <c:v>-0.14487809075128216</c:v>
                </c:pt>
                <c:pt idx="249">
                  <c:v>-0.1453919833749128</c:v>
                </c:pt>
                <c:pt idx="250">
                  <c:v>-0.1458776977014718</c:v>
                </c:pt>
                <c:pt idx="251">
                  <c:v>-0.14647957680218388</c:v>
                </c:pt>
                <c:pt idx="252">
                  <c:v>-0.14699550328340225</c:v>
                </c:pt>
                <c:pt idx="253">
                  <c:v>-0.14743063723122579</c:v>
                </c:pt>
                <c:pt idx="254">
                  <c:v>-0.14793309843855623</c:v>
                </c:pt>
                <c:pt idx="255">
                  <c:v>-0.14857024723811516</c:v>
                </c:pt>
                <c:pt idx="256">
                  <c:v>-0.14903384517795895</c:v>
                </c:pt>
                <c:pt idx="257">
                  <c:v>-0.14967952400343174</c:v>
                </c:pt>
                <c:pt idx="258">
                  <c:v>-0.15028834984616929</c:v>
                </c:pt>
                <c:pt idx="259">
                  <c:v>-0.1505585219291955</c:v>
                </c:pt>
                <c:pt idx="260">
                  <c:v>-0.15137922960960892</c:v>
                </c:pt>
                <c:pt idx="261">
                  <c:v>-0.15167900369028006</c:v>
                </c:pt>
                <c:pt idx="262">
                  <c:v>-0.15240299148988792</c:v>
                </c:pt>
                <c:pt idx="263">
                  <c:v>-0.15259713448662379</c:v>
                </c:pt>
                <c:pt idx="264">
                  <c:v>-0.15328826613337396</c:v>
                </c:pt>
                <c:pt idx="265">
                  <c:v>-0.15370638611066878</c:v>
                </c:pt>
                <c:pt idx="266">
                  <c:v>-0.15438596668434851</c:v>
                </c:pt>
                <c:pt idx="267">
                  <c:v>-0.15502494785771467</c:v>
                </c:pt>
                <c:pt idx="268">
                  <c:v>-0.15548323631253869</c:v>
                </c:pt>
                <c:pt idx="269">
                  <c:v>-0.15587283404018537</c:v>
                </c:pt>
                <c:pt idx="270">
                  <c:v>-0.1563774218506549</c:v>
                </c:pt>
                <c:pt idx="271">
                  <c:v>-0.1568020519082316</c:v>
                </c:pt>
                <c:pt idx="272">
                  <c:v>-0.15739675241411852</c:v>
                </c:pt>
                <c:pt idx="273">
                  <c:v>-0.15803083182733393</c:v>
                </c:pt>
                <c:pt idx="274">
                  <c:v>-0.15839891246050625</c:v>
                </c:pt>
                <c:pt idx="275">
                  <c:v>-0.15904286272490387</c:v>
                </c:pt>
                <c:pt idx="276">
                  <c:v>-0.15964002122172308</c:v>
                </c:pt>
                <c:pt idx="277">
                  <c:v>-0.15993824993185379</c:v>
                </c:pt>
                <c:pt idx="278">
                  <c:v>-0.16051616195844265</c:v>
                </c:pt>
                <c:pt idx="279">
                  <c:v>-0.16098118874615744</c:v>
                </c:pt>
                <c:pt idx="280">
                  <c:v>-0.16163604861825834</c:v>
                </c:pt>
                <c:pt idx="281">
                  <c:v>-0.1621612557133125</c:v>
                </c:pt>
                <c:pt idx="282">
                  <c:v>-0.16244013408223781</c:v>
                </c:pt>
                <c:pt idx="283">
                  <c:v>-0.16312451574049613</c:v>
                </c:pt>
                <c:pt idx="284">
                  <c:v>-0.16363156476383342</c:v>
                </c:pt>
                <c:pt idx="285">
                  <c:v>-0.16414877976312747</c:v>
                </c:pt>
                <c:pt idx="286">
                  <c:v>-0.16464946108665796</c:v>
                </c:pt>
                <c:pt idx="287">
                  <c:v>-0.16534346593240293</c:v>
                </c:pt>
                <c:pt idx="288">
                  <c:v>-0.16564129339099881</c:v>
                </c:pt>
                <c:pt idx="289">
                  <c:v>-0.1663333536011298</c:v>
                </c:pt>
                <c:pt idx="290">
                  <c:v>-0.16668544607814803</c:v>
                </c:pt>
                <c:pt idx="291">
                  <c:v>-0.16744701571662698</c:v>
                </c:pt>
                <c:pt idx="292">
                  <c:v>-0.16779500641721479</c:v>
                </c:pt>
                <c:pt idx="293">
                  <c:v>-0.16828810532717045</c:v>
                </c:pt>
                <c:pt idx="294">
                  <c:v>-0.16873095674342267</c:v>
                </c:pt>
                <c:pt idx="295">
                  <c:v>-0.16924955374095679</c:v>
                </c:pt>
                <c:pt idx="296">
                  <c:v>-0.16982302920992334</c:v>
                </c:pt>
                <c:pt idx="297">
                  <c:v>-0.17026515752188617</c:v>
                </c:pt>
                <c:pt idx="298">
                  <c:v>-0.17070572405301834</c:v>
                </c:pt>
                <c:pt idx="299">
                  <c:v>-0.17131451869860292</c:v>
                </c:pt>
                <c:pt idx="300">
                  <c:v>-0.17184489410785836</c:v>
                </c:pt>
                <c:pt idx="301">
                  <c:v>-0.1724123947285674</c:v>
                </c:pt>
                <c:pt idx="302">
                  <c:v>-0.17307850113200007</c:v>
                </c:pt>
                <c:pt idx="303">
                  <c:v>-0.1733033821221058</c:v>
                </c:pt>
                <c:pt idx="304">
                  <c:v>-0.17397657436634958</c:v>
                </c:pt>
                <c:pt idx="305">
                  <c:v>-0.17426190187310331</c:v>
                </c:pt>
                <c:pt idx="306">
                  <c:v>-0.17495056961003988</c:v>
                </c:pt>
                <c:pt idx="307">
                  <c:v>-0.1753655965423892</c:v>
                </c:pt>
                <c:pt idx="308">
                  <c:v>-0.17581792565790072</c:v>
                </c:pt>
                <c:pt idx="309">
                  <c:v>-0.17632061036037264</c:v>
                </c:pt>
                <c:pt idx="310">
                  <c:v>-0.17678509007272716</c:v>
                </c:pt>
                <c:pt idx="311">
                  <c:v>-0.17752713439731588</c:v>
                </c:pt>
                <c:pt idx="312">
                  <c:v>-0.17800515502711084</c:v>
                </c:pt>
                <c:pt idx="313">
                  <c:v>-0.17834477747040106</c:v>
                </c:pt>
                <c:pt idx="314">
                  <c:v>-0.17901420044440844</c:v>
                </c:pt>
                <c:pt idx="315">
                  <c:v>-0.17951718452624923</c:v>
                </c:pt>
                <c:pt idx="316">
                  <c:v>-0.18004140561624934</c:v>
                </c:pt>
                <c:pt idx="317">
                  <c:v>-0.18050618343632635</c:v>
                </c:pt>
                <c:pt idx="318">
                  <c:v>-0.1810028767785884</c:v>
                </c:pt>
                <c:pt idx="319">
                  <c:v>-0.18152621458155793</c:v>
                </c:pt>
                <c:pt idx="320">
                  <c:v>-0.18223851586826376</c:v>
                </c:pt>
                <c:pt idx="321">
                  <c:v>-0.1827027556301157</c:v>
                </c:pt>
                <c:pt idx="322">
                  <c:v>-0.18332841260342764</c:v>
                </c:pt>
                <c:pt idx="323">
                  <c:v>-0.18383914940234741</c:v>
                </c:pt>
                <c:pt idx="324">
                  <c:v>-0.18410370524697009</c:v>
                </c:pt>
                <c:pt idx="325">
                  <c:v>-0.18501724628417685</c:v>
                </c:pt>
                <c:pt idx="326">
                  <c:v>-0.18539327383406812</c:v>
                </c:pt>
                <c:pt idx="327">
                  <c:v>-0.18609122461958391</c:v>
                </c:pt>
                <c:pt idx="328">
                  <c:v>-0.18637036208969668</c:v>
                </c:pt>
                <c:pt idx="329">
                  <c:v>-0.18698427789884109</c:v>
                </c:pt>
                <c:pt idx="330">
                  <c:v>-0.1875678563963373</c:v>
                </c:pt>
                <c:pt idx="331">
                  <c:v>-0.18810797735073037</c:v>
                </c:pt>
                <c:pt idx="332">
                  <c:v>-0.18860667003682538</c:v>
                </c:pt>
                <c:pt idx="333">
                  <c:v>-0.18887436082034523</c:v>
                </c:pt>
                <c:pt idx="334">
                  <c:v>-0.18950670059594538</c:v>
                </c:pt>
                <c:pt idx="335">
                  <c:v>-0.19006397681240436</c:v>
                </c:pt>
                <c:pt idx="336">
                  <c:v>-0.19051071482952056</c:v>
                </c:pt>
                <c:pt idx="337">
                  <c:v>-0.19097257456784625</c:v>
                </c:pt>
                <c:pt idx="338">
                  <c:v>-0.19152755413419426</c:v>
                </c:pt>
                <c:pt idx="339">
                  <c:v>-0.19194137696436739</c:v>
                </c:pt>
                <c:pt idx="340">
                  <c:v>-0.1924556913010638</c:v>
                </c:pt>
                <c:pt idx="341">
                  <c:v>-0.19305761950471287</c:v>
                </c:pt>
                <c:pt idx="342">
                  <c:v>-0.19363677466330262</c:v>
                </c:pt>
                <c:pt idx="343">
                  <c:v>-0.19397713601653518</c:v>
                </c:pt>
                <c:pt idx="344">
                  <c:v>-0.19452071438832313</c:v>
                </c:pt>
                <c:pt idx="345">
                  <c:v>-0.19502095461083888</c:v>
                </c:pt>
                <c:pt idx="346">
                  <c:v>-0.19556055554980725</c:v>
                </c:pt>
                <c:pt idx="347">
                  <c:v>-0.19625980309046115</c:v>
                </c:pt>
                <c:pt idx="348">
                  <c:v>-0.19680278449694602</c:v>
                </c:pt>
                <c:pt idx="349">
                  <c:v>-0.19736925304470676</c:v>
                </c:pt>
                <c:pt idx="350">
                  <c:v>-0.19781347604554134</c:v>
                </c:pt>
                <c:pt idx="351">
                  <c:v>-0.19831262559989649</c:v>
                </c:pt>
                <c:pt idx="352">
                  <c:v>-0.19903975724895231</c:v>
                </c:pt>
                <c:pt idx="353">
                  <c:v>-0.19918332707051323</c:v>
                </c:pt>
                <c:pt idx="354">
                  <c:v>-0.20008155837941308</c:v>
                </c:pt>
                <c:pt idx="355">
                  <c:v>-0.20056529240893728</c:v>
                </c:pt>
                <c:pt idx="356">
                  <c:v>-0.20114396509512764</c:v>
                </c:pt>
                <c:pt idx="357">
                  <c:v>-0.20156545848497945</c:v>
                </c:pt>
                <c:pt idx="358">
                  <c:v>-0.20211635151885768</c:v>
                </c:pt>
                <c:pt idx="359">
                  <c:v>-0.20288809888601328</c:v>
                </c:pt>
                <c:pt idx="360">
                  <c:v>-0.20328524848967058</c:v>
                </c:pt>
                <c:pt idx="361">
                  <c:v>-0.20363239846208539</c:v>
                </c:pt>
                <c:pt idx="362">
                  <c:v>-0.20429557279998442</c:v>
                </c:pt>
                <c:pt idx="363">
                  <c:v>-0.20492113524254574</c:v>
                </c:pt>
                <c:pt idx="364">
                  <c:v>-0.20525771205352333</c:v>
                </c:pt>
                <c:pt idx="365">
                  <c:v>-0.20568220166370815</c:v>
                </c:pt>
                <c:pt idx="366">
                  <c:v>-0.20630362327911711</c:v>
                </c:pt>
                <c:pt idx="367">
                  <c:v>-0.20678707616369429</c:v>
                </c:pt>
                <c:pt idx="368">
                  <c:v>-0.20754900604484994</c:v>
                </c:pt>
                <c:pt idx="369">
                  <c:v>-0.20799136505147658</c:v>
                </c:pt>
                <c:pt idx="370">
                  <c:v>-0.20838712523572137</c:v>
                </c:pt>
                <c:pt idx="371">
                  <c:v>-0.20889647845088835</c:v>
                </c:pt>
                <c:pt idx="372">
                  <c:v>-0.20921900408832436</c:v>
                </c:pt>
                <c:pt idx="373">
                  <c:v>-0.21009233567811131</c:v>
                </c:pt>
                <c:pt idx="374">
                  <c:v>-0.21042154327836357</c:v>
                </c:pt>
                <c:pt idx="375">
                  <c:v>-0.21089979604102682</c:v>
                </c:pt>
                <c:pt idx="376">
                  <c:v>-0.2113099358029569</c:v>
                </c:pt>
                <c:pt idx="377">
                  <c:v>-0.2117727479910404</c:v>
                </c:pt>
                <c:pt idx="378">
                  <c:v>-0.21244713042047558</c:v>
                </c:pt>
                <c:pt idx="379">
                  <c:v>-0.21301490300285317</c:v>
                </c:pt>
                <c:pt idx="380">
                  <c:v>-0.2135178904642458</c:v>
                </c:pt>
                <c:pt idx="381">
                  <c:v>-0.21393248514643232</c:v>
                </c:pt>
                <c:pt idx="382">
                  <c:v>-0.21442246393973277</c:v>
                </c:pt>
                <c:pt idx="383">
                  <c:v>-0.21499736533369895</c:v>
                </c:pt>
                <c:pt idx="384">
                  <c:v>-0.21521302157235522</c:v>
                </c:pt>
                <c:pt idx="385">
                  <c:v>-0.21599979927381444</c:v>
                </c:pt>
                <c:pt idx="386">
                  <c:v>-0.21655038962027631</c:v>
                </c:pt>
                <c:pt idx="387">
                  <c:v>-0.21687607577964294</c:v>
                </c:pt>
                <c:pt idx="388">
                  <c:v>-0.21743444687297919</c:v>
                </c:pt>
                <c:pt idx="389">
                  <c:v>-0.21791728314266232</c:v>
                </c:pt>
                <c:pt idx="390">
                  <c:v>-0.21849096644007054</c:v>
                </c:pt>
                <c:pt idx="391">
                  <c:v>-0.21889102259413531</c:v>
                </c:pt>
                <c:pt idx="392">
                  <c:v>-0.21927283501718128</c:v>
                </c:pt>
                <c:pt idx="393">
                  <c:v>-0.21966092520393923</c:v>
                </c:pt>
                <c:pt idx="394">
                  <c:v>-0.22027448863738686</c:v>
                </c:pt>
                <c:pt idx="395">
                  <c:v>-0.22094286628445645</c:v>
                </c:pt>
                <c:pt idx="396">
                  <c:v>-0.22123949071953727</c:v>
                </c:pt>
                <c:pt idx="397">
                  <c:v>-0.22171909959162725</c:v>
                </c:pt>
                <c:pt idx="398">
                  <c:v>-0.2225473880583333</c:v>
                </c:pt>
                <c:pt idx="399">
                  <c:v>-0.22256994386892032</c:v>
                </c:pt>
                <c:pt idx="400">
                  <c:v>-0.22316430543379917</c:v>
                </c:pt>
                <c:pt idx="401">
                  <c:v>-0.22371120510257891</c:v>
                </c:pt>
                <c:pt idx="402">
                  <c:v>-0.2242087932318183</c:v>
                </c:pt>
                <c:pt idx="403">
                  <c:v>-0.22476148024671361</c:v>
                </c:pt>
                <c:pt idx="404">
                  <c:v>-0.22523981870480406</c:v>
                </c:pt>
                <c:pt idx="405">
                  <c:v>-0.22570588388087376</c:v>
                </c:pt>
                <c:pt idx="406">
                  <c:v>-0.22615728592787238</c:v>
                </c:pt>
                <c:pt idx="407">
                  <c:v>-0.22689083927788714</c:v>
                </c:pt>
                <c:pt idx="408">
                  <c:v>-0.22741590545449075</c:v>
                </c:pt>
                <c:pt idx="409">
                  <c:v>-0.22785208182865835</c:v>
                </c:pt>
                <c:pt idx="410">
                  <c:v>-0.22817197859295407</c:v>
                </c:pt>
                <c:pt idx="411">
                  <c:v>-0.22872157844460678</c:v>
                </c:pt>
                <c:pt idx="412">
                  <c:v>-0.22918149736444945</c:v>
                </c:pt>
                <c:pt idx="413">
                  <c:v>-0.22987857364277378</c:v>
                </c:pt>
                <c:pt idx="414">
                  <c:v>-0.23038401171502526</c:v>
                </c:pt>
                <c:pt idx="415">
                  <c:v>-0.23074529910531219</c:v>
                </c:pt>
                <c:pt idx="416">
                  <c:v>-0.23147771402990491</c:v>
                </c:pt>
                <c:pt idx="417">
                  <c:v>-0.23177018752975526</c:v>
                </c:pt>
                <c:pt idx="418">
                  <c:v>-0.23237944292442261</c:v>
                </c:pt>
                <c:pt idx="419">
                  <c:v>-0.23283375964867661</c:v>
                </c:pt>
                <c:pt idx="420">
                  <c:v>-0.23336532510599309</c:v>
                </c:pt>
                <c:pt idx="421">
                  <c:v>-0.23370947478539963</c:v>
                </c:pt>
                <c:pt idx="422">
                  <c:v>-0.23447006591348407</c:v>
                </c:pt>
                <c:pt idx="423">
                  <c:v>-0.23477933598180248</c:v>
                </c:pt>
                <c:pt idx="424">
                  <c:v>-0.23528051535495695</c:v>
                </c:pt>
                <c:pt idx="425">
                  <c:v>-0.23584213709447904</c:v>
                </c:pt>
                <c:pt idx="426">
                  <c:v>-0.23628601962010004</c:v>
                </c:pt>
                <c:pt idx="427">
                  <c:v>-0.23676042264557509</c:v>
                </c:pt>
                <c:pt idx="428">
                  <c:v>-0.23720014299869893</c:v>
                </c:pt>
                <c:pt idx="429">
                  <c:v>-0.23777078737138824</c:v>
                </c:pt>
                <c:pt idx="430">
                  <c:v>-0.2381598321964607</c:v>
                </c:pt>
                <c:pt idx="431">
                  <c:v>-0.23885433806657058</c:v>
                </c:pt>
                <c:pt idx="432">
                  <c:v>-0.23929411874710313</c:v>
                </c:pt>
                <c:pt idx="433">
                  <c:v>-0.23970926325132899</c:v>
                </c:pt>
                <c:pt idx="434">
                  <c:v>-0.24014918935304672</c:v>
                </c:pt>
                <c:pt idx="435">
                  <c:v>-0.24064086465971193</c:v>
                </c:pt>
                <c:pt idx="436">
                  <c:v>-0.24128738978312292</c:v>
                </c:pt>
                <c:pt idx="437">
                  <c:v>-0.24177275562800868</c:v>
                </c:pt>
                <c:pt idx="438">
                  <c:v>-0.24237723253873589</c:v>
                </c:pt>
                <c:pt idx="439">
                  <c:v>-0.24275605372622966</c:v>
                </c:pt>
                <c:pt idx="440">
                  <c:v>-0.24315129611203537</c:v>
                </c:pt>
                <c:pt idx="441">
                  <c:v>-0.24380387711001592</c:v>
                </c:pt>
                <c:pt idx="442">
                  <c:v>-0.24410988862794256</c:v>
                </c:pt>
                <c:pt idx="443">
                  <c:v>-0.24464433713221242</c:v>
                </c:pt>
                <c:pt idx="444">
                  <c:v>-0.24514548225782193</c:v>
                </c:pt>
                <c:pt idx="445">
                  <c:v>-0.24565699342105252</c:v>
                </c:pt>
                <c:pt idx="446">
                  <c:v>-0.24606388406346449</c:v>
                </c:pt>
                <c:pt idx="447">
                  <c:v>-0.24656921361144246</c:v>
                </c:pt>
                <c:pt idx="448">
                  <c:v>-0.24705980039010189</c:v>
                </c:pt>
                <c:pt idx="449">
                  <c:v>-0.2474988832036876</c:v>
                </c:pt>
                <c:pt idx="450">
                  <c:v>-0.24830998080685229</c:v>
                </c:pt>
                <c:pt idx="451">
                  <c:v>-0.2486752727694215</c:v>
                </c:pt>
                <c:pt idx="452">
                  <c:v>-0.24892856128280749</c:v>
                </c:pt>
                <c:pt idx="453">
                  <c:v>-0.24962562351816653</c:v>
                </c:pt>
                <c:pt idx="454">
                  <c:v>-0.24996566902100695</c:v>
                </c:pt>
                <c:pt idx="455">
                  <c:v>-0.25047964493024244</c:v>
                </c:pt>
                <c:pt idx="456">
                  <c:v>-0.25106050698657623</c:v>
                </c:pt>
                <c:pt idx="457">
                  <c:v>-0.25155990336312112</c:v>
                </c:pt>
                <c:pt idx="458">
                  <c:v>-0.25196474208131453</c:v>
                </c:pt>
                <c:pt idx="459">
                  <c:v>-0.2525762989222245</c:v>
                </c:pt>
                <c:pt idx="460">
                  <c:v>-0.25307448800567106</c:v>
                </c:pt>
                <c:pt idx="461">
                  <c:v>-0.25335658596670635</c:v>
                </c:pt>
                <c:pt idx="462">
                  <c:v>-0.25403872370967412</c:v>
                </c:pt>
                <c:pt idx="463">
                  <c:v>-0.25452662931611553</c:v>
                </c:pt>
                <c:pt idx="464">
                  <c:v>-0.25509967360936076</c:v>
                </c:pt>
                <c:pt idx="465">
                  <c:v>-0.25572106442589998</c:v>
                </c:pt>
                <c:pt idx="466">
                  <c:v>-0.25614290563178271</c:v>
                </c:pt>
                <c:pt idx="467">
                  <c:v>-0.25656336934365437</c:v>
                </c:pt>
                <c:pt idx="468">
                  <c:v>-0.25704811936087546</c:v>
                </c:pt>
                <c:pt idx="469">
                  <c:v>-0.25757318464070106</c:v>
                </c:pt>
                <c:pt idx="470">
                  <c:v>-0.25802581166135591</c:v>
                </c:pt>
                <c:pt idx="471">
                  <c:v>-0.25857440906684265</c:v>
                </c:pt>
                <c:pt idx="472">
                  <c:v>-0.25912450222943484</c:v>
                </c:pt>
                <c:pt idx="473">
                  <c:v>-0.25951300237240632</c:v>
                </c:pt>
                <c:pt idx="474">
                  <c:v>-0.26007732916129894</c:v>
                </c:pt>
                <c:pt idx="475">
                  <c:v>-0.26068249282466799</c:v>
                </c:pt>
                <c:pt idx="476">
                  <c:v>-0.26122176056812774</c:v>
                </c:pt>
                <c:pt idx="477">
                  <c:v>-0.26190853988028096</c:v>
                </c:pt>
                <c:pt idx="478">
                  <c:v>-0.26224398520032932</c:v>
                </c:pt>
                <c:pt idx="479">
                  <c:v>-0.26301890237439945</c:v>
                </c:pt>
                <c:pt idx="480">
                  <c:v>-0.2635025409029037</c:v>
                </c:pt>
                <c:pt idx="481">
                  <c:v>-0.26398268509353034</c:v>
                </c:pt>
                <c:pt idx="482">
                  <c:v>-0.26461422693482362</c:v>
                </c:pt>
                <c:pt idx="483">
                  <c:v>-0.26509081337471491</c:v>
                </c:pt>
                <c:pt idx="484">
                  <c:v>-0.26576155967123372</c:v>
                </c:pt>
                <c:pt idx="485">
                  <c:v>-0.2661721435415455</c:v>
                </c:pt>
                <c:pt idx="486">
                  <c:v>-0.26664542987758666</c:v>
                </c:pt>
                <c:pt idx="487">
                  <c:v>-0.26711149781803467</c:v>
                </c:pt>
                <c:pt idx="488">
                  <c:v>-0.2677304276818403</c:v>
                </c:pt>
                <c:pt idx="489">
                  <c:v>-0.26850009557622928</c:v>
                </c:pt>
                <c:pt idx="490">
                  <c:v>-0.26866750412540386</c:v>
                </c:pt>
                <c:pt idx="491">
                  <c:v>-0.26936123005715162</c:v>
                </c:pt>
                <c:pt idx="492">
                  <c:v>-0.26965952451943787</c:v>
                </c:pt>
                <c:pt idx="493">
                  <c:v>-0.27022082623524174</c:v>
                </c:pt>
                <c:pt idx="494">
                  <c:v>-0.27069930094725891</c:v>
                </c:pt>
                <c:pt idx="495">
                  <c:v>-0.27126611125271194</c:v>
                </c:pt>
                <c:pt idx="496">
                  <c:v>-0.27154691409140513</c:v>
                </c:pt>
                <c:pt idx="497">
                  <c:v>-0.27236184322619233</c:v>
                </c:pt>
                <c:pt idx="498">
                  <c:v>-0.27268764481991781</c:v>
                </c:pt>
                <c:pt idx="499">
                  <c:v>-0.27316363163769775</c:v>
                </c:pt>
                <c:pt idx="500">
                  <c:v>-0.2736697771071227</c:v>
                </c:pt>
                <c:pt idx="501">
                  <c:v>-0.27413284328625337</c:v>
                </c:pt>
                <c:pt idx="502">
                  <c:v>-0.27460877623471852</c:v>
                </c:pt>
                <c:pt idx="503">
                  <c:v>-0.27524888986372475</c:v>
                </c:pt>
                <c:pt idx="504">
                  <c:v>-0.27576098444680458</c:v>
                </c:pt>
                <c:pt idx="505">
                  <c:v>-0.27622095817231546</c:v>
                </c:pt>
                <c:pt idx="506">
                  <c:v>-0.27649778052850427</c:v>
                </c:pt>
                <c:pt idx="507">
                  <c:v>-0.27703844923383353</c:v>
                </c:pt>
                <c:pt idx="508">
                  <c:v>-0.27756827646365928</c:v>
                </c:pt>
                <c:pt idx="509">
                  <c:v>-0.27805235248709886</c:v>
                </c:pt>
                <c:pt idx="510">
                  <c:v>-0.27862125356717454</c:v>
                </c:pt>
                <c:pt idx="511">
                  <c:v>-0.27920003751670802</c:v>
                </c:pt>
                <c:pt idx="512">
                  <c:v>-0.27954116425662962</c:v>
                </c:pt>
                <c:pt idx="513">
                  <c:v>-0.28004456432055469</c:v>
                </c:pt>
                <c:pt idx="514">
                  <c:v>-0.28057364559528242</c:v>
                </c:pt>
                <c:pt idx="515">
                  <c:v>-0.28111264350159371</c:v>
                </c:pt>
                <c:pt idx="516">
                  <c:v>-0.28152806585993567</c:v>
                </c:pt>
                <c:pt idx="517">
                  <c:v>-0.28192057393550857</c:v>
                </c:pt>
                <c:pt idx="518">
                  <c:v>-0.2825110582561407</c:v>
                </c:pt>
                <c:pt idx="519">
                  <c:v>-0.2828989904362631</c:v>
                </c:pt>
                <c:pt idx="520">
                  <c:v>-0.2835040382037991</c:v>
                </c:pt>
                <c:pt idx="521">
                  <c:v>-0.28397635149591033</c:v>
                </c:pt>
                <c:pt idx="522">
                  <c:v>-0.2842549764984944</c:v>
                </c:pt>
                <c:pt idx="523">
                  <c:v>-0.28508564053583912</c:v>
                </c:pt>
                <c:pt idx="524">
                  <c:v>-0.28556447926068329</c:v>
                </c:pt>
                <c:pt idx="525">
                  <c:v>-0.28597524114434975</c:v>
                </c:pt>
                <c:pt idx="526">
                  <c:v>-0.28633223023202031</c:v>
                </c:pt>
                <c:pt idx="527">
                  <c:v>-0.28685727763936519</c:v>
                </c:pt>
                <c:pt idx="528">
                  <c:v>-0.28728984638477467</c:v>
                </c:pt>
                <c:pt idx="529">
                  <c:v>-0.28795857053827262</c:v>
                </c:pt>
                <c:pt idx="530">
                  <c:v>-0.28819180063557531</c:v>
                </c:pt>
                <c:pt idx="531">
                  <c:v>-0.2887815552784524</c:v>
                </c:pt>
                <c:pt idx="532">
                  <c:v>-0.28944600978006302</c:v>
                </c:pt>
                <c:pt idx="533">
                  <c:v>-0.29014947557001214</c:v>
                </c:pt>
                <c:pt idx="534">
                  <c:v>-0.29057189314818016</c:v>
                </c:pt>
                <c:pt idx="535">
                  <c:v>-0.29118895486416979</c:v>
                </c:pt>
                <c:pt idx="536">
                  <c:v>-0.29168272093970715</c:v>
                </c:pt>
                <c:pt idx="537">
                  <c:v>-0.29204238071250771</c:v>
                </c:pt>
                <c:pt idx="538">
                  <c:v>-0.29273438317156336</c:v>
                </c:pt>
                <c:pt idx="539">
                  <c:v>-0.29326556923789204</c:v>
                </c:pt>
                <c:pt idx="540">
                  <c:v>-0.29399166585209496</c:v>
                </c:pt>
                <c:pt idx="541">
                  <c:v>-0.29436865985328675</c:v>
                </c:pt>
                <c:pt idx="542">
                  <c:v>-0.29488813497574445</c:v>
                </c:pt>
                <c:pt idx="543">
                  <c:v>-0.29550793013000182</c:v>
                </c:pt>
                <c:pt idx="544">
                  <c:v>-0.29598105233222166</c:v>
                </c:pt>
                <c:pt idx="545">
                  <c:v>-0.29644840213791424</c:v>
                </c:pt>
                <c:pt idx="546">
                  <c:v>-0.29694350155243021</c:v>
                </c:pt>
                <c:pt idx="547">
                  <c:v>-0.29743387661288612</c:v>
                </c:pt>
                <c:pt idx="548">
                  <c:v>-0.29801953339851545</c:v>
                </c:pt>
                <c:pt idx="549">
                  <c:v>-0.29858206856411856</c:v>
                </c:pt>
                <c:pt idx="550">
                  <c:v>-0.29923190966948543</c:v>
                </c:pt>
                <c:pt idx="551">
                  <c:v>-0.29960124316187275</c:v>
                </c:pt>
                <c:pt idx="552">
                  <c:v>-0.29999509380058309</c:v>
                </c:pt>
                <c:pt idx="553">
                  <c:v>-0.30076366308710512</c:v>
                </c:pt>
                <c:pt idx="554">
                  <c:v>-0.30131172864324224</c:v>
                </c:pt>
                <c:pt idx="555">
                  <c:v>-0.30173679767863054</c:v>
                </c:pt>
                <c:pt idx="556">
                  <c:v>-0.30217880436690325</c:v>
                </c:pt>
                <c:pt idx="557">
                  <c:v>-0.30277042481077715</c:v>
                </c:pt>
                <c:pt idx="558">
                  <c:v>-0.30322469324927509</c:v>
                </c:pt>
                <c:pt idx="559">
                  <c:v>-0.3038368682233164</c:v>
                </c:pt>
                <c:pt idx="560">
                  <c:v>-0.3042698602762563</c:v>
                </c:pt>
                <c:pt idx="561">
                  <c:v>-0.30509383840245324</c:v>
                </c:pt>
                <c:pt idx="562">
                  <c:v>-0.30562135400709978</c:v>
                </c:pt>
                <c:pt idx="563">
                  <c:v>-0.30612307535870031</c:v>
                </c:pt>
                <c:pt idx="564">
                  <c:v>-0.3065398077833974</c:v>
                </c:pt>
                <c:pt idx="565">
                  <c:v>-0.30729553541332449</c:v>
                </c:pt>
                <c:pt idx="566">
                  <c:v>-0.30764324263161619</c:v>
                </c:pt>
                <c:pt idx="567">
                  <c:v>-0.30824208408408804</c:v>
                </c:pt>
                <c:pt idx="568">
                  <c:v>-0.30874488233396752</c:v>
                </c:pt>
                <c:pt idx="569">
                  <c:v>-0.30943104155560364</c:v>
                </c:pt>
                <c:pt idx="570">
                  <c:v>-0.30994026296467964</c:v>
                </c:pt>
                <c:pt idx="571">
                  <c:v>-0.31054783792841478</c:v>
                </c:pt>
                <c:pt idx="572">
                  <c:v>-0.31139958434704551</c:v>
                </c:pt>
                <c:pt idx="573">
                  <c:v>-0.31171752737813885</c:v>
                </c:pt>
                <c:pt idx="574">
                  <c:v>-0.31214958618984734</c:v>
                </c:pt>
                <c:pt idx="575">
                  <c:v>-0.31237187425740809</c:v>
                </c:pt>
                <c:pt idx="576">
                  <c:v>-0.31314313668465221</c:v>
                </c:pt>
                <c:pt idx="577">
                  <c:v>-0.31387988980797715</c:v>
                </c:pt>
                <c:pt idx="578">
                  <c:v>-0.31434675928498734</c:v>
                </c:pt>
                <c:pt idx="579">
                  <c:v>-0.31456038166999217</c:v>
                </c:pt>
                <c:pt idx="580">
                  <c:v>-0.31527757204061968</c:v>
                </c:pt>
                <c:pt idx="581">
                  <c:v>-0.31561962462106169</c:v>
                </c:pt>
                <c:pt idx="582">
                  <c:v>-0.31627453516586451</c:v>
                </c:pt>
                <c:pt idx="583">
                  <c:v>-0.31663052115429391</c:v>
                </c:pt>
                <c:pt idx="584">
                  <c:v>-0.31724768774967765</c:v>
                </c:pt>
                <c:pt idx="585">
                  <c:v>-0.31780462994485559</c:v>
                </c:pt>
                <c:pt idx="586">
                  <c:v>-0.31840219300056483</c:v>
                </c:pt>
                <c:pt idx="587">
                  <c:v>-0.31875554974257908</c:v>
                </c:pt>
                <c:pt idx="588">
                  <c:v>-0.31937794690497356</c:v>
                </c:pt>
                <c:pt idx="589">
                  <c:v>-0.31999227023482041</c:v>
                </c:pt>
                <c:pt idx="590">
                  <c:v>-0.3205403111795247</c:v>
                </c:pt>
                <c:pt idx="591">
                  <c:v>-0.3210307353851134</c:v>
                </c:pt>
                <c:pt idx="592">
                  <c:v>-0.32144415148074018</c:v>
                </c:pt>
                <c:pt idx="593">
                  <c:v>-0.32206055015364971</c:v>
                </c:pt>
                <c:pt idx="594">
                  <c:v>-0.32271010480236245</c:v>
                </c:pt>
                <c:pt idx="595">
                  <c:v>-0.3231615002028177</c:v>
                </c:pt>
                <c:pt idx="596">
                  <c:v>-0.32352672656684872</c:v>
                </c:pt>
                <c:pt idx="597">
                  <c:v>-0.32418660975363328</c:v>
                </c:pt>
                <c:pt idx="598">
                  <c:v>-0.32464264121882996</c:v>
                </c:pt>
                <c:pt idx="599">
                  <c:v>-0.32522307380287102</c:v>
                </c:pt>
                <c:pt idx="600">
                  <c:v>-0.32567914696111494</c:v>
                </c:pt>
                <c:pt idx="601">
                  <c:v>-0.32618180592537954</c:v>
                </c:pt>
                <c:pt idx="602">
                  <c:v>-0.3268244293940985</c:v>
                </c:pt>
                <c:pt idx="603">
                  <c:v>-0.32733679773271168</c:v>
                </c:pt>
                <c:pt idx="604">
                  <c:v>-0.32780752721717027</c:v>
                </c:pt>
                <c:pt idx="605">
                  <c:v>-0.32810414268992871</c:v>
                </c:pt>
                <c:pt idx="606">
                  <c:v>-0.32889464712409977</c:v>
                </c:pt>
                <c:pt idx="607">
                  <c:v>-0.3294469287792603</c:v>
                </c:pt>
                <c:pt idx="608">
                  <c:v>-0.33009720152459449</c:v>
                </c:pt>
                <c:pt idx="609">
                  <c:v>-0.33070551445506724</c:v>
                </c:pt>
                <c:pt idx="610">
                  <c:v>-0.33093453983872062</c:v>
                </c:pt>
                <c:pt idx="611">
                  <c:v>-0.3313182313350706</c:v>
                </c:pt>
                <c:pt idx="612">
                  <c:v>-0.33190156368758567</c:v>
                </c:pt>
                <c:pt idx="613">
                  <c:v>-0.33246830343122896</c:v>
                </c:pt>
                <c:pt idx="614">
                  <c:v>-0.33334119979398491</c:v>
                </c:pt>
                <c:pt idx="615">
                  <c:v>-0.33358325315715626</c:v>
                </c:pt>
                <c:pt idx="616">
                  <c:v>-0.33400275013537989</c:v>
                </c:pt>
                <c:pt idx="617">
                  <c:v>-0.33460794265293381</c:v>
                </c:pt>
                <c:pt idx="618">
                  <c:v>-0.33509253564516578</c:v>
                </c:pt>
                <c:pt idx="619">
                  <c:v>-0.3359105037284944</c:v>
                </c:pt>
                <c:pt idx="620">
                  <c:v>-0.33607127835047179</c:v>
                </c:pt>
                <c:pt idx="621">
                  <c:v>-0.3367603602307348</c:v>
                </c:pt>
                <c:pt idx="622">
                  <c:v>-0.33760927572114335</c:v>
                </c:pt>
                <c:pt idx="623">
                  <c:v>-0.33806259405819078</c:v>
                </c:pt>
                <c:pt idx="624">
                  <c:v>-0.33841383067124392</c:v>
                </c:pt>
                <c:pt idx="625">
                  <c:v>-0.33903352003248355</c:v>
                </c:pt>
                <c:pt idx="626">
                  <c:v>-0.33964889918403912</c:v>
                </c:pt>
                <c:pt idx="627">
                  <c:v>-0.33996473603241911</c:v>
                </c:pt>
                <c:pt idx="628">
                  <c:v>-0.34072434638504107</c:v>
                </c:pt>
                <c:pt idx="629">
                  <c:v>-0.34109200786981131</c:v>
                </c:pt>
                <c:pt idx="630">
                  <c:v>-0.34170274341661183</c:v>
                </c:pt>
                <c:pt idx="631">
                  <c:v>-0.34197925396195133</c:v>
                </c:pt>
                <c:pt idx="632">
                  <c:v>-0.34262120250601458</c:v>
                </c:pt>
                <c:pt idx="633">
                  <c:v>-0.34301699194725105</c:v>
                </c:pt>
                <c:pt idx="634">
                  <c:v>-0.34345051714516034</c:v>
                </c:pt>
                <c:pt idx="635">
                  <c:v>-0.34435488797305075</c:v>
                </c:pt>
                <c:pt idx="636">
                  <c:v>-0.34471879176699999</c:v>
                </c:pt>
                <c:pt idx="637">
                  <c:v>-0.34513753637146921</c:v>
                </c:pt>
                <c:pt idx="638">
                  <c:v>-0.34570255964279606</c:v>
                </c:pt>
                <c:pt idx="639">
                  <c:v>-0.34637400685608927</c:v>
                </c:pt>
                <c:pt idx="640">
                  <c:v>-0.34686290913728007</c:v>
                </c:pt>
                <c:pt idx="641">
                  <c:v>-0.34715655528630113</c:v>
                </c:pt>
                <c:pt idx="642">
                  <c:v>-0.3478255149639915</c:v>
                </c:pt>
                <c:pt idx="643">
                  <c:v>-0.34817039271480704</c:v>
                </c:pt>
                <c:pt idx="644">
                  <c:v>-0.34872067768101406</c:v>
                </c:pt>
                <c:pt idx="645">
                  <c:v>-0.34919527171653841</c:v>
                </c:pt>
                <c:pt idx="646">
                  <c:v>-0.34989481377907194</c:v>
                </c:pt>
                <c:pt idx="647">
                  <c:v>-0.35026830352975508</c:v>
                </c:pt>
                <c:pt idx="648">
                  <c:v>-0.35079529935624798</c:v>
                </c:pt>
                <c:pt idx="649">
                  <c:v>-0.35113069289158022</c:v>
                </c:pt>
                <c:pt idx="650">
                  <c:v>-0.35173200575494562</c:v>
                </c:pt>
                <c:pt idx="651">
                  <c:v>-0.35189453901444406</c:v>
                </c:pt>
                <c:pt idx="652">
                  <c:v>-0.35266992385853502</c:v>
                </c:pt>
                <c:pt idx="653">
                  <c:v>-0.352994324730734</c:v>
                </c:pt>
                <c:pt idx="654">
                  <c:v>-0.35364137578894894</c:v>
                </c:pt>
                <c:pt idx="655">
                  <c:v>-0.35405000494407896</c:v>
                </c:pt>
                <c:pt idx="656">
                  <c:v>-0.35472390047892416</c:v>
                </c:pt>
                <c:pt idx="657">
                  <c:v>-0.35500278200772922</c:v>
                </c:pt>
                <c:pt idx="658">
                  <c:v>-0.35545571458413117</c:v>
                </c:pt>
                <c:pt idx="659">
                  <c:v>-0.35612152076775533</c:v>
                </c:pt>
                <c:pt idx="660">
                  <c:v>-0.35680590908260862</c:v>
                </c:pt>
                <c:pt idx="661">
                  <c:v>-0.35740730133554022</c:v>
                </c:pt>
                <c:pt idx="662">
                  <c:v>-0.35806349052863978</c:v>
                </c:pt>
                <c:pt idx="663">
                  <c:v>-0.35841722147099769</c:v>
                </c:pt>
                <c:pt idx="664">
                  <c:v>-0.35884725649074689</c:v>
                </c:pt>
                <c:pt idx="665">
                  <c:v>-0.35951714045161676</c:v>
                </c:pt>
                <c:pt idx="666">
                  <c:v>-0.35997018290817046</c:v>
                </c:pt>
                <c:pt idx="667">
                  <c:v>-0.36073423868048177</c:v>
                </c:pt>
                <c:pt idx="668">
                  <c:v>-0.36115660562587942</c:v>
                </c:pt>
                <c:pt idx="669">
                  <c:v>-0.36182393650119343</c:v>
                </c:pt>
                <c:pt idx="670">
                  <c:v>-0.36224599655762257</c:v>
                </c:pt>
                <c:pt idx="671">
                  <c:v>-0.36320575475233541</c:v>
                </c:pt>
                <c:pt idx="672">
                  <c:v>-0.36362640781132838</c:v>
                </c:pt>
                <c:pt idx="673">
                  <c:v>-0.36429715667369028</c:v>
                </c:pt>
                <c:pt idx="674">
                  <c:v>-0.36496350272515227</c:v>
                </c:pt>
                <c:pt idx="675">
                  <c:v>-0.36562316419509483</c:v>
                </c:pt>
                <c:pt idx="676">
                  <c:v>-0.36600131307542155</c:v>
                </c:pt>
                <c:pt idx="677">
                  <c:v>-0.36673289364396944</c:v>
                </c:pt>
                <c:pt idx="678">
                  <c:v>-0.36709675037489625</c:v>
                </c:pt>
                <c:pt idx="679">
                  <c:v>-0.36747871923348674</c:v>
                </c:pt>
                <c:pt idx="680">
                  <c:v>-0.36818499847868197</c:v>
                </c:pt>
                <c:pt idx="681">
                  <c:v>-0.36879970786734995</c:v>
                </c:pt>
                <c:pt idx="682">
                  <c:v>-0.36910812789457775</c:v>
                </c:pt>
                <c:pt idx="683">
                  <c:v>-0.36972966513376015</c:v>
                </c:pt>
                <c:pt idx="684">
                  <c:v>-0.37020976773729253</c:v>
                </c:pt>
                <c:pt idx="685">
                  <c:v>-0.37082495458188652</c:v>
                </c:pt>
                <c:pt idx="686">
                  <c:v>-0.37130944777626274</c:v>
                </c:pt>
                <c:pt idx="687">
                  <c:v>-0.37199598201258571</c:v>
                </c:pt>
                <c:pt idx="688">
                  <c:v>-0.37221875355969564</c:v>
                </c:pt>
                <c:pt idx="689">
                  <c:v>-0.37259339388523249</c:v>
                </c:pt>
                <c:pt idx="690">
                  <c:v>-0.37320292161206997</c:v>
                </c:pt>
                <c:pt idx="691">
                  <c:v>-0.37372065921637232</c:v>
                </c:pt>
                <c:pt idx="692">
                  <c:v>-0.37417282503791555</c:v>
                </c:pt>
                <c:pt idx="693">
                  <c:v>-0.37449500107780925</c:v>
                </c:pt>
                <c:pt idx="694">
                  <c:v>-0.37501967746606873</c:v>
                </c:pt>
                <c:pt idx="695">
                  <c:v>-0.37557385547239919</c:v>
                </c:pt>
                <c:pt idx="696">
                  <c:v>-0.37591422348851122</c:v>
                </c:pt>
                <c:pt idx="697">
                  <c:v>-0.37640162879315076</c:v>
                </c:pt>
                <c:pt idx="698">
                  <c:v>-0.3770990725230447</c:v>
                </c:pt>
                <c:pt idx="699">
                  <c:v>-0.37753293650819403</c:v>
                </c:pt>
                <c:pt idx="700">
                  <c:v>-0.37808500636771386</c:v>
                </c:pt>
                <c:pt idx="701">
                  <c:v>-0.37839578490185238</c:v>
                </c:pt>
                <c:pt idx="702">
                  <c:v>-0.37894244597726839</c:v>
                </c:pt>
                <c:pt idx="703">
                  <c:v>-0.37936641941392812</c:v>
                </c:pt>
                <c:pt idx="704">
                  <c:v>-0.37968655944275387</c:v>
                </c:pt>
                <c:pt idx="705">
                  <c:v>-0.3803738122739499</c:v>
                </c:pt>
                <c:pt idx="706">
                  <c:v>-0.38094516064786993</c:v>
                </c:pt>
                <c:pt idx="707">
                  <c:v>-0.38122362020068506</c:v>
                </c:pt>
                <c:pt idx="708">
                  <c:v>-0.38196404213171498</c:v>
                </c:pt>
                <c:pt idx="709">
                  <c:v>-0.38238893478524327</c:v>
                </c:pt>
                <c:pt idx="710">
                  <c:v>-0.38317830997616859</c:v>
                </c:pt>
                <c:pt idx="711">
                  <c:v>-0.38327555901960653</c:v>
                </c:pt>
                <c:pt idx="712">
                  <c:v>-0.38381871473671958</c:v>
                </c:pt>
                <c:pt idx="713">
                  <c:v>-0.38439107043303777</c:v>
                </c:pt>
                <c:pt idx="714">
                  <c:v>-0.38494774770900292</c:v>
                </c:pt>
                <c:pt idx="715">
                  <c:v>-0.38533410429029291</c:v>
                </c:pt>
                <c:pt idx="716">
                  <c:v>-0.38601182970575842</c:v>
                </c:pt>
                <c:pt idx="717">
                  <c:v>-0.38692736826636814</c:v>
                </c:pt>
                <c:pt idx="718">
                  <c:v>-0.38704228410091907</c:v>
                </c:pt>
                <c:pt idx="719">
                  <c:v>-0.3874476024810366</c:v>
                </c:pt>
                <c:pt idx="720">
                  <c:v>-0.38815843796024618</c:v>
                </c:pt>
                <c:pt idx="721">
                  <c:v>-0.38860137807941525</c:v>
                </c:pt>
                <c:pt idx="722">
                  <c:v>-0.38887687183580977</c:v>
                </c:pt>
                <c:pt idx="723">
                  <c:v>-0.38942257787670931</c:v>
                </c:pt>
                <c:pt idx="724">
                  <c:v>-0.38996543404514095</c:v>
                </c:pt>
                <c:pt idx="725">
                  <c:v>-0.39026400037536935</c:v>
                </c:pt>
                <c:pt idx="726">
                  <c:v>-0.39084482272323801</c:v>
                </c:pt>
                <c:pt idx="727">
                  <c:v>-0.3911562275681727</c:v>
                </c:pt>
                <c:pt idx="728">
                  <c:v>-0.39179074513059131</c:v>
                </c:pt>
                <c:pt idx="729">
                  <c:v>-0.39233775799452242</c:v>
                </c:pt>
                <c:pt idx="730">
                  <c:v>-0.39280360417444454</c:v>
                </c:pt>
                <c:pt idx="731">
                  <c:v>-0.39320002663999964</c:v>
                </c:pt>
                <c:pt idx="732">
                  <c:v>-0.39371819349895998</c:v>
                </c:pt>
                <c:pt idx="733">
                  <c:v>-0.39429315805499643</c:v>
                </c:pt>
                <c:pt idx="734">
                  <c:v>-0.3949822258412492</c:v>
                </c:pt>
                <c:pt idx="735">
                  <c:v>-0.3952721576471262</c:v>
                </c:pt>
                <c:pt idx="736">
                  <c:v>-0.39565194894874761</c:v>
                </c:pt>
                <c:pt idx="737">
                  <c:v>-0.39627610469448976</c:v>
                </c:pt>
                <c:pt idx="738">
                  <c:v>-0.39666881038743745</c:v>
                </c:pt>
                <c:pt idx="739">
                  <c:v>-0.39714788973742254</c:v>
                </c:pt>
                <c:pt idx="740">
                  <c:v>-0.39752312649038768</c:v>
                </c:pt>
                <c:pt idx="741">
                  <c:v>-0.39796578657820153</c:v>
                </c:pt>
                <c:pt idx="742">
                  <c:v>-0.39849816590182902</c:v>
                </c:pt>
                <c:pt idx="743">
                  <c:v>-0.39878421901957406</c:v>
                </c:pt>
                <c:pt idx="744">
                  <c:v>-0.39919189407593308</c:v>
                </c:pt>
                <c:pt idx="745">
                  <c:v>-0.39973366146903083</c:v>
                </c:pt>
                <c:pt idx="746">
                  <c:v>-0.40024826392939444</c:v>
                </c:pt>
                <c:pt idx="747">
                  <c:v>-0.40087275998842609</c:v>
                </c:pt>
                <c:pt idx="748">
                  <c:v>-0.4011586526930479</c:v>
                </c:pt>
                <c:pt idx="749">
                  <c:v>-0.40206929158064802</c:v>
                </c:pt>
                <c:pt idx="750">
                  <c:v>-0.40192860941566405</c:v>
                </c:pt>
                <c:pt idx="751">
                  <c:v>-0.40264848891138788</c:v>
                </c:pt>
                <c:pt idx="752">
                  <c:v>-0.40331060953603493</c:v>
                </c:pt>
                <c:pt idx="753">
                  <c:v>-0.40367472856610015</c:v>
                </c:pt>
                <c:pt idx="754">
                  <c:v>-0.40412833895838562</c:v>
                </c:pt>
                <c:pt idx="755">
                  <c:v>-0.40467200948972537</c:v>
                </c:pt>
                <c:pt idx="756">
                  <c:v>-0.40525207866860313</c:v>
                </c:pt>
                <c:pt idx="757">
                  <c:v>-0.40587755614844556</c:v>
                </c:pt>
                <c:pt idx="758">
                  <c:v>-0.40642581741573319</c:v>
                </c:pt>
                <c:pt idx="759">
                  <c:v>-0.40699694931562042</c:v>
                </c:pt>
                <c:pt idx="760">
                  <c:v>-0.40756563979360749</c:v>
                </c:pt>
                <c:pt idx="761">
                  <c:v>-0.40841230609857204</c:v>
                </c:pt>
                <c:pt idx="762">
                  <c:v>-0.40883354837601449</c:v>
                </c:pt>
                <c:pt idx="763">
                  <c:v>-0.40901498907932055</c:v>
                </c:pt>
                <c:pt idx="764">
                  <c:v>-0.40967697138174514</c:v>
                </c:pt>
                <c:pt idx="765">
                  <c:v>-0.41014515904192167</c:v>
                </c:pt>
                <c:pt idx="766">
                  <c:v>-0.41067283546020439</c:v>
                </c:pt>
                <c:pt idx="767">
                  <c:v>-0.41116668823631175</c:v>
                </c:pt>
                <c:pt idx="768">
                  <c:v>-0.41188411454218637</c:v>
                </c:pt>
                <c:pt idx="769">
                  <c:v>-0.41225252577025928</c:v>
                </c:pt>
                <c:pt idx="770">
                  <c:v>-0.41275721255718639</c:v>
                </c:pt>
                <c:pt idx="771">
                  <c:v>-0.41332650891769451</c:v>
                </c:pt>
                <c:pt idx="772">
                  <c:v>-0.41385255269556442</c:v>
                </c:pt>
                <c:pt idx="773">
                  <c:v>-0.41423916685497136</c:v>
                </c:pt>
                <c:pt idx="774">
                  <c:v>-0.41475214356083523</c:v>
                </c:pt>
                <c:pt idx="775">
                  <c:v>-0.41566265488833576</c:v>
                </c:pt>
                <c:pt idx="776">
                  <c:v>-0.41620624749865454</c:v>
                </c:pt>
                <c:pt idx="777">
                  <c:v>-0.41604309909972681</c:v>
                </c:pt>
                <c:pt idx="778">
                  <c:v>-0.41695099730188839</c:v>
                </c:pt>
                <c:pt idx="779">
                  <c:v>-0.41727962319319278</c:v>
                </c:pt>
                <c:pt idx="780">
                  <c:v>-0.41799003380081784</c:v>
                </c:pt>
                <c:pt idx="781">
                  <c:v>-0.4185018336190704</c:v>
                </c:pt>
                <c:pt idx="782">
                  <c:v>-0.41875652488392423</c:v>
                </c:pt>
                <c:pt idx="783">
                  <c:v>-0.41932390866118324</c:v>
                </c:pt>
                <c:pt idx="784">
                  <c:v>-0.42002784983892094</c:v>
                </c:pt>
                <c:pt idx="785">
                  <c:v>-0.42062907699387886</c:v>
                </c:pt>
                <c:pt idx="786">
                  <c:v>-0.42087143343301897</c:v>
                </c:pt>
                <c:pt idx="787">
                  <c:v>-0.42149965653729304</c:v>
                </c:pt>
                <c:pt idx="788">
                  <c:v>-0.42196661698094567</c:v>
                </c:pt>
                <c:pt idx="789">
                  <c:v>-0.42228568304273667</c:v>
                </c:pt>
                <c:pt idx="790">
                  <c:v>-0.42298558799312203</c:v>
                </c:pt>
                <c:pt idx="791">
                  <c:v>-0.42346543331071329</c:v>
                </c:pt>
                <c:pt idx="792">
                  <c:v>-0.42419410817355374</c:v>
                </c:pt>
                <c:pt idx="793">
                  <c:v>-0.4244774471728891</c:v>
                </c:pt>
                <c:pt idx="794">
                  <c:v>-0.42487491776329323</c:v>
                </c:pt>
                <c:pt idx="795">
                  <c:v>-0.42542342803999733</c:v>
                </c:pt>
                <c:pt idx="796">
                  <c:v>-0.42596495404736107</c:v>
                </c:pt>
                <c:pt idx="797">
                  <c:v>-0.42655174282930131</c:v>
                </c:pt>
                <c:pt idx="798">
                  <c:v>-0.42698626327456463</c:v>
                </c:pt>
                <c:pt idx="799">
                  <c:v>-0.42736681630684586</c:v>
                </c:pt>
                <c:pt idx="800">
                  <c:v>-0.42810839754966062</c:v>
                </c:pt>
                <c:pt idx="801">
                  <c:v>-0.42849321486558484</c:v>
                </c:pt>
                <c:pt idx="802">
                  <c:v>-0.42902939659198741</c:v>
                </c:pt>
                <c:pt idx="803">
                  <c:v>-0.42996778459521656</c:v>
                </c:pt>
                <c:pt idx="804">
                  <c:v>-0.43031889242001481</c:v>
                </c:pt>
                <c:pt idx="805">
                  <c:v>-0.43073600312363897</c:v>
                </c:pt>
                <c:pt idx="806">
                  <c:v>-0.43126322824944835</c:v>
                </c:pt>
                <c:pt idx="807">
                  <c:v>-0.43184819806547137</c:v>
                </c:pt>
                <c:pt idx="808">
                  <c:v>-0.4322774507346922</c:v>
                </c:pt>
                <c:pt idx="809">
                  <c:v>-0.43297436901101888</c:v>
                </c:pt>
                <c:pt idx="810">
                  <c:v>-0.43320072684676725</c:v>
                </c:pt>
                <c:pt idx="811">
                  <c:v>-0.43375073093131306</c:v>
                </c:pt>
                <c:pt idx="812">
                  <c:v>-0.43450985059394082</c:v>
                </c:pt>
                <c:pt idx="813">
                  <c:v>-0.43467466996831944</c:v>
                </c:pt>
                <c:pt idx="814">
                  <c:v>-0.43549624989648988</c:v>
                </c:pt>
                <c:pt idx="815">
                  <c:v>-0.43588467745713744</c:v>
                </c:pt>
                <c:pt idx="816">
                  <c:v>-0.4364900567423044</c:v>
                </c:pt>
                <c:pt idx="817">
                  <c:v>-0.43692348437840789</c:v>
                </c:pt>
                <c:pt idx="818">
                  <c:v>-0.43771070215980923</c:v>
                </c:pt>
                <c:pt idx="819">
                  <c:v>-0.43799325132654243</c:v>
                </c:pt>
                <c:pt idx="820">
                  <c:v>-0.43846987821764621</c:v>
                </c:pt>
                <c:pt idx="821">
                  <c:v>-0.43911376754010922</c:v>
                </c:pt>
                <c:pt idx="822">
                  <c:v>-0.43974443411858111</c:v>
                </c:pt>
                <c:pt idx="823">
                  <c:v>-0.44001566151942989</c:v>
                </c:pt>
                <c:pt idx="824">
                  <c:v>-0.44044930289258905</c:v>
                </c:pt>
                <c:pt idx="825">
                  <c:v>-0.44113826190714311</c:v>
                </c:pt>
                <c:pt idx="826">
                  <c:v>-0.44123051201996083</c:v>
                </c:pt>
                <c:pt idx="827">
                  <c:v>-0.44180769808946191</c:v>
                </c:pt>
                <c:pt idx="828">
                  <c:v>-0.44261417586225876</c:v>
                </c:pt>
                <c:pt idx="829">
                  <c:v>-0.44299442825282792</c:v>
                </c:pt>
                <c:pt idx="830">
                  <c:v>-0.44337202691078215</c:v>
                </c:pt>
                <c:pt idx="831">
                  <c:v>-0.44392482482678836</c:v>
                </c:pt>
                <c:pt idx="832">
                  <c:v>-0.44456089873968851</c:v>
                </c:pt>
                <c:pt idx="833">
                  <c:v>-0.44499740110820213</c:v>
                </c:pt>
                <c:pt idx="834">
                  <c:v>-0.44535915520491931</c:v>
                </c:pt>
                <c:pt idx="835">
                  <c:v>-0.44608515554938383</c:v>
                </c:pt>
                <c:pt idx="836">
                  <c:v>-0.44648445040337786</c:v>
                </c:pt>
                <c:pt idx="837">
                  <c:v>-0.44688179155140467</c:v>
                </c:pt>
                <c:pt idx="838">
                  <c:v>-0.4475307764635888</c:v>
                </c:pt>
                <c:pt idx="839">
                  <c:v>-0.44805639392113483</c:v>
                </c:pt>
                <c:pt idx="840">
                  <c:v>-0.44831342170548488</c:v>
                </c:pt>
                <c:pt idx="841">
                  <c:v>-0.44914793590572866</c:v>
                </c:pt>
                <c:pt idx="842">
                  <c:v>-0.44943127546321576</c:v>
                </c:pt>
                <c:pt idx="843">
                  <c:v>-0.45001135219017591</c:v>
                </c:pt>
                <c:pt idx="844">
                  <c:v>-0.45052876105625733</c:v>
                </c:pt>
                <c:pt idx="845">
                  <c:v>-0.45103989987736615</c:v>
                </c:pt>
                <c:pt idx="846">
                  <c:v>-0.45162980124966479</c:v>
                </c:pt>
                <c:pt idx="847">
                  <c:v>-0.45208703661882471</c:v>
                </c:pt>
                <c:pt idx="848">
                  <c:v>-0.45255791492081288</c:v>
                </c:pt>
                <c:pt idx="849">
                  <c:v>-0.45304476463596677</c:v>
                </c:pt>
                <c:pt idx="850">
                  <c:v>-0.45358025046582834</c:v>
                </c:pt>
                <c:pt idx="851">
                  <c:v>-0.45379830044066866</c:v>
                </c:pt>
                <c:pt idx="852">
                  <c:v>-0.45453134556575298</c:v>
                </c:pt>
                <c:pt idx="853">
                  <c:v>-0.45490453482865628</c:v>
                </c:pt>
                <c:pt idx="854">
                  <c:v>-0.4556891467805011</c:v>
                </c:pt>
                <c:pt idx="855">
                  <c:v>-0.4561261517446325</c:v>
                </c:pt>
                <c:pt idx="856">
                  <c:v>-0.45666377634615124</c:v>
                </c:pt>
                <c:pt idx="857">
                  <c:v>-0.45708746981310283</c:v>
                </c:pt>
                <c:pt idx="858">
                  <c:v>-0.45760366694764143</c:v>
                </c:pt>
                <c:pt idx="859">
                  <c:v>-0.45771362849955732</c:v>
                </c:pt>
                <c:pt idx="860">
                  <c:v>-0.45828889230683945</c:v>
                </c:pt>
                <c:pt idx="861">
                  <c:v>-0.45886835317131563</c:v>
                </c:pt>
                <c:pt idx="862">
                  <c:v>-0.4593446863500743</c:v>
                </c:pt>
                <c:pt idx="863">
                  <c:v>-0.45992188671117518</c:v>
                </c:pt>
                <c:pt idx="864">
                  <c:v>-0.46062303061671073</c:v>
                </c:pt>
                <c:pt idx="865">
                  <c:v>-0.46081967186942768</c:v>
                </c:pt>
                <c:pt idx="866">
                  <c:v>-0.46130643230730212</c:v>
                </c:pt>
                <c:pt idx="867">
                  <c:v>-0.46176432201872869</c:v>
                </c:pt>
                <c:pt idx="868">
                  <c:v>-0.46253770242203801</c:v>
                </c:pt>
                <c:pt idx="869">
                  <c:v>-0.46289943709037112</c:v>
                </c:pt>
                <c:pt idx="870">
                  <c:v>-0.4633348667360378</c:v>
                </c:pt>
                <c:pt idx="871">
                  <c:v>-0.46362050553671585</c:v>
                </c:pt>
                <c:pt idx="872">
                  <c:v>-0.46431010787332849</c:v>
                </c:pt>
                <c:pt idx="873">
                  <c:v>-0.46479517587941671</c:v>
                </c:pt>
                <c:pt idx="874">
                  <c:v>-0.46540195489728498</c:v>
                </c:pt>
                <c:pt idx="875">
                  <c:v>-0.46564145971485621</c:v>
                </c:pt>
                <c:pt idx="876">
                  <c:v>-0.46636739309894876</c:v>
                </c:pt>
                <c:pt idx="877">
                  <c:v>-0.46679624622796806</c:v>
                </c:pt>
                <c:pt idx="878">
                  <c:v>-0.46716942946551077</c:v>
                </c:pt>
                <c:pt idx="879">
                  <c:v>-0.46765129336645506</c:v>
                </c:pt>
                <c:pt idx="880">
                  <c:v>-0.46814933061505953</c:v>
                </c:pt>
                <c:pt idx="881">
                  <c:v>-0.46857200320421993</c:v>
                </c:pt>
                <c:pt idx="882">
                  <c:v>-0.46902437929145108</c:v>
                </c:pt>
                <c:pt idx="883">
                  <c:v>-0.46957638444616984</c:v>
                </c:pt>
                <c:pt idx="884">
                  <c:v>-0.47004923715040292</c:v>
                </c:pt>
                <c:pt idx="885">
                  <c:v>-0.47073352288756681</c:v>
                </c:pt>
                <c:pt idx="886">
                  <c:v>-0.47099248432482105</c:v>
                </c:pt>
                <c:pt idx="887">
                  <c:v>-0.47143322686910799</c:v>
                </c:pt>
                <c:pt idx="888">
                  <c:v>-0.47196227246976052</c:v>
                </c:pt>
                <c:pt idx="889">
                  <c:v>-0.47211679458904443</c:v>
                </c:pt>
                <c:pt idx="890">
                  <c:v>-0.47284484840186686</c:v>
                </c:pt>
                <c:pt idx="891">
                  <c:v>-0.47335916892866287</c:v>
                </c:pt>
                <c:pt idx="892">
                  <c:v>-0.4738978211183123</c:v>
                </c:pt>
                <c:pt idx="893">
                  <c:v>-0.47468660954154035</c:v>
                </c:pt>
                <c:pt idx="894">
                  <c:v>-0.47476790011344588</c:v>
                </c:pt>
                <c:pt idx="895">
                  <c:v>-0.47555314652261838</c:v>
                </c:pt>
                <c:pt idx="896">
                  <c:v>-0.47600784289281944</c:v>
                </c:pt>
                <c:pt idx="897">
                  <c:v>-0.47646702094217763</c:v>
                </c:pt>
                <c:pt idx="898">
                  <c:v>-0.47691715164357684</c:v>
                </c:pt>
                <c:pt idx="899">
                  <c:v>-0.47762893964274689</c:v>
                </c:pt>
                <c:pt idx="900">
                  <c:v>-0.47780232433159503</c:v>
                </c:pt>
                <c:pt idx="901">
                  <c:v>-0.47819414901600482</c:v>
                </c:pt>
                <c:pt idx="902">
                  <c:v>-0.47875280274786292</c:v>
                </c:pt>
                <c:pt idx="903">
                  <c:v>-0.47923902405049668</c:v>
                </c:pt>
                <c:pt idx="904">
                  <c:v>-0.47964518782125037</c:v>
                </c:pt>
                <c:pt idx="905">
                  <c:v>-0.48007497531864834</c:v>
                </c:pt>
                <c:pt idx="906">
                  <c:v>-0.48076740890650377</c:v>
                </c:pt>
                <c:pt idx="907">
                  <c:v>-0.48110191686014342</c:v>
                </c:pt>
                <c:pt idx="908">
                  <c:v>-0.48154756948994348</c:v>
                </c:pt>
                <c:pt idx="909">
                  <c:v>-0.48215835189031514</c:v>
                </c:pt>
                <c:pt idx="910">
                  <c:v>-0.48246079967158062</c:v>
                </c:pt>
                <c:pt idx="911">
                  <c:v>-0.48284906302104641</c:v>
                </c:pt>
                <c:pt idx="912">
                  <c:v>-0.48360046194850531</c:v>
                </c:pt>
                <c:pt idx="913">
                  <c:v>-0.48418728141470935</c:v>
                </c:pt>
                <c:pt idx="914">
                  <c:v>-0.48458616875328203</c:v>
                </c:pt>
                <c:pt idx="915">
                  <c:v>-0.48501394612220727</c:v>
                </c:pt>
                <c:pt idx="916">
                  <c:v>-0.48570928354077847</c:v>
                </c:pt>
                <c:pt idx="917">
                  <c:v>-0.4859981723176896</c:v>
                </c:pt>
                <c:pt idx="918">
                  <c:v>-0.48668967016964176</c:v>
                </c:pt>
                <c:pt idx="919">
                  <c:v>-0.48702895451283207</c:v>
                </c:pt>
                <c:pt idx="920">
                  <c:v>-0.48770685611766523</c:v>
                </c:pt>
                <c:pt idx="921">
                  <c:v>-0.48818478689765959</c:v>
                </c:pt>
                <c:pt idx="922">
                  <c:v>-0.48854943788482913</c:v>
                </c:pt>
                <c:pt idx="923">
                  <c:v>-0.48888634968578498</c:v>
                </c:pt>
                <c:pt idx="924">
                  <c:v>-0.48964556946023086</c:v>
                </c:pt>
                <c:pt idx="925">
                  <c:v>-0.49011777634518416</c:v>
                </c:pt>
                <c:pt idx="926">
                  <c:v>-0.49059513149368961</c:v>
                </c:pt>
                <c:pt idx="927">
                  <c:v>-0.49121144707458742</c:v>
                </c:pt>
                <c:pt idx="928">
                  <c:v>-0.49142065839354437</c:v>
                </c:pt>
                <c:pt idx="929">
                  <c:v>-0.49212301937861569</c:v>
                </c:pt>
                <c:pt idx="930">
                  <c:v>-0.49268716429936926</c:v>
                </c:pt>
                <c:pt idx="931">
                  <c:v>-0.49305178754592477</c:v>
                </c:pt>
                <c:pt idx="932">
                  <c:v>-0.49326648595104999</c:v>
                </c:pt>
                <c:pt idx="933">
                  <c:v>-0.49404230890156398</c:v>
                </c:pt>
                <c:pt idx="934">
                  <c:v>-0.49459187913440827</c:v>
                </c:pt>
                <c:pt idx="935">
                  <c:v>-0.49505368329535759</c:v>
                </c:pt>
                <c:pt idx="936">
                  <c:v>-0.495561707535012</c:v>
                </c:pt>
                <c:pt idx="937">
                  <c:v>-0.4962876004280864</c:v>
                </c:pt>
                <c:pt idx="938">
                  <c:v>-0.49621154086235097</c:v>
                </c:pt>
                <c:pt idx="939">
                  <c:v>-0.49689479865680458</c:v>
                </c:pt>
                <c:pt idx="940">
                  <c:v>-0.49730342066889494</c:v>
                </c:pt>
                <c:pt idx="941">
                  <c:v>-0.49790544378947776</c:v>
                </c:pt>
                <c:pt idx="942">
                  <c:v>-0.49851732411066424</c:v>
                </c:pt>
                <c:pt idx="943">
                  <c:v>-0.49905873876294804</c:v>
                </c:pt>
                <c:pt idx="944">
                  <c:v>-0.49942883500419633</c:v>
                </c:pt>
                <c:pt idx="945">
                  <c:v>-0.49996048814676536</c:v>
                </c:pt>
                <c:pt idx="946">
                  <c:v>-0.50024196276948396</c:v>
                </c:pt>
                <c:pt idx="947">
                  <c:v>-0.50067489504684659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56-4628-AFFD-01D088FB3E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928264552"/>
        <c:axId val="928261312"/>
      </c:scatterChart>
      <c:valAx>
        <c:axId val="92826455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61312"/>
        <c:crosses val="autoZero"/>
        <c:crossBetween val="midCat"/>
      </c:valAx>
      <c:valAx>
        <c:axId val="928261312"/>
        <c:scaling>
          <c:orientation val="minMax"/>
          <c:max val="1.0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2826455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193862</xdr:colOff>
      <xdr:row>8</xdr:row>
      <xdr:rowOff>112807</xdr:rowOff>
    </xdr:from>
    <xdr:to>
      <xdr:col>14</xdr:col>
      <xdr:colOff>86591</xdr:colOff>
      <xdr:row>34</xdr:row>
      <xdr:rowOff>123266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F77F41F-FAD0-6BB3-5DF9-C93C0CA693C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224117</xdr:colOff>
      <xdr:row>35</xdr:row>
      <xdr:rowOff>73959</xdr:rowOff>
    </xdr:from>
    <xdr:to>
      <xdr:col>14</xdr:col>
      <xdr:colOff>86591</xdr:colOff>
      <xdr:row>46</xdr:row>
      <xdr:rowOff>121229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45D0711E-DC1F-AC79-D6D7-324835E2DB4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287296</xdr:colOff>
      <xdr:row>43</xdr:row>
      <xdr:rowOff>3920</xdr:rowOff>
    </xdr:from>
    <xdr:to>
      <xdr:col>15</xdr:col>
      <xdr:colOff>123265</xdr:colOff>
      <xdr:row>62</xdr:row>
      <xdr:rowOff>100853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D7217FC-7874-7B39-4F1F-923A4884E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832037</xdr:colOff>
      <xdr:row>13</xdr:row>
      <xdr:rowOff>189379</xdr:rowOff>
    </xdr:from>
    <xdr:to>
      <xdr:col>18</xdr:col>
      <xdr:colOff>655824</xdr:colOff>
      <xdr:row>31</xdr:row>
      <xdr:rowOff>160804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B5C51485-A56C-6742-7D1F-3A637F9BEDA3}"/>
            </a:ext>
            <a:ext uri="{147F2762-F138-4A5C-976F-8EAC2B608ADB}">
              <a16:predDERef xmlns:a16="http://schemas.microsoft.com/office/drawing/2014/main" pred="{5D7217FC-7874-7B39-4F1F-923A4884EA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238125</xdr:colOff>
      <xdr:row>29</xdr:row>
      <xdr:rowOff>142875</xdr:rowOff>
    </xdr:from>
    <xdr:to>
      <xdr:col>19</xdr:col>
      <xdr:colOff>4762</xdr:colOff>
      <xdr:row>47</xdr:row>
      <xdr:rowOff>114300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F49F313-C42B-405E-B77D-120E670A41E9}"/>
            </a:ext>
            <a:ext uri="{147F2762-F138-4A5C-976F-8EAC2B608ADB}">
              <a16:predDERef xmlns:a16="http://schemas.microsoft.com/office/drawing/2014/main" pred="{B5C51485-A56C-6742-7D1F-3A637F9BEDA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Analog - 9-9-2024 5-58-51.3 PM" connectionId="1" xr16:uid="{49E273BC-352C-4843-8916-B77AD5D40F0A}" autoFormatId="16" applyNumberFormats="0" applyBorderFormats="0" applyFontFormats="1" applyPatternFormats="1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convectionlab data" connectionId="2" xr16:uid="{565ED21B-8A1D-F842-AEDF-40DAA0E75976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queryTable" Target="../queryTables/queryTable2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74B68-BE8E-2647-BA8A-704C852561F0}">
  <dimension ref="A1:L54"/>
  <sheetViews>
    <sheetView zoomScaleNormal="100" workbookViewId="0">
      <selection activeCell="J5" sqref="J5"/>
    </sheetView>
  </sheetViews>
  <sheetFormatPr defaultColWidth="11" defaultRowHeight="15.75"/>
  <cols>
    <col min="1" max="1" width="11.25" style="11" bestFit="1" customWidth="1"/>
    <col min="2" max="9" width="6.875" style="11" bestFit="1" customWidth="1"/>
    <col min="12" max="12" width="54.5" customWidth="1"/>
  </cols>
  <sheetData>
    <row r="1" spans="1:12">
      <c r="A1" s="11" t="s">
        <v>0</v>
      </c>
      <c r="B1" s="11">
        <v>0</v>
      </c>
      <c r="C1" s="11">
        <v>15</v>
      </c>
      <c r="D1" s="11">
        <v>30</v>
      </c>
      <c r="E1" s="11">
        <f>D1+45</f>
        <v>75</v>
      </c>
      <c r="F1" s="11">
        <f t="shared" ref="F1:I1" si="0">E1+15</f>
        <v>90</v>
      </c>
      <c r="G1" s="11">
        <f>F1+45</f>
        <v>135</v>
      </c>
      <c r="H1" s="11">
        <f t="shared" si="0"/>
        <v>150</v>
      </c>
      <c r="I1" s="11">
        <f t="shared" si="0"/>
        <v>165</v>
      </c>
      <c r="K1" s="9" t="s">
        <v>1</v>
      </c>
      <c r="L1" s="10" t="s">
        <v>2</v>
      </c>
    </row>
    <row r="2" spans="1:12" ht="16.5" thickBot="1">
      <c r="A2" s="12" t="s">
        <v>3</v>
      </c>
      <c r="B2" s="12" t="s">
        <v>4</v>
      </c>
      <c r="C2" s="12" t="s">
        <v>5</v>
      </c>
      <c r="D2" s="12" t="s">
        <v>6</v>
      </c>
      <c r="E2" s="12" t="s">
        <v>7</v>
      </c>
      <c r="F2" s="12" t="s">
        <v>8</v>
      </c>
      <c r="G2" s="12" t="s">
        <v>9</v>
      </c>
      <c r="H2" s="12" t="s">
        <v>10</v>
      </c>
      <c r="I2" s="12" t="s">
        <v>11</v>
      </c>
      <c r="L2" s="10" t="s">
        <v>12</v>
      </c>
    </row>
    <row r="3" spans="1:12">
      <c r="A3" s="11">
        <v>45544.749204861109</v>
      </c>
      <c r="B3" s="11">
        <v>39.156999999999996</v>
      </c>
      <c r="C3" s="11">
        <v>38.162999999999997</v>
      </c>
      <c r="D3" s="11">
        <v>36.999000000000002</v>
      </c>
      <c r="E3" s="11">
        <v>33.817</v>
      </c>
      <c r="F3" s="11">
        <v>32.781999999999996</v>
      </c>
      <c r="G3" s="11">
        <v>29.870999999999999</v>
      </c>
      <c r="H3" s="11">
        <v>28.934000000000001</v>
      </c>
      <c r="I3" s="11">
        <v>28.094999999999999</v>
      </c>
      <c r="L3" s="10" t="s">
        <v>13</v>
      </c>
    </row>
    <row r="4" spans="1:12">
      <c r="A4" s="11">
        <v>45544.749210648151</v>
      </c>
      <c r="B4" s="11">
        <v>39.165999999999997</v>
      </c>
      <c r="C4" s="11">
        <v>38.164999999999999</v>
      </c>
      <c r="D4" s="11">
        <v>36.997999999999998</v>
      </c>
      <c r="E4" s="11">
        <v>33.822000000000003</v>
      </c>
      <c r="F4" s="11">
        <v>32.777000000000001</v>
      </c>
      <c r="G4" s="11">
        <v>29.875</v>
      </c>
      <c r="H4" s="11">
        <v>28.934000000000001</v>
      </c>
      <c r="I4" s="11">
        <v>28.094000000000001</v>
      </c>
      <c r="L4" s="10" t="s">
        <v>14</v>
      </c>
    </row>
    <row r="5" spans="1:12">
      <c r="A5" s="11">
        <v>45544.749216435186</v>
      </c>
      <c r="B5" s="11">
        <v>39.167000000000002</v>
      </c>
      <c r="C5" s="11">
        <v>38.164999999999999</v>
      </c>
      <c r="D5" s="11">
        <v>37.033999999999999</v>
      </c>
      <c r="E5" s="11">
        <v>33.838000000000001</v>
      </c>
      <c r="F5" s="11">
        <v>32.801000000000002</v>
      </c>
      <c r="G5" s="11">
        <v>29.890999999999998</v>
      </c>
      <c r="H5" s="11">
        <v>28.951000000000001</v>
      </c>
      <c r="I5" s="11">
        <v>28.113</v>
      </c>
      <c r="L5" s="10" t="s">
        <v>15</v>
      </c>
    </row>
    <row r="6" spans="1:12">
      <c r="A6" s="11">
        <v>45544.749222222221</v>
      </c>
      <c r="B6" s="11">
        <v>39.176000000000002</v>
      </c>
      <c r="C6" s="11">
        <v>38.164999999999999</v>
      </c>
      <c r="D6" s="11">
        <v>37.021000000000001</v>
      </c>
      <c r="E6" s="11">
        <v>33.834000000000003</v>
      </c>
      <c r="F6" s="11">
        <v>32.802999999999997</v>
      </c>
      <c r="G6" s="11">
        <v>29.882999999999999</v>
      </c>
      <c r="H6" s="11">
        <v>28.949000000000002</v>
      </c>
      <c r="I6" s="11">
        <v>28.109000000000002</v>
      </c>
      <c r="L6" s="10" t="s">
        <v>16</v>
      </c>
    </row>
    <row r="7" spans="1:12">
      <c r="A7" s="11">
        <v>45544.749228009263</v>
      </c>
      <c r="B7" s="11">
        <v>39.173999999999999</v>
      </c>
      <c r="C7" s="11">
        <v>38.185000000000002</v>
      </c>
      <c r="D7" s="11">
        <v>37.021000000000001</v>
      </c>
      <c r="E7" s="11">
        <v>33.840000000000003</v>
      </c>
      <c r="F7" s="11">
        <v>32.817999999999998</v>
      </c>
      <c r="G7" s="11">
        <v>29.895</v>
      </c>
      <c r="H7" s="11">
        <v>28.981000000000002</v>
      </c>
      <c r="I7" s="11">
        <v>28.125</v>
      </c>
      <c r="L7" s="10" t="s">
        <v>17</v>
      </c>
    </row>
    <row r="8" spans="1:12">
      <c r="A8" s="11">
        <v>45544.749233796298</v>
      </c>
      <c r="B8" s="11">
        <v>39.173999999999999</v>
      </c>
      <c r="C8" s="11">
        <v>38.177</v>
      </c>
      <c r="D8" s="11">
        <v>37.024000000000001</v>
      </c>
      <c r="E8" s="11">
        <v>33.832999999999998</v>
      </c>
      <c r="F8" s="11">
        <v>32.816000000000003</v>
      </c>
      <c r="G8" s="11">
        <v>29.885999999999999</v>
      </c>
      <c r="H8" s="11">
        <v>28.975999999999999</v>
      </c>
      <c r="I8" s="11">
        <v>28.123000000000001</v>
      </c>
      <c r="L8" s="10" t="s">
        <v>18</v>
      </c>
    </row>
    <row r="9" spans="1:12">
      <c r="A9" s="11">
        <v>45544.749239583332</v>
      </c>
      <c r="B9" s="11">
        <v>39.179000000000002</v>
      </c>
      <c r="C9" s="11">
        <v>38.174999999999997</v>
      </c>
      <c r="D9" s="11">
        <v>37.018000000000001</v>
      </c>
      <c r="E9" s="11">
        <v>33.835000000000001</v>
      </c>
      <c r="F9" s="11">
        <v>32.829000000000001</v>
      </c>
      <c r="G9" s="11">
        <v>29.902999999999999</v>
      </c>
      <c r="H9" s="11">
        <v>28.992000000000001</v>
      </c>
      <c r="I9" s="11">
        <v>28.138999999999999</v>
      </c>
    </row>
    <row r="10" spans="1:12">
      <c r="A10" s="11">
        <v>45544.749245370367</v>
      </c>
      <c r="B10" s="11">
        <v>39.177999999999997</v>
      </c>
      <c r="C10" s="11">
        <v>38.174999999999997</v>
      </c>
      <c r="D10" s="11">
        <v>37.029000000000003</v>
      </c>
      <c r="E10" s="11">
        <v>33.835000000000001</v>
      </c>
      <c r="F10" s="11">
        <v>32.817</v>
      </c>
      <c r="G10" s="11">
        <v>29.902999999999999</v>
      </c>
      <c r="H10" s="11">
        <v>28.975000000000001</v>
      </c>
      <c r="I10" s="11">
        <v>28.146000000000001</v>
      </c>
    </row>
    <row r="11" spans="1:12">
      <c r="A11" s="11">
        <v>45544.749251157409</v>
      </c>
      <c r="B11" s="11">
        <v>39.17</v>
      </c>
      <c r="C11" s="11">
        <v>38.180999999999997</v>
      </c>
      <c r="D11" s="11">
        <v>37.015000000000001</v>
      </c>
      <c r="E11" s="11">
        <v>33.843000000000004</v>
      </c>
      <c r="F11" s="11">
        <v>32.832000000000001</v>
      </c>
      <c r="G11" s="11">
        <v>29.901</v>
      </c>
      <c r="H11" s="11">
        <v>28.983000000000001</v>
      </c>
      <c r="I11" s="11">
        <v>28.146000000000001</v>
      </c>
    </row>
    <row r="12" spans="1:12">
      <c r="A12" s="11">
        <v>45544.749256944444</v>
      </c>
      <c r="B12" s="11">
        <v>39.167999999999999</v>
      </c>
      <c r="C12" s="11">
        <v>38.180999999999997</v>
      </c>
      <c r="D12" s="11">
        <v>37.015000000000001</v>
      </c>
      <c r="E12" s="11">
        <v>33.831000000000003</v>
      </c>
      <c r="F12" s="11">
        <v>32.832000000000001</v>
      </c>
      <c r="G12" s="11">
        <v>29.907</v>
      </c>
      <c r="H12" s="11">
        <v>28.981999999999999</v>
      </c>
      <c r="I12" s="11">
        <v>28.132000000000001</v>
      </c>
    </row>
    <row r="13" spans="1:12">
      <c r="A13" s="11">
        <v>45544.749262731479</v>
      </c>
      <c r="B13" s="11">
        <v>39.167999999999999</v>
      </c>
      <c r="C13" s="11">
        <v>38.185000000000002</v>
      </c>
      <c r="D13" s="11">
        <v>37.024999999999999</v>
      </c>
      <c r="E13" s="11">
        <v>33.843000000000004</v>
      </c>
      <c r="F13" s="11">
        <v>32.823</v>
      </c>
      <c r="G13" s="11">
        <v>29.911000000000001</v>
      </c>
      <c r="H13" s="11">
        <v>28.98</v>
      </c>
      <c r="I13" s="11">
        <v>28.14</v>
      </c>
    </row>
    <row r="14" spans="1:12">
      <c r="A14" s="11">
        <v>45544.749268518521</v>
      </c>
      <c r="B14" s="11">
        <v>39.17</v>
      </c>
      <c r="C14" s="11">
        <v>38.18</v>
      </c>
      <c r="D14" s="11">
        <v>37.027999999999999</v>
      </c>
      <c r="E14" s="11">
        <v>33.831000000000003</v>
      </c>
      <c r="F14" s="11">
        <v>32.82</v>
      </c>
      <c r="G14" s="11">
        <v>29.911000000000001</v>
      </c>
      <c r="H14" s="11">
        <v>28.98</v>
      </c>
      <c r="I14" s="11">
        <v>28.145</v>
      </c>
    </row>
    <row r="15" spans="1:12">
      <c r="A15" s="11">
        <v>45544.749274305555</v>
      </c>
      <c r="B15" s="11">
        <v>39.173999999999999</v>
      </c>
      <c r="C15" s="11">
        <v>38.18</v>
      </c>
      <c r="D15" s="11">
        <v>37.031999999999996</v>
      </c>
      <c r="E15" s="11">
        <v>33.831000000000003</v>
      </c>
      <c r="F15" s="11">
        <v>32.817999999999998</v>
      </c>
      <c r="G15" s="11">
        <v>29.911000000000001</v>
      </c>
      <c r="H15" s="11">
        <v>28.984999999999999</v>
      </c>
      <c r="I15" s="11">
        <v>28.138999999999999</v>
      </c>
    </row>
    <row r="16" spans="1:12">
      <c r="A16" s="11">
        <v>45544.74928009259</v>
      </c>
      <c r="B16" s="11">
        <v>39.183999999999997</v>
      </c>
      <c r="C16" s="11">
        <v>38.188000000000002</v>
      </c>
      <c r="D16" s="11">
        <v>37.015000000000001</v>
      </c>
      <c r="E16" s="11">
        <v>33.85</v>
      </c>
      <c r="F16" s="11">
        <v>32.828000000000003</v>
      </c>
      <c r="G16" s="11">
        <v>29.913</v>
      </c>
      <c r="H16" s="11">
        <v>28.984999999999999</v>
      </c>
      <c r="I16" s="11">
        <v>28.138999999999999</v>
      </c>
    </row>
    <row r="17" spans="1:9">
      <c r="A17" s="11">
        <v>45544.749285879632</v>
      </c>
      <c r="B17" s="11">
        <v>39.167000000000002</v>
      </c>
      <c r="C17" s="11">
        <v>38.174999999999997</v>
      </c>
      <c r="D17" s="11">
        <v>37.015000000000001</v>
      </c>
      <c r="E17" s="11">
        <v>33.829000000000001</v>
      </c>
      <c r="F17" s="11">
        <v>32.828000000000003</v>
      </c>
      <c r="G17" s="11">
        <v>29.91</v>
      </c>
      <c r="H17" s="11">
        <v>28.992000000000001</v>
      </c>
      <c r="I17" s="11">
        <v>28.146999999999998</v>
      </c>
    </row>
    <row r="18" spans="1:9">
      <c r="A18" s="11">
        <v>45544.749291666667</v>
      </c>
      <c r="B18" s="11">
        <v>39.167000000000002</v>
      </c>
      <c r="C18" s="11">
        <v>38.174999999999997</v>
      </c>
      <c r="D18" s="11">
        <v>37.021000000000001</v>
      </c>
      <c r="E18" s="11">
        <v>33.838000000000001</v>
      </c>
      <c r="F18" s="11">
        <v>32.835000000000001</v>
      </c>
      <c r="G18" s="11">
        <v>29.913</v>
      </c>
      <c r="H18" s="11">
        <v>28.988</v>
      </c>
      <c r="I18" s="11">
        <v>28.152000000000001</v>
      </c>
    </row>
    <row r="19" spans="1:9">
      <c r="A19" s="11">
        <v>45544.749297453702</v>
      </c>
      <c r="B19" s="11">
        <v>39.171999999999997</v>
      </c>
      <c r="C19" s="11">
        <v>38.185000000000002</v>
      </c>
      <c r="D19" s="11">
        <v>37.020000000000003</v>
      </c>
      <c r="E19" s="11">
        <v>33.844000000000001</v>
      </c>
      <c r="F19" s="11">
        <v>32.835999999999999</v>
      </c>
      <c r="G19" s="11">
        <v>29.928999999999998</v>
      </c>
      <c r="H19" s="11">
        <v>29.003</v>
      </c>
      <c r="I19" s="11">
        <v>28.155000000000001</v>
      </c>
    </row>
    <row r="20" spans="1:9">
      <c r="A20" s="11">
        <v>45544.749303240744</v>
      </c>
      <c r="B20" s="11">
        <v>39.176000000000002</v>
      </c>
      <c r="C20" s="11">
        <v>38.185000000000002</v>
      </c>
      <c r="D20" s="11">
        <v>37.011000000000003</v>
      </c>
      <c r="E20" s="11">
        <v>33.844000000000001</v>
      </c>
      <c r="F20" s="11">
        <v>32.847000000000001</v>
      </c>
      <c r="G20" s="11">
        <v>29.916</v>
      </c>
      <c r="H20" s="11">
        <v>29.006</v>
      </c>
      <c r="I20" s="11">
        <v>28.155000000000001</v>
      </c>
    </row>
    <row r="21" spans="1:9">
      <c r="A21" s="11">
        <v>45544.749309027779</v>
      </c>
      <c r="B21" s="11">
        <v>39.173999999999999</v>
      </c>
      <c r="C21" s="11">
        <v>38.174999999999997</v>
      </c>
      <c r="D21" s="11">
        <v>37.018000000000001</v>
      </c>
      <c r="E21" s="11">
        <v>33.828000000000003</v>
      </c>
      <c r="F21" s="11">
        <v>32.82</v>
      </c>
      <c r="G21" s="11">
        <v>29.902000000000001</v>
      </c>
      <c r="H21" s="11">
        <v>28.992000000000001</v>
      </c>
      <c r="I21" s="11">
        <v>28.14</v>
      </c>
    </row>
    <row r="22" spans="1:9">
      <c r="A22" s="11">
        <v>45544.749314814813</v>
      </c>
      <c r="B22" s="11">
        <v>39.158999999999999</v>
      </c>
      <c r="C22" s="11">
        <v>38.180999999999997</v>
      </c>
      <c r="D22" s="11">
        <v>37.018000000000001</v>
      </c>
      <c r="E22" s="11">
        <v>33.832999999999998</v>
      </c>
      <c r="F22" s="11">
        <v>32.82</v>
      </c>
      <c r="G22" s="11">
        <v>29.914999999999999</v>
      </c>
      <c r="H22" s="11">
        <v>28.98</v>
      </c>
      <c r="I22" s="11">
        <v>28.15</v>
      </c>
    </row>
    <row r="23" spans="1:9">
      <c r="A23" s="11">
        <v>45544.749320601855</v>
      </c>
      <c r="B23" s="11">
        <v>39.158999999999999</v>
      </c>
      <c r="C23" s="11">
        <v>38.195999999999998</v>
      </c>
      <c r="D23" s="11">
        <v>37.011000000000003</v>
      </c>
      <c r="E23" s="11">
        <v>33.856999999999999</v>
      </c>
      <c r="F23" s="11">
        <v>32.828000000000003</v>
      </c>
      <c r="G23" s="11">
        <v>29.899000000000001</v>
      </c>
      <c r="H23" s="11">
        <v>28.975000000000001</v>
      </c>
      <c r="I23" s="11">
        <v>28.138000000000002</v>
      </c>
    </row>
    <row r="24" spans="1:9">
      <c r="A24" s="11">
        <v>45544.74932638889</v>
      </c>
      <c r="B24" s="11">
        <v>39.176000000000002</v>
      </c>
      <c r="C24" s="11">
        <v>38.183999999999997</v>
      </c>
      <c r="D24" s="11">
        <v>37.024999999999999</v>
      </c>
      <c r="E24" s="11">
        <v>33.834000000000003</v>
      </c>
      <c r="F24" s="11">
        <v>32.835000000000001</v>
      </c>
      <c r="G24" s="11">
        <v>29.899000000000001</v>
      </c>
      <c r="H24" s="11">
        <v>28.975000000000001</v>
      </c>
      <c r="I24" s="11">
        <v>28.155000000000001</v>
      </c>
    </row>
    <row r="25" spans="1:9">
      <c r="A25" s="11">
        <v>45544.749332175925</v>
      </c>
      <c r="B25" s="11">
        <v>39.168999999999997</v>
      </c>
      <c r="C25" s="11">
        <v>38.183999999999997</v>
      </c>
      <c r="D25" s="11">
        <v>37.006</v>
      </c>
      <c r="E25" s="11">
        <v>33.834000000000003</v>
      </c>
      <c r="F25" s="11">
        <v>32.83</v>
      </c>
      <c r="G25" s="11">
        <v>29.902000000000001</v>
      </c>
      <c r="H25" s="11">
        <v>28.983000000000001</v>
      </c>
      <c r="I25" s="11">
        <v>28.149000000000001</v>
      </c>
    </row>
    <row r="26" spans="1:9">
      <c r="A26" s="11">
        <v>45544.74933796296</v>
      </c>
      <c r="B26" s="11">
        <v>39.18</v>
      </c>
      <c r="C26" s="11">
        <v>38.177999999999997</v>
      </c>
      <c r="D26" s="11">
        <v>37.015999999999998</v>
      </c>
      <c r="E26" s="11">
        <v>33.844000000000001</v>
      </c>
      <c r="F26" s="11">
        <v>32.823</v>
      </c>
      <c r="G26" s="11">
        <v>29.908999999999999</v>
      </c>
      <c r="H26" s="11">
        <v>28.986000000000001</v>
      </c>
      <c r="I26" s="11">
        <v>28.149000000000001</v>
      </c>
    </row>
    <row r="27" spans="1:9">
      <c r="A27" s="11">
        <v>45544.749343750002</v>
      </c>
      <c r="B27" s="11">
        <v>39.18</v>
      </c>
      <c r="C27" s="11">
        <v>38.177</v>
      </c>
      <c r="D27" s="11">
        <v>37.015999999999998</v>
      </c>
      <c r="E27" s="11">
        <v>33.85</v>
      </c>
      <c r="F27" s="11">
        <v>32.823</v>
      </c>
      <c r="G27" s="11">
        <v>29.914999999999999</v>
      </c>
      <c r="H27" s="11">
        <v>28.984999999999999</v>
      </c>
      <c r="I27" s="11">
        <v>28.138000000000002</v>
      </c>
    </row>
    <row r="28" spans="1:9">
      <c r="A28" s="11">
        <v>45544.749349537036</v>
      </c>
      <c r="B28" s="11">
        <v>39.179000000000002</v>
      </c>
      <c r="C28" s="11">
        <v>38.162999999999997</v>
      </c>
      <c r="D28" s="11">
        <v>37.018000000000001</v>
      </c>
      <c r="E28" s="11">
        <v>33.847999999999999</v>
      </c>
      <c r="F28" s="11">
        <v>32.820999999999998</v>
      </c>
      <c r="G28" s="11">
        <v>29.914999999999999</v>
      </c>
      <c r="H28" s="11">
        <v>28.984999999999999</v>
      </c>
      <c r="I28" s="11">
        <v>28.138000000000002</v>
      </c>
    </row>
    <row r="29" spans="1:9">
      <c r="A29" s="11">
        <v>45544.749355324071</v>
      </c>
      <c r="B29" s="11">
        <v>39.188000000000002</v>
      </c>
      <c r="C29" s="11">
        <v>38.185000000000002</v>
      </c>
      <c r="D29" s="11">
        <v>37.003</v>
      </c>
      <c r="E29" s="11">
        <v>33.847999999999999</v>
      </c>
      <c r="F29" s="11">
        <v>32.834000000000003</v>
      </c>
      <c r="G29" s="11">
        <v>29.93</v>
      </c>
      <c r="H29" s="11">
        <v>29</v>
      </c>
      <c r="I29" s="11">
        <v>28.172999999999998</v>
      </c>
    </row>
    <row r="30" spans="1:9">
      <c r="A30" s="11">
        <v>45544.749361111113</v>
      </c>
      <c r="B30" s="11">
        <v>39.180999999999997</v>
      </c>
      <c r="C30" s="11">
        <v>38.185000000000002</v>
      </c>
      <c r="D30" s="11">
        <v>37.011000000000003</v>
      </c>
      <c r="E30" s="11">
        <v>33.838000000000001</v>
      </c>
      <c r="F30" s="11">
        <v>32.843000000000004</v>
      </c>
      <c r="G30" s="11">
        <v>29.931999999999999</v>
      </c>
      <c r="H30" s="11">
        <v>28.988</v>
      </c>
      <c r="I30" s="11">
        <v>28.158999999999999</v>
      </c>
    </row>
    <row r="31" spans="1:9">
      <c r="A31" s="11">
        <v>45544.749366898148</v>
      </c>
      <c r="B31" s="11">
        <v>39.18</v>
      </c>
      <c r="C31" s="11">
        <v>38.177999999999997</v>
      </c>
      <c r="D31" s="11">
        <v>37.01</v>
      </c>
      <c r="E31" s="11">
        <v>33.840000000000003</v>
      </c>
      <c r="F31" s="11">
        <v>32.844000000000001</v>
      </c>
      <c r="G31" s="11">
        <v>29.928999999999998</v>
      </c>
      <c r="H31" s="11">
        <v>28.989000000000001</v>
      </c>
      <c r="I31" s="11">
        <v>28.158999999999999</v>
      </c>
    </row>
    <row r="32" spans="1:9">
      <c r="A32" s="11">
        <v>45544.749372685183</v>
      </c>
      <c r="B32" s="11">
        <v>39.18</v>
      </c>
      <c r="C32" s="11">
        <v>38.19</v>
      </c>
      <c r="D32" s="11">
        <v>37.01</v>
      </c>
      <c r="E32" s="11">
        <v>33.832999999999998</v>
      </c>
      <c r="F32" s="11">
        <v>32.844000000000001</v>
      </c>
      <c r="G32" s="11">
        <v>29.919</v>
      </c>
      <c r="H32" s="11">
        <v>29.006</v>
      </c>
      <c r="I32" s="11">
        <v>28.149000000000001</v>
      </c>
    </row>
    <row r="33" spans="1:9">
      <c r="A33" s="11">
        <v>45544.749378472225</v>
      </c>
      <c r="B33" s="11">
        <v>39.176000000000002</v>
      </c>
      <c r="C33" s="11">
        <v>38.183</v>
      </c>
      <c r="D33" s="11">
        <v>37.021000000000001</v>
      </c>
      <c r="E33" s="11">
        <v>33.838999999999999</v>
      </c>
      <c r="F33" s="11">
        <v>32.86</v>
      </c>
      <c r="G33" s="11">
        <v>29.937999999999999</v>
      </c>
      <c r="H33" s="11">
        <v>29.006</v>
      </c>
      <c r="I33" s="11">
        <v>28.146999999999998</v>
      </c>
    </row>
    <row r="34" spans="1:9">
      <c r="A34" s="11">
        <v>45544.749384259259</v>
      </c>
      <c r="B34" s="11">
        <v>39.168999999999997</v>
      </c>
      <c r="C34" s="11">
        <v>38.188000000000002</v>
      </c>
      <c r="D34" s="11">
        <v>37.015000000000001</v>
      </c>
      <c r="E34" s="11">
        <v>33.838999999999999</v>
      </c>
      <c r="F34" s="11">
        <v>32.848999999999997</v>
      </c>
      <c r="G34" s="11">
        <v>29.937999999999999</v>
      </c>
      <c r="H34" s="11">
        <v>29</v>
      </c>
      <c r="I34" s="11">
        <v>28.152000000000001</v>
      </c>
    </row>
    <row r="35" spans="1:9">
      <c r="A35" s="11">
        <v>45544.749390046294</v>
      </c>
      <c r="B35" s="11">
        <v>39.186</v>
      </c>
      <c r="C35" s="11">
        <v>38.188000000000002</v>
      </c>
      <c r="D35" s="11">
        <v>36.997999999999998</v>
      </c>
      <c r="E35" s="11">
        <v>33.837000000000003</v>
      </c>
      <c r="F35" s="11">
        <v>32.863999999999997</v>
      </c>
      <c r="G35" s="11">
        <v>29.927</v>
      </c>
      <c r="H35" s="11">
        <v>29.001999999999999</v>
      </c>
      <c r="I35" s="11">
        <v>28.164000000000001</v>
      </c>
    </row>
    <row r="36" spans="1:9">
      <c r="A36" s="11">
        <v>45544.749395833336</v>
      </c>
      <c r="B36" s="11">
        <v>39.18</v>
      </c>
      <c r="C36" s="11">
        <v>38.194000000000003</v>
      </c>
      <c r="D36" s="11">
        <v>37.020000000000003</v>
      </c>
      <c r="E36" s="11">
        <v>33.837000000000003</v>
      </c>
      <c r="F36" s="11">
        <v>32.863999999999997</v>
      </c>
      <c r="G36" s="11">
        <v>29.922000000000001</v>
      </c>
      <c r="H36" s="11">
        <v>29.001000000000001</v>
      </c>
      <c r="I36" s="11">
        <v>28.164000000000001</v>
      </c>
    </row>
    <row r="37" spans="1:9">
      <c r="A37" s="11">
        <v>45544.749401620371</v>
      </c>
      <c r="B37" s="11">
        <v>39.18</v>
      </c>
      <c r="C37" s="11">
        <v>38.182000000000002</v>
      </c>
      <c r="D37" s="11">
        <v>37.020000000000003</v>
      </c>
      <c r="E37" s="11">
        <v>33.825000000000003</v>
      </c>
      <c r="F37" s="11">
        <v>32.841999999999999</v>
      </c>
      <c r="G37" s="11">
        <v>29.917999999999999</v>
      </c>
      <c r="H37" s="11">
        <v>29.001999999999999</v>
      </c>
      <c r="I37" s="11">
        <v>28.16</v>
      </c>
    </row>
    <row r="38" spans="1:9">
      <c r="A38" s="11">
        <v>45544.749407407406</v>
      </c>
      <c r="B38" s="11">
        <v>39.185000000000002</v>
      </c>
      <c r="C38" s="11">
        <v>38.180999999999997</v>
      </c>
      <c r="D38" s="11">
        <v>37.011000000000003</v>
      </c>
      <c r="E38" s="11">
        <v>33.834000000000003</v>
      </c>
      <c r="F38" s="11">
        <v>32.834000000000003</v>
      </c>
      <c r="G38" s="11">
        <v>29.940999999999999</v>
      </c>
      <c r="H38" s="11">
        <v>29.001999999999999</v>
      </c>
      <c r="I38" s="11">
        <v>28.157</v>
      </c>
    </row>
    <row r="39" spans="1:9">
      <c r="A39" s="11">
        <v>45544.749413194448</v>
      </c>
      <c r="B39" s="11">
        <v>39.174999999999997</v>
      </c>
      <c r="C39" s="11">
        <v>38.17</v>
      </c>
      <c r="D39" s="11">
        <v>37.020000000000003</v>
      </c>
      <c r="E39" s="11">
        <v>33.834000000000003</v>
      </c>
      <c r="F39" s="11">
        <v>32.848999999999997</v>
      </c>
      <c r="G39" s="11">
        <v>29.940999999999999</v>
      </c>
      <c r="H39" s="11">
        <v>29.013000000000002</v>
      </c>
      <c r="I39" s="11">
        <v>28.163</v>
      </c>
    </row>
    <row r="40" spans="1:9">
      <c r="A40" s="11">
        <v>45544.749418981482</v>
      </c>
      <c r="B40" s="11">
        <v>39.189</v>
      </c>
      <c r="C40" s="11">
        <v>38.17</v>
      </c>
      <c r="D40" s="11">
        <v>37.018000000000001</v>
      </c>
      <c r="E40" s="11">
        <v>33.83</v>
      </c>
      <c r="F40" s="11">
        <v>32.847999999999999</v>
      </c>
      <c r="G40" s="11">
        <v>29.914999999999999</v>
      </c>
      <c r="H40" s="11">
        <v>29.004000000000001</v>
      </c>
      <c r="I40" s="11">
        <v>28.16</v>
      </c>
    </row>
    <row r="41" spans="1:9">
      <c r="A41" s="11">
        <v>45544.749424768517</v>
      </c>
      <c r="B41" s="11">
        <v>39.177999999999997</v>
      </c>
      <c r="C41" s="11">
        <v>38.179000000000002</v>
      </c>
      <c r="D41" s="11">
        <v>37.01</v>
      </c>
      <c r="E41" s="11">
        <v>33.838000000000001</v>
      </c>
      <c r="F41" s="11">
        <v>32.847999999999999</v>
      </c>
      <c r="G41" s="11">
        <v>29.92</v>
      </c>
      <c r="H41" s="11">
        <v>28.997</v>
      </c>
      <c r="I41" s="11">
        <v>28.16</v>
      </c>
    </row>
    <row r="42" spans="1:9">
      <c r="A42" s="11">
        <v>45544.749430555552</v>
      </c>
      <c r="B42" s="11">
        <v>39.177999999999997</v>
      </c>
      <c r="C42" s="11">
        <v>38.18</v>
      </c>
      <c r="D42" s="11">
        <v>37.01</v>
      </c>
      <c r="E42" s="11">
        <v>33.841999999999999</v>
      </c>
      <c r="F42" s="11">
        <v>32.844999999999999</v>
      </c>
      <c r="G42" s="11">
        <v>29.92</v>
      </c>
      <c r="H42" s="11">
        <v>28.998000000000001</v>
      </c>
      <c r="I42" s="11">
        <v>28.158000000000001</v>
      </c>
    </row>
    <row r="43" spans="1:9">
      <c r="A43" s="11">
        <v>45544.749436342594</v>
      </c>
      <c r="B43" s="11">
        <v>39.167000000000002</v>
      </c>
      <c r="C43" s="11">
        <v>38.186999999999998</v>
      </c>
      <c r="D43" s="11">
        <v>37.018000000000001</v>
      </c>
      <c r="E43" s="11">
        <v>33.843000000000004</v>
      </c>
      <c r="F43" s="11">
        <v>32.853999999999999</v>
      </c>
      <c r="G43" s="11">
        <v>29.925999999999998</v>
      </c>
      <c r="H43" s="11">
        <v>28.998000000000001</v>
      </c>
      <c r="I43" s="11">
        <v>28.155000000000001</v>
      </c>
    </row>
    <row r="44" spans="1:9">
      <c r="A44" s="11">
        <v>45544.749442129629</v>
      </c>
      <c r="B44" s="11">
        <v>39.17</v>
      </c>
      <c r="C44" s="11">
        <v>38.173000000000002</v>
      </c>
      <c r="D44" s="11">
        <v>37.012999999999998</v>
      </c>
      <c r="E44" s="11">
        <v>33.843000000000004</v>
      </c>
      <c r="F44" s="11">
        <v>32.844999999999999</v>
      </c>
      <c r="G44" s="11">
        <v>29.925999999999998</v>
      </c>
      <c r="H44" s="11">
        <v>28.998999999999999</v>
      </c>
      <c r="I44" s="11">
        <v>28.155999999999999</v>
      </c>
    </row>
    <row r="45" spans="1:9">
      <c r="A45" s="11">
        <v>45544.749447916663</v>
      </c>
      <c r="B45" s="11">
        <v>39.191000000000003</v>
      </c>
      <c r="C45" s="11">
        <v>38.173000000000002</v>
      </c>
      <c r="D45" s="11">
        <v>37.015000000000001</v>
      </c>
      <c r="E45" s="11">
        <v>33.825000000000003</v>
      </c>
      <c r="F45" s="11">
        <v>32.856000000000002</v>
      </c>
      <c r="G45" s="11">
        <v>29.922000000000001</v>
      </c>
      <c r="H45" s="11">
        <v>28.997</v>
      </c>
      <c r="I45" s="11">
        <v>28.149000000000001</v>
      </c>
    </row>
    <row r="46" spans="1:9">
      <c r="A46" s="11">
        <v>45544.749453703706</v>
      </c>
      <c r="B46" s="11">
        <v>39.188000000000002</v>
      </c>
      <c r="C46" s="11">
        <v>38.180999999999997</v>
      </c>
      <c r="D46" s="11">
        <v>37.015000000000001</v>
      </c>
      <c r="E46" s="11">
        <v>33.831000000000003</v>
      </c>
      <c r="F46" s="11">
        <v>32.856000000000002</v>
      </c>
      <c r="G46" s="11">
        <v>29.920999999999999</v>
      </c>
      <c r="H46" s="11">
        <v>28.995999999999999</v>
      </c>
      <c r="I46" s="11">
        <v>28.149000000000001</v>
      </c>
    </row>
    <row r="47" spans="1:9">
      <c r="A47" s="11">
        <v>45544.74945949074</v>
      </c>
      <c r="B47" s="11">
        <v>39.188000000000002</v>
      </c>
      <c r="C47" s="11">
        <v>38.192999999999998</v>
      </c>
      <c r="D47" s="11">
        <v>37.012999999999998</v>
      </c>
      <c r="E47" s="11">
        <v>33.832999999999998</v>
      </c>
      <c r="F47" s="11">
        <v>32.847000000000001</v>
      </c>
      <c r="G47" s="11">
        <v>29.919</v>
      </c>
      <c r="H47" s="11">
        <v>29.001000000000001</v>
      </c>
      <c r="I47" s="11">
        <v>28.169</v>
      </c>
    </row>
    <row r="48" spans="1:9">
      <c r="B48" s="11">
        <f t="shared" ref="B48:H48" si="1">AVERAGE(B3:B47)</f>
        <v>39.17537777777779</v>
      </c>
      <c r="C48" s="11">
        <f t="shared" si="1"/>
        <v>38.179622222222228</v>
      </c>
      <c r="D48" s="11">
        <f t="shared" si="1"/>
        <v>37.015999999999998</v>
      </c>
      <c r="E48" s="11">
        <f t="shared" si="1"/>
        <v>33.83677777777779</v>
      </c>
      <c r="F48" s="11">
        <f t="shared" si="1"/>
        <v>32.832622222222227</v>
      </c>
      <c r="G48" s="11">
        <f t="shared" si="1"/>
        <v>29.913088888888893</v>
      </c>
      <c r="H48" s="11">
        <f t="shared" si="1"/>
        <v>28.987466666666666</v>
      </c>
      <c r="I48" s="11">
        <f>AVERAGE(I3:I47)</f>
        <v>28.145644444444443</v>
      </c>
    </row>
    <row r="53" spans="1:9">
      <c r="A53" s="11" t="s">
        <v>19</v>
      </c>
      <c r="B53" s="11">
        <v>39.17537777777779</v>
      </c>
      <c r="C53" s="11">
        <v>38.179622222222228</v>
      </c>
      <c r="D53" s="11">
        <v>37.015999999999998</v>
      </c>
      <c r="E53" s="11">
        <v>33.83677777777779</v>
      </c>
      <c r="F53" s="11">
        <v>32.832622222222227</v>
      </c>
      <c r="G53" s="11">
        <v>29.913088888888893</v>
      </c>
      <c r="H53" s="11">
        <v>28.987466666666666</v>
      </c>
      <c r="I53" s="11">
        <v>28.145644444444443</v>
      </c>
    </row>
    <row r="54" spans="1:9">
      <c r="A54" s="11" t="s">
        <v>0</v>
      </c>
      <c r="B54" s="11">
        <v>0</v>
      </c>
      <c r="C54" s="11">
        <v>15</v>
      </c>
      <c r="D54" s="11">
        <v>30</v>
      </c>
      <c r="E54" s="11">
        <f>D54+45</f>
        <v>75</v>
      </c>
      <c r="F54" s="11">
        <f t="shared" ref="F54:I54" si="2">E54+15</f>
        <v>90</v>
      </c>
      <c r="G54" s="11">
        <f>F54+45</f>
        <v>135</v>
      </c>
      <c r="H54" s="11">
        <f t="shared" si="2"/>
        <v>150</v>
      </c>
      <c r="I54" s="11">
        <f t="shared" si="2"/>
        <v>165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4CC3F-A3FA-AF46-B43F-C77BD37092F9}">
  <dimension ref="A1:J20"/>
  <sheetViews>
    <sheetView zoomScale="85" zoomScaleNormal="85" workbookViewId="0">
      <selection activeCell="L16" sqref="L16"/>
    </sheetView>
  </sheetViews>
  <sheetFormatPr defaultColWidth="11" defaultRowHeight="15.75"/>
  <cols>
    <col min="1" max="1" width="20.25" bestFit="1" customWidth="1"/>
    <col min="2" max="2" width="8.25" bestFit="1" customWidth="1"/>
    <col min="3" max="3" width="6.25" bestFit="1" customWidth="1"/>
    <col min="4" max="4" width="8.125" bestFit="1" customWidth="1"/>
    <col min="5" max="5" width="9.25" bestFit="1" customWidth="1"/>
    <col min="6" max="6" width="7.5" bestFit="1" customWidth="1"/>
    <col min="7" max="7" width="9.25" bestFit="1" customWidth="1"/>
    <col min="8" max="8" width="10.25" bestFit="1" customWidth="1"/>
    <col min="9" max="9" width="11.125" bestFit="1" customWidth="1"/>
    <col min="10" max="10" width="8.875" bestFit="1" customWidth="1"/>
  </cols>
  <sheetData>
    <row r="1" spans="1:10" ht="17.100000000000001" customHeight="1" thickBot="1">
      <c r="A1" s="7" t="s">
        <v>20</v>
      </c>
      <c r="B1" s="7" t="s">
        <v>21</v>
      </c>
      <c r="C1" s="7" t="s">
        <v>22</v>
      </c>
      <c r="D1" s="7" t="s">
        <v>23</v>
      </c>
      <c r="E1" s="7" t="s">
        <v>24</v>
      </c>
      <c r="F1" s="7" t="s">
        <v>25</v>
      </c>
      <c r="G1" s="7" t="s">
        <v>26</v>
      </c>
      <c r="H1" s="7" t="s">
        <v>27</v>
      </c>
      <c r="I1" s="7" t="s">
        <v>28</v>
      </c>
      <c r="J1" s="7" t="s">
        <v>29</v>
      </c>
    </row>
    <row r="2" spans="1:10" ht="16.5">
      <c r="A2" s="6">
        <v>2966.9</v>
      </c>
      <c r="B2" s="5">
        <v>4.0250000000000004</v>
      </c>
      <c r="C2" s="4">
        <v>66.959999999999994</v>
      </c>
      <c r="D2" s="2">
        <v>0.99990000000000001</v>
      </c>
      <c r="E2" s="3">
        <v>0.74314814814814811</v>
      </c>
      <c r="F2" s="6">
        <v>5113.8</v>
      </c>
      <c r="G2" s="6">
        <v>5126.3</v>
      </c>
      <c r="H2" s="6">
        <v>12.5</v>
      </c>
      <c r="I2" s="6">
        <v>21.1</v>
      </c>
      <c r="J2" s="6">
        <v>0.7</v>
      </c>
    </row>
    <row r="3" spans="1:10" ht="16.5">
      <c r="A3" s="6">
        <v>2947.2</v>
      </c>
      <c r="B3" s="5">
        <v>3.98</v>
      </c>
      <c r="C3" s="4">
        <v>66.55</v>
      </c>
      <c r="D3" s="2">
        <v>0.99990000000000001</v>
      </c>
      <c r="E3" s="3">
        <v>0.74396990740740743</v>
      </c>
      <c r="F3" s="6">
        <v>5112</v>
      </c>
      <c r="G3" s="6">
        <v>5124.6000000000004</v>
      </c>
      <c r="H3" s="6">
        <v>12.6</v>
      </c>
      <c r="I3" s="6">
        <v>20.9</v>
      </c>
      <c r="J3" s="6">
        <v>0.7</v>
      </c>
    </row>
    <row r="4" spans="1:10" ht="16.5">
      <c r="A4" s="6">
        <v>2945.2</v>
      </c>
      <c r="B4" s="5">
        <v>3.9750000000000001</v>
      </c>
      <c r="C4" s="4">
        <v>66.5</v>
      </c>
      <c r="D4" s="2">
        <v>0.99990000000000001</v>
      </c>
      <c r="E4" s="3">
        <v>0.74480324074074078</v>
      </c>
      <c r="F4" s="6">
        <v>5111.6000000000004</v>
      </c>
      <c r="G4" s="6">
        <v>5124.1000000000004</v>
      </c>
      <c r="H4" s="6">
        <v>12.6</v>
      </c>
      <c r="I4" s="6">
        <v>20.9</v>
      </c>
      <c r="J4" s="6">
        <v>0.7</v>
      </c>
    </row>
    <row r="5" spans="1:10" ht="16.5">
      <c r="A5" s="6">
        <v>2943.9</v>
      </c>
      <c r="B5" s="5">
        <v>3.972</v>
      </c>
      <c r="C5" s="4">
        <v>66.47</v>
      </c>
      <c r="D5" s="2">
        <v>0.99990000000000001</v>
      </c>
      <c r="E5" s="3">
        <v>0.74562499999999998</v>
      </c>
      <c r="F5" s="6">
        <v>5111.5</v>
      </c>
      <c r="G5" s="6">
        <v>5124.1000000000004</v>
      </c>
      <c r="H5" s="6">
        <v>12.6</v>
      </c>
      <c r="I5" s="6">
        <v>20.8</v>
      </c>
      <c r="J5" s="6">
        <v>0.7</v>
      </c>
    </row>
    <row r="6" spans="1:10" ht="16.5">
      <c r="A6" s="6">
        <v>2927.1</v>
      </c>
      <c r="B6" s="5">
        <v>3.9340000000000002</v>
      </c>
      <c r="C6" s="4">
        <v>66.12</v>
      </c>
      <c r="D6" s="2">
        <v>0.99990000000000001</v>
      </c>
      <c r="E6" s="3">
        <v>0.74645833333333333</v>
      </c>
      <c r="F6" s="6">
        <v>5111.3</v>
      </c>
      <c r="G6" s="6">
        <v>5123.8999999999996</v>
      </c>
      <c r="H6" s="6">
        <v>12.6</v>
      </c>
      <c r="I6" s="6">
        <v>20.8</v>
      </c>
      <c r="J6" s="6">
        <v>0.7</v>
      </c>
    </row>
    <row r="7" spans="1:10" ht="16.5">
      <c r="A7" s="6">
        <v>2934.2</v>
      </c>
      <c r="B7" s="5">
        <v>3.95</v>
      </c>
      <c r="C7" s="4">
        <v>66.27</v>
      </c>
      <c r="D7" s="2">
        <v>0.99990000000000001</v>
      </c>
      <c r="E7" s="3">
        <v>0.74729166666666669</v>
      </c>
      <c r="F7" s="6">
        <v>5111.1000000000004</v>
      </c>
      <c r="G7" s="6">
        <v>5123.7</v>
      </c>
      <c r="H7" s="6">
        <v>12.6</v>
      </c>
      <c r="I7" s="6">
        <v>20.8</v>
      </c>
      <c r="J7" s="6">
        <v>0.7</v>
      </c>
    </row>
    <row r="8" spans="1:10" ht="16.5">
      <c r="A8" s="6">
        <v>2944.6</v>
      </c>
      <c r="B8" s="5">
        <v>3.9740000000000002</v>
      </c>
      <c r="C8" s="4">
        <v>66.489999999999995</v>
      </c>
      <c r="D8" s="2">
        <v>0.99990000000000001</v>
      </c>
      <c r="E8" s="3">
        <v>0.74811342592592589</v>
      </c>
      <c r="F8" s="6">
        <v>5111.3999999999996</v>
      </c>
      <c r="G8" s="6">
        <v>5123.8999999999996</v>
      </c>
      <c r="H8" s="6">
        <v>12.6</v>
      </c>
      <c r="I8" s="6">
        <v>20.8</v>
      </c>
      <c r="J8" s="6">
        <v>0.7</v>
      </c>
    </row>
    <row r="9" spans="1:10" ht="16.5">
      <c r="A9" s="6">
        <v>2940</v>
      </c>
      <c r="B9" s="5">
        <v>3.964</v>
      </c>
      <c r="C9" s="4">
        <v>66.39</v>
      </c>
      <c r="D9" s="2">
        <v>0.99990000000000001</v>
      </c>
      <c r="E9" s="3">
        <v>0.74894675925925924</v>
      </c>
      <c r="F9" s="6">
        <v>5111.1000000000004</v>
      </c>
      <c r="G9" s="6">
        <v>5123.6000000000004</v>
      </c>
      <c r="H9" s="6">
        <v>12.5</v>
      </c>
      <c r="I9" s="6">
        <v>20.8</v>
      </c>
      <c r="J9" s="6">
        <v>0.7</v>
      </c>
    </row>
    <row r="10" spans="1:10" ht="16.5">
      <c r="A10" s="6">
        <v>2940.6</v>
      </c>
      <c r="B10" s="5">
        <v>3.9649999999999999</v>
      </c>
      <c r="C10" s="4">
        <v>66.41</v>
      </c>
      <c r="D10" s="2">
        <v>0.99990000000000001</v>
      </c>
      <c r="E10" s="3">
        <v>0.74976851851851856</v>
      </c>
      <c r="F10" s="6">
        <v>5110.8999999999996</v>
      </c>
      <c r="G10" s="6">
        <v>5123.3999999999996</v>
      </c>
      <c r="H10" s="6">
        <v>12.6</v>
      </c>
      <c r="I10" s="6">
        <v>20.8</v>
      </c>
      <c r="J10" s="6">
        <v>0.7</v>
      </c>
    </row>
    <row r="11" spans="1:10" ht="16.5">
      <c r="A11" s="6">
        <v>2948.1</v>
      </c>
      <c r="B11" s="5">
        <v>3.9820000000000002</v>
      </c>
      <c r="C11" s="4">
        <v>66.56</v>
      </c>
      <c r="D11" s="2">
        <v>0.99990000000000001</v>
      </c>
      <c r="E11" s="3">
        <v>0.75059027777777776</v>
      </c>
      <c r="F11" s="6">
        <v>5110.8</v>
      </c>
      <c r="G11" s="6">
        <v>5123.3999999999996</v>
      </c>
      <c r="H11" s="6">
        <v>12.6</v>
      </c>
      <c r="I11" s="6">
        <v>20.8</v>
      </c>
      <c r="J11" s="6">
        <v>0.7</v>
      </c>
    </row>
    <row r="12" spans="1:10" ht="16.5">
      <c r="A12" s="6">
        <v>2944.5</v>
      </c>
      <c r="B12" s="5">
        <v>3.9740000000000002</v>
      </c>
      <c r="C12" s="4">
        <v>66.489999999999995</v>
      </c>
      <c r="D12" s="2">
        <v>0.99990000000000001</v>
      </c>
      <c r="E12" s="3">
        <v>0.75142361111111111</v>
      </c>
      <c r="F12" s="6">
        <v>5111.2</v>
      </c>
      <c r="G12" s="6">
        <v>5123.7</v>
      </c>
      <c r="H12" s="6">
        <v>12.6</v>
      </c>
      <c r="I12" s="6">
        <v>20.8</v>
      </c>
      <c r="J12" s="6">
        <v>0.7</v>
      </c>
    </row>
    <row r="13" spans="1:10" ht="16.5">
      <c r="A13" s="6">
        <v>2933.6</v>
      </c>
      <c r="B13" s="5">
        <v>3.9489999999999998</v>
      </c>
      <c r="C13" s="4">
        <v>66.260000000000005</v>
      </c>
      <c r="D13" s="2">
        <v>0.99990000000000001</v>
      </c>
      <c r="E13" s="3">
        <v>0.75225694444444446</v>
      </c>
      <c r="F13" s="6">
        <v>5111.1000000000004</v>
      </c>
      <c r="G13" s="6">
        <v>5123.7</v>
      </c>
      <c r="H13" s="6">
        <v>12.6</v>
      </c>
      <c r="I13" s="6">
        <v>20.8</v>
      </c>
      <c r="J13" s="6">
        <v>0.7</v>
      </c>
    </row>
    <row r="14" spans="1:10" ht="16.5">
      <c r="A14" s="6">
        <v>2941.7</v>
      </c>
      <c r="B14" s="5">
        <v>3.9670000000000001</v>
      </c>
      <c r="C14" s="4">
        <v>66.430000000000007</v>
      </c>
      <c r="D14" s="2">
        <v>0.99990000000000001</v>
      </c>
      <c r="E14" s="3">
        <v>0.75307870370370367</v>
      </c>
      <c r="F14" s="6">
        <v>5110.8999999999996</v>
      </c>
      <c r="G14" s="6">
        <v>5123.5</v>
      </c>
      <c r="H14" s="6">
        <v>12.5</v>
      </c>
      <c r="I14" s="6">
        <v>20.8</v>
      </c>
      <c r="J14" s="6">
        <v>0.7</v>
      </c>
    </row>
    <row r="15" spans="1:10" ht="16.5">
      <c r="A15" s="6">
        <v>2932.1</v>
      </c>
      <c r="B15" s="5">
        <v>3.9460000000000002</v>
      </c>
      <c r="C15" s="4">
        <v>66.23</v>
      </c>
      <c r="D15" s="2">
        <v>0.99990000000000001</v>
      </c>
      <c r="E15" s="3">
        <v>0.75381944444444449</v>
      </c>
      <c r="F15" s="6">
        <v>5111</v>
      </c>
      <c r="G15" s="6">
        <v>5123.6000000000004</v>
      </c>
      <c r="H15" s="6">
        <v>12.6</v>
      </c>
      <c r="I15" s="6">
        <v>20.8</v>
      </c>
      <c r="J15" s="6">
        <v>0.7</v>
      </c>
    </row>
    <row r="16" spans="1:10" ht="16.5">
      <c r="A16" s="6">
        <v>2932.2</v>
      </c>
      <c r="B16" s="5">
        <v>3.9460000000000002</v>
      </c>
      <c r="C16" s="4">
        <v>66.23</v>
      </c>
      <c r="D16" s="2">
        <v>0.99990000000000001</v>
      </c>
      <c r="E16" s="3">
        <v>0.75473379629629633</v>
      </c>
      <c r="F16" s="6">
        <v>5111.2</v>
      </c>
      <c r="G16" s="6">
        <v>5123.8</v>
      </c>
      <c r="H16" s="6">
        <v>12.6</v>
      </c>
      <c r="I16" s="6">
        <v>20.9</v>
      </c>
      <c r="J16" s="6">
        <v>0.7</v>
      </c>
    </row>
    <row r="17" spans="1:10" ht="16.5">
      <c r="A17" s="6">
        <v>2947.6</v>
      </c>
      <c r="B17" s="5">
        <v>3.9809999999999999</v>
      </c>
      <c r="C17" s="4">
        <v>66.55</v>
      </c>
      <c r="D17" s="2">
        <v>0.99990000000000001</v>
      </c>
      <c r="E17" s="3">
        <v>0.75556712962962957</v>
      </c>
      <c r="F17" s="6">
        <v>5111.3999999999996</v>
      </c>
      <c r="G17" s="6">
        <v>5124</v>
      </c>
      <c r="H17" s="6">
        <v>12.6</v>
      </c>
      <c r="I17" s="6">
        <v>20.8</v>
      </c>
      <c r="J17" s="6">
        <v>0.7</v>
      </c>
    </row>
    <row r="18" spans="1:10" ht="16.5">
      <c r="A18" s="6">
        <v>2942.6</v>
      </c>
      <c r="B18" s="5">
        <v>3.9689999999999999</v>
      </c>
      <c r="C18" s="4">
        <v>66.45</v>
      </c>
      <c r="D18" s="2">
        <v>0.99990000000000001</v>
      </c>
      <c r="E18" s="3">
        <v>0.75638888888888889</v>
      </c>
      <c r="F18" s="6">
        <v>5111</v>
      </c>
      <c r="G18" s="6">
        <v>5123.6000000000004</v>
      </c>
      <c r="H18" s="6">
        <v>12.6</v>
      </c>
      <c r="I18" s="6">
        <v>20.9</v>
      </c>
      <c r="J18" s="6">
        <v>0.7</v>
      </c>
    </row>
    <row r="19" spans="1:10" ht="16.5">
      <c r="A19" s="6">
        <v>2940.5</v>
      </c>
      <c r="B19" s="5">
        <v>3.9649999999999999</v>
      </c>
      <c r="C19" s="4">
        <v>66.41</v>
      </c>
      <c r="D19" s="2">
        <v>0.99990000000000001</v>
      </c>
      <c r="E19" s="3">
        <v>0.75722222222222224</v>
      </c>
      <c r="F19" s="6">
        <v>5111.1000000000004</v>
      </c>
      <c r="G19" s="6">
        <v>5123.7</v>
      </c>
      <c r="H19" s="6">
        <v>12.6</v>
      </c>
      <c r="I19" s="6">
        <v>20.9</v>
      </c>
      <c r="J19" s="6">
        <v>0.7</v>
      </c>
    </row>
    <row r="20" spans="1:10" ht="16.5">
      <c r="A20" s="6">
        <v>2944.4</v>
      </c>
      <c r="B20" s="5">
        <v>3.9729999999999999</v>
      </c>
      <c r="C20" s="4">
        <v>66.48</v>
      </c>
      <c r="D20" s="2">
        <v>0.99990000000000001</v>
      </c>
      <c r="E20" s="3">
        <v>0.75804398148148144</v>
      </c>
      <c r="F20" s="6">
        <v>5111.3</v>
      </c>
      <c r="G20" s="6">
        <v>5123.8999999999996</v>
      </c>
      <c r="H20" s="6">
        <v>12.6</v>
      </c>
      <c r="I20" s="6">
        <v>20.8</v>
      </c>
      <c r="J20" s="6">
        <v>0.7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A99583-6EB3-5142-A0D8-141FC226DDF1}">
  <dimension ref="A1:Y1919"/>
  <sheetViews>
    <sheetView tabSelected="1" zoomScale="85" zoomScaleNormal="85" workbookViewId="0">
      <selection activeCell="I1" sqref="I1:I1048576"/>
    </sheetView>
  </sheetViews>
  <sheetFormatPr defaultColWidth="11" defaultRowHeight="15.75"/>
  <cols>
    <col min="1" max="1" width="10.375" style="14" bestFit="1" customWidth="1"/>
    <col min="2" max="2" width="16" style="13" bestFit="1" customWidth="1"/>
    <col min="3" max="3" width="10.25" style="13" bestFit="1" customWidth="1"/>
    <col min="4" max="4" width="16.5" style="13" bestFit="1" customWidth="1"/>
    <col min="5" max="5" width="11.75" style="13" bestFit="1" customWidth="1"/>
    <col min="6" max="6" width="12.5" style="13" bestFit="1" customWidth="1"/>
    <col min="7" max="7" width="11.75" style="13" bestFit="1" customWidth="1"/>
    <col min="8" max="8" width="12.5" style="13" bestFit="1" customWidth="1"/>
    <col min="9" max="9" width="12.5" style="13" customWidth="1"/>
    <col min="10" max="14" width="11" style="13"/>
    <col min="15" max="15" width="14.375" style="13" bestFit="1" customWidth="1"/>
    <col min="16" max="16" width="11.125" style="13" bestFit="1" customWidth="1"/>
    <col min="17" max="18" width="11" style="13"/>
    <col min="19" max="19" width="11.75" style="13" bestFit="1" customWidth="1"/>
    <col min="20" max="16384" width="11" style="13"/>
  </cols>
  <sheetData>
    <row r="1" spans="1:25">
      <c r="A1" s="27" t="s">
        <v>30</v>
      </c>
      <c r="B1" s="27"/>
      <c r="C1" s="27"/>
      <c r="D1" s="27"/>
      <c r="E1" s="26" t="s">
        <v>31</v>
      </c>
      <c r="F1" s="26"/>
      <c r="G1" s="26" t="s">
        <v>32</v>
      </c>
      <c r="H1" s="26"/>
      <c r="I1" s="25"/>
      <c r="R1" s="26" t="s">
        <v>33</v>
      </c>
      <c r="S1" s="26"/>
      <c r="T1" s="26"/>
      <c r="U1" s="26"/>
      <c r="V1" s="26"/>
      <c r="W1" s="26"/>
      <c r="X1" s="26"/>
      <c r="Y1" s="26"/>
    </row>
    <row r="2" spans="1:25">
      <c r="A2" s="20" t="s">
        <v>34</v>
      </c>
      <c r="B2" s="21" t="s">
        <v>35</v>
      </c>
      <c r="C2" s="21" t="s">
        <v>36</v>
      </c>
      <c r="D2" s="21" t="s">
        <v>37</v>
      </c>
      <c r="E2" s="8" t="s">
        <v>38</v>
      </c>
      <c r="F2" s="8" t="s">
        <v>39</v>
      </c>
      <c r="G2" s="8" t="s">
        <v>40</v>
      </c>
      <c r="H2" s="8" t="s">
        <v>41</v>
      </c>
      <c r="I2" s="8"/>
      <c r="K2" s="1" t="s">
        <v>42</v>
      </c>
      <c r="L2" s="8" t="s">
        <v>43</v>
      </c>
      <c r="N2" s="1" t="s">
        <v>42</v>
      </c>
      <c r="O2" s="8" t="s">
        <v>43</v>
      </c>
      <c r="P2" s="8" t="s">
        <v>44</v>
      </c>
      <c r="Q2" s="22"/>
      <c r="R2" s="20" t="s">
        <v>34</v>
      </c>
      <c r="S2" s="21" t="s">
        <v>35</v>
      </c>
      <c r="T2" s="21" t="s">
        <v>36</v>
      </c>
      <c r="U2" s="21" t="s">
        <v>37</v>
      </c>
      <c r="V2" s="8" t="s">
        <v>38</v>
      </c>
      <c r="W2" s="8" t="s">
        <v>39</v>
      </c>
      <c r="X2" s="8" t="s">
        <v>40</v>
      </c>
      <c r="Y2" s="8" t="s">
        <v>41</v>
      </c>
    </row>
    <row r="3" spans="1:25">
      <c r="A3" s="14">
        <v>0</v>
      </c>
      <c r="B3" s="23">
        <v>77.095185999999998</v>
      </c>
      <c r="C3" s="23">
        <v>76.866399000000001</v>
      </c>
      <c r="D3" s="23">
        <v>22.220573999999999</v>
      </c>
      <c r="E3" s="23">
        <f>(B3 - D3)/($L$7 - D3)</f>
        <v>1</v>
      </c>
      <c r="F3" s="23">
        <f>LN(E3)</f>
        <v>0</v>
      </c>
      <c r="G3" s="23">
        <f>(C3 - D3)/($L$7 - D3)</f>
        <v>0.99583073134075195</v>
      </c>
      <c r="H3" s="23">
        <f>LN(G3)</f>
        <v>-4.1779842934738434E-3</v>
      </c>
      <c r="I3" s="23"/>
      <c r="J3" s="15" t="s">
        <v>43</v>
      </c>
      <c r="K3" s="15" t="s">
        <v>39</v>
      </c>
      <c r="L3" s="15">
        <f>SLOPE(F3:F950, A3:A950)</f>
        <v>-3.9067674194161461E-3</v>
      </c>
      <c r="M3" s="15"/>
      <c r="N3" s="15" t="s">
        <v>39</v>
      </c>
      <c r="O3" s="15">
        <f>SLOPE(F3:F950, A3:A950)</f>
        <v>-3.9067674194161461E-3</v>
      </c>
      <c r="P3" s="13">
        <f>INTERCEPT(F3:F950, A3:A950)</f>
        <v>-1.2291938913620237E-2</v>
      </c>
      <c r="R3" s="14">
        <v>0</v>
      </c>
      <c r="S3" s="23">
        <v>77.095185999999998</v>
      </c>
      <c r="T3" s="23">
        <v>76.866399000000001</v>
      </c>
      <c r="U3" s="23">
        <v>22.220573999999999</v>
      </c>
      <c r="V3" s="23">
        <f>(S3 - U3)/($L$7 - U3)</f>
        <v>1</v>
      </c>
      <c r="W3" s="23">
        <f>LN(V3)</f>
        <v>0</v>
      </c>
      <c r="X3" s="23">
        <f>(T3 - U3)/($L$7 - U3)</f>
        <v>0.99583073134075195</v>
      </c>
      <c r="Y3" s="23">
        <f>LN(X3)</f>
        <v>-4.1779842934738434E-3</v>
      </c>
    </row>
    <row r="4" spans="1:25">
      <c r="A4" s="14">
        <v>0.56399999999999995</v>
      </c>
      <c r="B4" s="23">
        <v>76.886312000000004</v>
      </c>
      <c r="C4" s="23">
        <v>76.805527999999995</v>
      </c>
      <c r="D4" s="23">
        <v>22.223215</v>
      </c>
      <c r="E4" s="23">
        <f>(B4 - D4)/($L$7 - D4)</f>
        <v>0.99619342997538773</v>
      </c>
      <c r="F4" s="23">
        <f t="shared" ref="F4:F67" si="0">LN(E4)</f>
        <v>-3.8138334506405487E-3</v>
      </c>
      <c r="G4" s="23">
        <f>(C4 - D4)/($L$7 - D4)</f>
        <v>0.99472120292526023</v>
      </c>
      <c r="H4" s="23">
        <f t="shared" ref="H4:H67" si="1">LN(G4)</f>
        <v>-5.2927791514216262E-3</v>
      </c>
      <c r="I4" s="23"/>
      <c r="J4" s="15" t="s">
        <v>43</v>
      </c>
      <c r="K4" s="15" t="s">
        <v>41</v>
      </c>
      <c r="L4" s="15">
        <f>SLOPE(H3:H950, A3:A950)</f>
        <v>-9.1255460807748126E-4</v>
      </c>
      <c r="M4" s="15"/>
      <c r="N4" s="15" t="s">
        <v>41</v>
      </c>
      <c r="O4" s="15">
        <f>SLOPE(H3:H950, A3:A950)</f>
        <v>-9.1255460807748126E-4</v>
      </c>
      <c r="P4" s="13">
        <f>INTERCEPT(H3:H950, A3:A950)</f>
        <v>-1.6419076223023743E-2</v>
      </c>
      <c r="Q4" s="15"/>
      <c r="R4" s="14">
        <v>55.271999999999998</v>
      </c>
      <c r="S4" s="23">
        <v>65.897037999999995</v>
      </c>
      <c r="T4" s="23">
        <v>73.530429999999996</v>
      </c>
      <c r="U4" s="23">
        <v>22.023968</v>
      </c>
      <c r="V4" s="23">
        <v>0.79666060772434699</v>
      </c>
      <c r="W4" s="23">
        <v>-0.2273265281205398</v>
      </c>
      <c r="X4" s="23">
        <v>0.93527007156442399</v>
      </c>
      <c r="Y4" s="23">
        <v>-6.6919944808629048E-2</v>
      </c>
    </row>
    <row r="5" spans="1:25">
      <c r="A5" s="14">
        <v>1.1279999999999999</v>
      </c>
      <c r="B5" s="23">
        <v>76.702811999999994</v>
      </c>
      <c r="C5" s="23">
        <v>76.748378000000002</v>
      </c>
      <c r="D5" s="23">
        <v>22.216698999999998</v>
      </c>
      <c r="E5" s="23">
        <f>(B5 - D5)/($L$7 - D5)</f>
        <v>0.99285013087186602</v>
      </c>
      <c r="F5" s="23">
        <f t="shared" si="0"/>
        <v>-7.1755519347657054E-3</v>
      </c>
      <c r="G5" s="23">
        <f>(C5 - D5)/($L$7 - D5)</f>
        <v>0.99368043801936456</v>
      </c>
      <c r="H5" s="23">
        <f t="shared" si="1"/>
        <v>-6.3396149410421404E-3</v>
      </c>
      <c r="I5" s="23"/>
      <c r="J5" s="15"/>
      <c r="K5" s="15"/>
      <c r="L5" s="15"/>
      <c r="M5" s="15"/>
      <c r="N5" s="15"/>
      <c r="O5" s="15"/>
      <c r="P5" s="15"/>
      <c r="Q5" s="15"/>
      <c r="R5" s="14">
        <v>111.672</v>
      </c>
      <c r="S5" s="23">
        <v>57.096792000000001</v>
      </c>
      <c r="T5" s="23">
        <v>70.939437999999996</v>
      </c>
      <c r="U5" s="23">
        <v>22.024920000000002</v>
      </c>
      <c r="V5" s="23">
        <v>0.63685677494276138</v>
      </c>
      <c r="W5" s="23">
        <v>-0.45121049179495926</v>
      </c>
      <c r="X5" s="23">
        <v>0.88822011500725273</v>
      </c>
      <c r="Y5" s="23">
        <v>-0.11853568944603952</v>
      </c>
    </row>
    <row r="6" spans="1:25">
      <c r="A6" s="14">
        <v>1.6919999999999999</v>
      </c>
      <c r="B6" s="23">
        <v>76.513313999999994</v>
      </c>
      <c r="C6" s="23">
        <v>76.682903999999994</v>
      </c>
      <c r="D6" s="23">
        <v>22.218308</v>
      </c>
      <c r="E6" s="23">
        <f>(B6 - D6)/($L$7 - D6)</f>
        <v>0.98939677289950778</v>
      </c>
      <c r="F6" s="23">
        <f t="shared" si="0"/>
        <v>-1.0659841868087258E-2</v>
      </c>
      <c r="G6" s="23">
        <f>(C6 - D6)/($L$7 - D6)</f>
        <v>0.99248714549687023</v>
      </c>
      <c r="H6" s="23">
        <f t="shared" si="1"/>
        <v>-7.5412181450978137E-3</v>
      </c>
      <c r="I6" s="23"/>
      <c r="J6" s="15"/>
      <c r="K6" s="24" t="s">
        <v>45</v>
      </c>
      <c r="L6" s="24" t="s">
        <v>46</v>
      </c>
      <c r="M6" s="15"/>
      <c r="P6" s="15"/>
      <c r="Q6" s="15"/>
      <c r="R6" s="14">
        <v>168.072</v>
      </c>
      <c r="S6" s="23">
        <v>50.144807999999998</v>
      </c>
      <c r="T6" s="23">
        <v>68.439807999999999</v>
      </c>
      <c r="U6" s="23">
        <v>21.940928</v>
      </c>
      <c r="V6" s="23">
        <v>0.5113636013379057</v>
      </c>
      <c r="W6" s="23">
        <v>-0.67067439320265121</v>
      </c>
      <c r="X6" s="23">
        <v>0.84306963208534147</v>
      </c>
      <c r="Y6" s="23">
        <v>-0.17070572405301834</v>
      </c>
    </row>
    <row r="7" spans="1:25">
      <c r="A7" s="14">
        <v>2.2559999999999998</v>
      </c>
      <c r="B7" s="23">
        <v>76.349199999999996</v>
      </c>
      <c r="C7" s="23">
        <v>76.619370000000004</v>
      </c>
      <c r="D7" s="23">
        <v>22.218596999999999</v>
      </c>
      <c r="E7" s="23">
        <f>(B7 - D7)/($L$7 - D7)</f>
        <v>0.98640611572996995</v>
      </c>
      <c r="F7" s="23">
        <f t="shared" si="0"/>
        <v>-1.3687127100563837E-2</v>
      </c>
      <c r="G7" s="23">
        <f>(C7 - D7)/($L$7 - D7)</f>
        <v>0.99132934446782039</v>
      </c>
      <c r="H7" s="23">
        <f t="shared" si="1"/>
        <v>-8.708464376149758E-3</v>
      </c>
      <c r="I7" s="23"/>
      <c r="J7" s="15"/>
      <c r="K7" s="16" t="s">
        <v>47</v>
      </c>
      <c r="L7" s="16">
        <v>77.095185999999998</v>
      </c>
      <c r="M7" s="15"/>
      <c r="P7" s="15"/>
      <c r="Q7" s="15"/>
      <c r="R7" s="14">
        <v>224.47200000000001</v>
      </c>
      <c r="S7" s="23">
        <v>44.640289000000003</v>
      </c>
      <c r="T7" s="23">
        <v>66.079436999999999</v>
      </c>
      <c r="U7" s="23">
        <v>21.884744000000001</v>
      </c>
      <c r="V7" s="23">
        <v>0.41216016709302927</v>
      </c>
      <c r="W7" s="23">
        <v>-0.88634325009812021</v>
      </c>
      <c r="X7" s="23">
        <v>0.80047707279720748</v>
      </c>
      <c r="Y7" s="23">
        <v>-0.2225473880583333</v>
      </c>
    </row>
    <row r="8" spans="1:25">
      <c r="A8" s="14">
        <v>2.82</v>
      </c>
      <c r="B8" s="23">
        <v>76.166602999999995</v>
      </c>
      <c r="C8" s="23">
        <v>76.576246999999995</v>
      </c>
      <c r="D8" s="23">
        <v>22.220617000000001</v>
      </c>
      <c r="E8" s="23">
        <f>(B8 - D8)/($L$7 - D8)</f>
        <v>0.98307808121463325</v>
      </c>
      <c r="F8" s="23">
        <f t="shared" si="0"/>
        <v>-1.7066730438488852E-2</v>
      </c>
      <c r="G8" s="23">
        <f>(C8 - D8)/($L$7 - D8)</f>
        <v>0.99054317857147989</v>
      </c>
      <c r="H8" s="23">
        <f t="shared" si="1"/>
        <v>-9.5018210915153445E-3</v>
      </c>
      <c r="I8" s="23"/>
      <c r="J8" s="15"/>
      <c r="K8" s="16" t="s">
        <v>48</v>
      </c>
      <c r="L8" s="16">
        <v>76.866399000000001</v>
      </c>
      <c r="M8" s="15"/>
      <c r="P8" s="15"/>
      <c r="Q8" s="15"/>
      <c r="R8" s="14">
        <v>280.87200000000001</v>
      </c>
      <c r="S8" s="23">
        <v>40.101661999999997</v>
      </c>
      <c r="T8" s="23">
        <v>63.900136000000003</v>
      </c>
      <c r="U8" s="23">
        <v>21.809307</v>
      </c>
      <c r="V8" s="23">
        <v>0.33086848451844275</v>
      </c>
      <c r="W8" s="23">
        <v>-1.1060343102994987</v>
      </c>
      <c r="X8" s="23">
        <v>0.76133055603583699</v>
      </c>
      <c r="Y8" s="23">
        <v>-0.27268764481991781</v>
      </c>
    </row>
    <row r="9" spans="1:25">
      <c r="A9" s="14">
        <v>3.3839999999999999</v>
      </c>
      <c r="B9" s="23">
        <v>76.013127999999995</v>
      </c>
      <c r="C9" s="23">
        <v>76.523529999999994</v>
      </c>
      <c r="D9" s="23">
        <v>22.225401000000002</v>
      </c>
      <c r="E9" s="23">
        <f>(B9 - D9)/($L$7 - D9)</f>
        <v>0.98027952907050753</v>
      </c>
      <c r="F9" s="23">
        <f t="shared" si="0"/>
        <v>-1.9917514243514643E-2</v>
      </c>
      <c r="G9" s="23">
        <f>(C9 - D9)/($L$7 - D9)</f>
        <v>0.9895815884826229</v>
      </c>
      <c r="H9" s="23">
        <f t="shared" si="1"/>
        <v>-1.0473063086409893E-2</v>
      </c>
      <c r="I9" s="23"/>
      <c r="J9" s="15"/>
      <c r="K9" s="15"/>
      <c r="L9" s="15"/>
      <c r="M9" s="15"/>
      <c r="P9" s="15"/>
      <c r="Q9" s="15"/>
      <c r="R9" s="14">
        <v>337.27199999999999</v>
      </c>
      <c r="S9" s="23">
        <v>36.405822000000001</v>
      </c>
      <c r="T9" s="23">
        <v>61.787851000000003</v>
      </c>
      <c r="U9" s="23">
        <v>21.876788000000001</v>
      </c>
      <c r="V9" s="23">
        <v>0.26311944073422777</v>
      </c>
      <c r="W9" s="23">
        <v>-1.3351472026196032</v>
      </c>
      <c r="X9" s="23">
        <v>0.72278560127731351</v>
      </c>
      <c r="Y9" s="23">
        <v>-0.32464264121882996</v>
      </c>
    </row>
    <row r="10" spans="1:25">
      <c r="A10" s="14">
        <v>3.948</v>
      </c>
      <c r="B10" s="23">
        <v>75.856031999999999</v>
      </c>
      <c r="C10" s="23">
        <v>76.458326</v>
      </c>
      <c r="D10" s="23">
        <v>22.232039</v>
      </c>
      <c r="E10" s="23">
        <f>(B10 - D10)/($L$7 - D10)</f>
        <v>0.97741372728764542</v>
      </c>
      <c r="F10" s="23">
        <f t="shared" si="0"/>
        <v>-2.2845249546892391E-2</v>
      </c>
      <c r="G10" s="23">
        <f>(C10 - D10)/($L$7 - D10)</f>
        <v>0.98839184343544861</v>
      </c>
      <c r="H10" s="23">
        <f t="shared" si="1"/>
        <v>-1.1676057192860863E-2</v>
      </c>
      <c r="I10" s="23"/>
      <c r="J10" s="15"/>
      <c r="K10" s="7" t="s">
        <v>42</v>
      </c>
      <c r="L10" s="7" t="s">
        <v>49</v>
      </c>
      <c r="M10" s="15"/>
      <c r="P10" s="15"/>
      <c r="Q10" s="15"/>
      <c r="R10" s="14">
        <v>393.67200000000003</v>
      </c>
      <c r="S10" s="23">
        <v>33.544032999999999</v>
      </c>
      <c r="T10" s="23">
        <v>59.778640000000003</v>
      </c>
      <c r="U10" s="23">
        <v>21.973611999999999</v>
      </c>
      <c r="V10" s="23">
        <v>0.20990730417095854</v>
      </c>
      <c r="W10" s="23">
        <v>-1.5610892544238919</v>
      </c>
      <c r="X10" s="23">
        <v>0.68584812182612942</v>
      </c>
      <c r="Y10" s="23">
        <v>-0.3770990725230447</v>
      </c>
    </row>
    <row r="11" spans="1:25">
      <c r="A11" s="14">
        <v>4.5119999999999996</v>
      </c>
      <c r="B11" s="23">
        <v>75.697130999999999</v>
      </c>
      <c r="C11" s="23">
        <v>76.409372000000005</v>
      </c>
      <c r="D11" s="23">
        <v>22.221071999999999</v>
      </c>
      <c r="E11" s="23">
        <f>(B11 - D11)/($L$7 - D11)</f>
        <v>0.97452250436335064</v>
      </c>
      <c r="F11" s="23">
        <f t="shared" si="0"/>
        <v>-2.5807667060170299E-2</v>
      </c>
      <c r="G11" s="23">
        <f>(C11 - D11)/($L$7 - D11)</f>
        <v>0.98750204878023196</v>
      </c>
      <c r="H11" s="23">
        <f t="shared" si="1"/>
        <v>-1.2576707494853392E-2</v>
      </c>
      <c r="I11" s="23"/>
      <c r="J11" s="15"/>
      <c r="K11" s="16" t="s">
        <v>50</v>
      </c>
      <c r="L11" s="16">
        <v>8960</v>
      </c>
      <c r="M11" s="15"/>
      <c r="P11" s="15"/>
      <c r="Q11" s="15"/>
      <c r="R11" s="14">
        <v>450.072</v>
      </c>
      <c r="S11" s="23">
        <v>31.379711</v>
      </c>
      <c r="T11" s="23">
        <v>57.954935999999996</v>
      </c>
      <c r="U11" s="23">
        <v>22.019686</v>
      </c>
      <c r="V11" s="23">
        <v>0.16994897912865067</v>
      </c>
      <c r="W11" s="23">
        <v>-1.7722570097503707</v>
      </c>
      <c r="X11" s="23">
        <v>0.65247251500213344</v>
      </c>
      <c r="Y11" s="23">
        <v>-0.42698626327456463</v>
      </c>
    </row>
    <row r="12" spans="1:25">
      <c r="A12" s="14">
        <v>5.0759999999999996</v>
      </c>
      <c r="B12" s="23">
        <v>75.549723</v>
      </c>
      <c r="C12" s="23">
        <v>76.344718</v>
      </c>
      <c r="D12" s="23">
        <v>22.223092000000001</v>
      </c>
      <c r="E12" s="23">
        <f>(B12 - D12)/($L$7 - D12)</f>
        <v>0.97183517363124505</v>
      </c>
      <c r="F12" s="23">
        <f t="shared" si="0"/>
        <v>-2.8569063354522806E-2</v>
      </c>
      <c r="G12" s="23">
        <f>(C12 - D12)/($L$7 - D12)</f>
        <v>0.98632332128604394</v>
      </c>
      <c r="H12" s="23">
        <f t="shared" si="1"/>
        <v>-1.3771066076098012E-2</v>
      </c>
      <c r="I12" s="23"/>
      <c r="J12" s="15"/>
      <c r="K12" s="16" t="s">
        <v>51</v>
      </c>
      <c r="L12" s="16">
        <v>385</v>
      </c>
      <c r="M12" s="15"/>
      <c r="P12" s="15"/>
      <c r="Q12" s="15"/>
      <c r="R12" s="14">
        <v>506.47199999999998</v>
      </c>
      <c r="S12" s="23">
        <v>29.709831999999999</v>
      </c>
      <c r="T12" s="23">
        <v>56.246343000000003</v>
      </c>
      <c r="U12" s="23">
        <v>22.129432000000001</v>
      </c>
      <c r="V12" s="23">
        <v>0.13791132565924591</v>
      </c>
      <c r="W12" s="23">
        <v>-1.9811443680466521</v>
      </c>
      <c r="X12" s="23">
        <v>0.62069395063697308</v>
      </c>
      <c r="Y12" s="23">
        <v>-0.47691715164357684</v>
      </c>
    </row>
    <row r="13" spans="1:25">
      <c r="A13" s="14">
        <v>5.64</v>
      </c>
      <c r="B13" s="23">
        <v>75.408688999999995</v>
      </c>
      <c r="C13" s="23">
        <v>76.300595999999999</v>
      </c>
      <c r="D13" s="23">
        <v>22.229153</v>
      </c>
      <c r="E13" s="23">
        <f>(B13 - D13)/($L$7 - D13)</f>
        <v>0.96926154657472674</v>
      </c>
      <c r="F13" s="23">
        <f t="shared" si="0"/>
        <v>-3.1220789605768948E-2</v>
      </c>
      <c r="G13" s="23">
        <f>(C13 - D13)/($L$7 - D13)</f>
        <v>0.98551763346914478</v>
      </c>
      <c r="H13" s="23">
        <f t="shared" si="1"/>
        <v>-1.4588259633005416E-2</v>
      </c>
      <c r="I13" s="23"/>
      <c r="J13" s="15"/>
      <c r="K13" s="16" t="s">
        <v>52</v>
      </c>
      <c r="L13" s="16">
        <v>401</v>
      </c>
      <c r="M13" s="15"/>
      <c r="P13" s="15"/>
      <c r="Q13" s="15"/>
    </row>
    <row r="14" spans="1:25">
      <c r="A14" s="14">
        <v>6.2039999999999997</v>
      </c>
      <c r="B14" s="23">
        <v>75.270975000000007</v>
      </c>
      <c r="C14" s="23">
        <v>76.242598000000001</v>
      </c>
      <c r="D14" s="23">
        <v>22.234635999999998</v>
      </c>
      <c r="E14" s="23">
        <f>(B14 - D14)/($L$7 - D14)</f>
        <v>0.96674821889317564</v>
      </c>
      <c r="F14" s="23">
        <f t="shared" si="0"/>
        <v>-3.3817190861904205E-2</v>
      </c>
      <c r="G14" s="23">
        <f>(C14 - D14)/($L$7 - D14)</f>
        <v>0.98445899649201485</v>
      </c>
      <c r="H14" s="23">
        <f t="shared" si="1"/>
        <v>-1.5663030838851E-2</v>
      </c>
      <c r="I14" s="23"/>
      <c r="J14" s="15"/>
      <c r="K14" s="16" t="s">
        <v>53</v>
      </c>
      <c r="L14" s="16">
        <v>2.5000000000000001E-2</v>
      </c>
      <c r="M14" s="15"/>
      <c r="P14" s="15"/>
      <c r="Q14" s="15"/>
    </row>
    <row r="15" spans="1:25">
      <c r="A15" s="14">
        <v>6.7679999999999998</v>
      </c>
      <c r="B15" s="23">
        <v>75.129918000000004</v>
      </c>
      <c r="C15" s="23">
        <v>76.187095999999997</v>
      </c>
      <c r="D15" s="23">
        <v>22.232205</v>
      </c>
      <c r="E15" s="23">
        <f>(B15 - D15)/($L$7 - D15)</f>
        <v>0.96417861435564367</v>
      </c>
      <c r="F15" s="23">
        <f t="shared" si="0"/>
        <v>-3.6478716933373061E-2</v>
      </c>
      <c r="G15" s="23">
        <f>(C15 - D15)/($L$7 - D15)</f>
        <v>0.98344803757564681</v>
      </c>
      <c r="H15" s="23">
        <f t="shared" si="1"/>
        <v>-1.6690476737261022E-2</v>
      </c>
      <c r="I15" s="23"/>
      <c r="J15" s="15"/>
      <c r="K15" s="16" t="s">
        <v>54</v>
      </c>
      <c r="L15" s="16">
        <f>6*(L14)^2</f>
        <v>3.7500000000000007E-3</v>
      </c>
      <c r="M15" s="15"/>
      <c r="P15" s="15"/>
      <c r="Q15" s="15"/>
    </row>
    <row r="16" spans="1:25">
      <c r="A16" s="14">
        <v>7.3319999999999999</v>
      </c>
      <c r="B16" s="23">
        <v>74.995110999999994</v>
      </c>
      <c r="C16" s="23">
        <v>76.145072999999996</v>
      </c>
      <c r="D16" s="23">
        <v>22.226433</v>
      </c>
      <c r="E16" s="23">
        <f>(B16 - D16)/($L$7 - D16)</f>
        <v>0.96172548335479746</v>
      </c>
      <c r="F16" s="23">
        <f t="shared" si="0"/>
        <v>-3.9026229377487544E-2</v>
      </c>
      <c r="G16" s="23">
        <f>(C16 - D16)/($L$7 - D16)</f>
        <v>0.98268389660687205</v>
      </c>
      <c r="H16" s="23">
        <f t="shared" si="1"/>
        <v>-1.7467780634282611E-2</v>
      </c>
      <c r="I16" s="23"/>
      <c r="J16" s="15"/>
      <c r="K16" s="16" t="s">
        <v>55</v>
      </c>
      <c r="L16" s="16">
        <f>(L14)^3</f>
        <v>1.5625000000000004E-5</v>
      </c>
      <c r="M16" s="15"/>
      <c r="P16" s="15"/>
      <c r="Q16" s="15"/>
    </row>
    <row r="17" spans="1:17">
      <c r="A17" s="14">
        <v>7.8959999999999999</v>
      </c>
      <c r="B17" s="23">
        <v>74.848477000000003</v>
      </c>
      <c r="C17" s="23">
        <v>76.082907000000006</v>
      </c>
      <c r="D17" s="23">
        <v>22.225856</v>
      </c>
      <c r="E17" s="23">
        <f>(B17 - D17)/($L$7 - D17)</f>
        <v>0.95905346392966717</v>
      </c>
      <c r="F17" s="23">
        <f t="shared" si="0"/>
        <v>-4.1808455986681682E-2</v>
      </c>
      <c r="G17" s="23">
        <f>(C17 - D17)/($L$7 - D17)</f>
        <v>0.9815510960312438</v>
      </c>
      <c r="H17" s="23">
        <f t="shared" si="1"/>
        <v>-1.8621207495593161E-2</v>
      </c>
      <c r="I17" s="23"/>
      <c r="J17" s="15"/>
      <c r="K17" s="15" t="s">
        <v>56</v>
      </c>
      <c r="L17" s="15">
        <f>L16/L15</f>
        <v>4.1666666666666666E-3</v>
      </c>
      <c r="M17" s="15"/>
      <c r="P17" s="15"/>
      <c r="Q17" s="15"/>
    </row>
    <row r="18" spans="1:17">
      <c r="A18" s="14">
        <v>8.4600000000000009</v>
      </c>
      <c r="B18" s="23">
        <v>74.707233000000002</v>
      </c>
      <c r="C18" s="23">
        <v>76.039612000000005</v>
      </c>
      <c r="D18" s="23">
        <v>22.235545999999999</v>
      </c>
      <c r="E18" s="23">
        <f>(B18 - D18)/($L$7 - D18)</f>
        <v>0.95647158822041134</v>
      </c>
      <c r="F18" s="23">
        <f t="shared" si="0"/>
        <v>-4.450419444220307E-2</v>
      </c>
      <c r="G18" s="23">
        <f>(C18 - D18)/($L$7 - D18)</f>
        <v>0.98075864150767311</v>
      </c>
      <c r="H18" s="23">
        <f t="shared" si="1"/>
        <v>-1.9428882809525684E-2</v>
      </c>
      <c r="I18" s="23"/>
      <c r="J18" s="15"/>
      <c r="K18" s="15"/>
      <c r="L18" s="15"/>
      <c r="M18" s="15"/>
      <c r="P18" s="15"/>
      <c r="Q18" s="15"/>
    </row>
    <row r="19" spans="1:17">
      <c r="A19" s="14">
        <v>9.0239999999999991</v>
      </c>
      <c r="B19" s="23">
        <v>74.568505000000002</v>
      </c>
      <c r="C19" s="23">
        <v>75.998535000000004</v>
      </c>
      <c r="D19" s="23">
        <v>22.229485</v>
      </c>
      <c r="E19" s="23">
        <f>(B19 - D19)/($L$7 - D19)</f>
        <v>0.95394789542559577</v>
      </c>
      <c r="F19" s="23">
        <f t="shared" si="0"/>
        <v>-4.7146225979712811E-2</v>
      </c>
      <c r="G19" s="23">
        <f>(C19 - D19)/($L$7 - D19)</f>
        <v>0.98001208441681997</v>
      </c>
      <c r="H19" s="23">
        <f t="shared" si="1"/>
        <v>-2.0190376355974666E-2</v>
      </c>
      <c r="I19" s="23"/>
      <c r="J19" s="15"/>
      <c r="K19" s="15" t="s">
        <v>57</v>
      </c>
      <c r="L19" s="15">
        <f>ABS(O3)*L11*L16*L12/L15</f>
        <v>56.15327037507474</v>
      </c>
      <c r="M19" s="15"/>
      <c r="P19" s="15"/>
      <c r="Q19" s="15"/>
    </row>
    <row r="20" spans="1:17">
      <c r="A20" s="14">
        <v>9.5879999999999992</v>
      </c>
      <c r="B20" s="23">
        <v>74.430447000000001</v>
      </c>
      <c r="C20" s="23">
        <v>75.941637999999998</v>
      </c>
      <c r="D20" s="23">
        <v>22.230350999999999</v>
      </c>
      <c r="E20" s="23">
        <f>(B20 - D20)/($L$7 - D20)</f>
        <v>0.95143083907934844</v>
      </c>
      <c r="F20" s="23">
        <f t="shared" si="0"/>
        <v>-4.9788281089123268E-2</v>
      </c>
      <c r="G20" s="23">
        <f>(C20 - D20)/($L$7 - D20)</f>
        <v>0.97897472944190933</v>
      </c>
      <c r="H20" s="23">
        <f t="shared" si="1"/>
        <v>-2.1249449407955555E-2</v>
      </c>
      <c r="I20" s="23"/>
      <c r="J20" s="15"/>
      <c r="K20" s="15" t="s">
        <v>58</v>
      </c>
      <c r="L20" s="15">
        <f>L19*L17/L13</f>
        <v>5.8347122168614656E-4</v>
      </c>
      <c r="M20" s="15"/>
      <c r="N20" s="15"/>
      <c r="O20" s="15"/>
      <c r="P20" s="15"/>
      <c r="Q20" s="15"/>
    </row>
    <row r="21" spans="1:17">
      <c r="A21" s="14">
        <v>10.151999999999999</v>
      </c>
      <c r="B21" s="23">
        <v>74.308212999999995</v>
      </c>
      <c r="C21" s="23">
        <v>75.911383999999998</v>
      </c>
      <c r="D21" s="23">
        <v>22.233526000000001</v>
      </c>
      <c r="E21" s="23">
        <f>(B21 - D21)/($L$7 - D21)</f>
        <v>0.94919998775100856</v>
      </c>
      <c r="F21" s="23">
        <f t="shared" si="0"/>
        <v>-5.2135767325070824E-2</v>
      </c>
      <c r="G21" s="23">
        <f>(C21 - D21)/($L$7 - D21)</f>
        <v>0.97842205285075223</v>
      </c>
      <c r="H21" s="23">
        <f t="shared" si="1"/>
        <v>-2.1814155154735008E-2</v>
      </c>
      <c r="I21" s="23"/>
      <c r="J21" s="15"/>
      <c r="K21" s="15"/>
      <c r="L21" s="15"/>
      <c r="M21" s="15"/>
      <c r="N21" s="15"/>
      <c r="O21" s="15"/>
      <c r="P21" s="15"/>
      <c r="Q21" s="15"/>
    </row>
    <row r="22" spans="1:17">
      <c r="A22" s="14">
        <v>10.715999999999999</v>
      </c>
      <c r="B22" s="23">
        <v>74.196805999999995</v>
      </c>
      <c r="C22" s="23">
        <v>75.875183000000007</v>
      </c>
      <c r="D22" s="23">
        <v>22.237855</v>
      </c>
      <c r="E22" s="23">
        <f>(B22 - D22)/($L$7 - D22)</f>
        <v>0.94716512912376283</v>
      </c>
      <c r="F22" s="23">
        <f t="shared" si="0"/>
        <v>-5.4281830222046586E-2</v>
      </c>
      <c r="G22" s="23">
        <f>(C22 - D22)/($L$7 - D22)</f>
        <v>0.97776043825391379</v>
      </c>
      <c r="H22" s="23">
        <f t="shared" si="1"/>
        <v>-2.2490589613252614E-2</v>
      </c>
      <c r="I22" s="23"/>
      <c r="J22" s="15"/>
      <c r="K22" s="15" t="s">
        <v>59</v>
      </c>
      <c r="L22" s="15">
        <f>ABS(O4)*L11*L16*L12/L15</f>
        <v>13.116451566766997</v>
      </c>
      <c r="M22" s="15"/>
      <c r="N22" s="15"/>
      <c r="O22" s="15"/>
      <c r="P22" s="15"/>
      <c r="Q22" s="15"/>
    </row>
    <row r="23" spans="1:17">
      <c r="A23" s="14">
        <v>11.28</v>
      </c>
      <c r="B23" s="23">
        <v>74.077207999999999</v>
      </c>
      <c r="C23" s="23">
        <v>75.821889999999996</v>
      </c>
      <c r="D23" s="23">
        <v>22.236001000000002</v>
      </c>
      <c r="E23" s="23">
        <f>(B23 - D23)/($L$7 - D23)</f>
        <v>0.94498682399310163</v>
      </c>
      <c r="F23" s="23">
        <f t="shared" si="0"/>
        <v>-5.6584294450039652E-2</v>
      </c>
      <c r="G23" s="23">
        <f>(C23 - D23)/($L$7 - D23)</f>
        <v>0.9767897390382303</v>
      </c>
      <c r="H23" s="23">
        <f t="shared" si="1"/>
        <v>-2.3483860910932963E-2</v>
      </c>
      <c r="I23" s="23"/>
      <c r="J23" s="15"/>
      <c r="K23" s="15" t="s">
        <v>60</v>
      </c>
      <c r="L23" s="15">
        <f>L22*L17/L13</f>
        <v>1.3628898136707187E-4</v>
      </c>
      <c r="M23" s="15"/>
      <c r="N23" s="15"/>
      <c r="O23" s="15"/>
      <c r="P23" s="15"/>
      <c r="Q23" s="15"/>
    </row>
    <row r="24" spans="1:17">
      <c r="A24" s="14">
        <v>11.843999999999999</v>
      </c>
      <c r="B24" s="23">
        <v>73.966064000000003</v>
      </c>
      <c r="C24" s="23">
        <v>75.785965000000004</v>
      </c>
      <c r="D24" s="23">
        <v>22.243793</v>
      </c>
      <c r="E24" s="23">
        <f>(B24 - D24)/($L$7 - D24)</f>
        <v>0.94295273412655178</v>
      </c>
      <c r="F24" s="23">
        <f t="shared" si="0"/>
        <v>-5.87391204823366E-2</v>
      </c>
      <c r="G24" s="23">
        <f>(C24 - D24)/($L$7 - D24)</f>
        <v>0.97613149040718084</v>
      </c>
      <c r="H24" s="23">
        <f t="shared" si="1"/>
        <v>-2.415797786562849E-2</v>
      </c>
      <c r="I24" s="23"/>
      <c r="J24" s="15"/>
      <c r="K24" s="15"/>
      <c r="L24" s="15"/>
      <c r="M24" s="15"/>
      <c r="N24" s="15"/>
      <c r="O24" s="15"/>
      <c r="P24" s="15"/>
      <c r="Q24" s="15"/>
    </row>
    <row r="25" spans="1:17">
      <c r="A25" s="14">
        <v>12.407999999999999</v>
      </c>
      <c r="B25" s="23">
        <v>73.856579999999994</v>
      </c>
      <c r="C25" s="23">
        <v>75.756818999999993</v>
      </c>
      <c r="D25" s="23">
        <v>22.238475999999999</v>
      </c>
      <c r="E25" s="23">
        <f>(B25 - D25)/($L$7 - D25)</f>
        <v>0.94096244561513065</v>
      </c>
      <c r="F25" s="23">
        <f t="shared" si="0"/>
        <v>-6.0852049210007766E-2</v>
      </c>
      <c r="G25" s="23">
        <f>(C25 - D25)/($L$7 - D25)</f>
        <v>0.97560249238424968</v>
      </c>
      <c r="H25" s="23">
        <f t="shared" si="1"/>
        <v>-2.4700057924232011E-2</v>
      </c>
      <c r="I25" s="23"/>
      <c r="J25" s="15"/>
      <c r="K25" s="15"/>
      <c r="L25" s="15"/>
      <c r="M25" s="15"/>
      <c r="N25" s="15"/>
      <c r="O25" s="15"/>
      <c r="P25" s="15"/>
      <c r="Q25" s="15"/>
    </row>
    <row r="26" spans="1:17">
      <c r="A26" s="14">
        <v>12.972</v>
      </c>
      <c r="B26" s="23">
        <v>73.735695000000007</v>
      </c>
      <c r="C26" s="23">
        <v>75.705188000000007</v>
      </c>
      <c r="D26" s="23">
        <v>22.231838</v>
      </c>
      <c r="E26" s="23">
        <f>(B26 - D26)/($L$7 - D26)</f>
        <v>0.9387662050810317</v>
      </c>
      <c r="F26" s="23">
        <f t="shared" si="0"/>
        <v>-6.3188813649556613E-2</v>
      </c>
      <c r="G26" s="23">
        <f>(C26 - D26)/($L$7 - D26)</f>
        <v>0.9746643606219586</v>
      </c>
      <c r="H26" s="23">
        <f t="shared" si="1"/>
        <v>-2.5662112766319172E-2</v>
      </c>
      <c r="I26" s="23"/>
      <c r="J26" s="15"/>
      <c r="K26" s="15"/>
      <c r="L26" s="15"/>
      <c r="M26" s="15"/>
      <c r="N26" s="15"/>
      <c r="O26" s="15"/>
      <c r="P26" s="15"/>
      <c r="Q26" s="15"/>
    </row>
    <row r="27" spans="1:17">
      <c r="A27" s="14">
        <v>13.536</v>
      </c>
      <c r="B27" s="23">
        <v>73.629254000000003</v>
      </c>
      <c r="C27" s="23">
        <v>75.664659</v>
      </c>
      <c r="D27" s="23">
        <v>22.229528999999999</v>
      </c>
      <c r="E27" s="23">
        <f>(B27 - D27)/($L$7 - D27)</f>
        <v>0.93682875245620412</v>
      </c>
      <c r="F27" s="23">
        <f t="shared" si="0"/>
        <v>-6.5254774966162526E-2</v>
      </c>
      <c r="G27" s="23">
        <f>(C27 - D27)/($L$7 - D27)</f>
        <v>0.97392673161646459</v>
      </c>
      <c r="H27" s="23">
        <f t="shared" si="1"/>
        <v>-2.6419202382160334E-2</v>
      </c>
      <c r="I27" s="23"/>
      <c r="J27" s="15"/>
      <c r="K27" s="15"/>
      <c r="L27" s="15"/>
      <c r="M27" s="15"/>
      <c r="N27" s="15"/>
      <c r="O27" s="15"/>
      <c r="P27" s="15"/>
      <c r="Q27" s="15"/>
    </row>
    <row r="28" spans="1:17">
      <c r="A28" s="14">
        <v>14.1</v>
      </c>
      <c r="B28" s="23">
        <v>73.530741000000006</v>
      </c>
      <c r="C28" s="23">
        <v>75.624684999999999</v>
      </c>
      <c r="D28" s="23">
        <v>22.223756999999999</v>
      </c>
      <c r="E28" s="23">
        <f>(B28 - D28)/($L$7 - D28)</f>
        <v>0.93504005518062971</v>
      </c>
      <c r="F28" s="23">
        <f t="shared" si="0"/>
        <v>-6.7165910845667226E-2</v>
      </c>
      <c r="G28" s="23">
        <f>(C28 - D28)/($L$7 - D28)</f>
        <v>0.97320097131058858</v>
      </c>
      <c r="H28" s="23">
        <f t="shared" si="1"/>
        <v>-2.7164670014709631E-2</v>
      </c>
      <c r="I28" s="23"/>
      <c r="J28" s="15"/>
      <c r="K28" s="15"/>
      <c r="L28" s="15"/>
      <c r="M28" s="15"/>
      <c r="N28" s="15"/>
      <c r="O28" s="15"/>
      <c r="P28" s="15"/>
      <c r="Q28" s="15"/>
    </row>
    <row r="29" spans="1:17">
      <c r="A29" s="14">
        <v>14.664</v>
      </c>
      <c r="B29" s="23">
        <v>73.409958000000003</v>
      </c>
      <c r="C29" s="23">
        <v>75.587485000000001</v>
      </c>
      <c r="D29" s="23">
        <v>22.219138999999998</v>
      </c>
      <c r="E29" s="23">
        <f>(B29 - D29)/($L$7 - D29)</f>
        <v>0.93284450682098152</v>
      </c>
      <c r="F29" s="23">
        <f t="shared" si="0"/>
        <v>-6.9516751379868055E-2</v>
      </c>
      <c r="G29" s="23">
        <f>(C29 - D29)/($L$7 - D29)</f>
        <v>0.97252533514303618</v>
      </c>
      <c r="H29" s="23">
        <f t="shared" si="1"/>
        <v>-2.7859152267909058E-2</v>
      </c>
      <c r="I29" s="23"/>
      <c r="J29" s="15"/>
      <c r="K29" s="15"/>
      <c r="L29" s="15"/>
      <c r="M29" s="15"/>
      <c r="N29" s="15"/>
      <c r="O29" s="15"/>
      <c r="P29" s="15"/>
      <c r="Q29" s="15"/>
    </row>
    <row r="30" spans="1:17">
      <c r="A30" s="14">
        <v>15.228</v>
      </c>
      <c r="B30" s="23">
        <v>73.305873000000005</v>
      </c>
      <c r="C30" s="23">
        <v>75.544060000000002</v>
      </c>
      <c r="D30" s="23">
        <v>22.225076999999999</v>
      </c>
      <c r="E30" s="23">
        <f>(B30 - D30)/($L$7 - D30)</f>
        <v>0.93094030485705814</v>
      </c>
      <c r="F30" s="23">
        <f t="shared" si="0"/>
        <v>-7.1560123140979162E-2</v>
      </c>
      <c r="G30" s="23">
        <f>(C30 - D30)/($L$7 - D30)</f>
        <v>0.9717309473542326</v>
      </c>
      <c r="H30" s="23">
        <f t="shared" si="1"/>
        <v>-2.8676315972261911E-2</v>
      </c>
      <c r="I30" s="23"/>
      <c r="J30" s="15"/>
      <c r="K30" s="15"/>
      <c r="L30" s="15"/>
      <c r="M30" s="15"/>
      <c r="N30" s="15"/>
      <c r="O30" s="15"/>
      <c r="P30" s="15"/>
      <c r="Q30" s="15"/>
    </row>
    <row r="31" spans="1:17">
      <c r="A31" s="14">
        <v>15.792</v>
      </c>
      <c r="B31" s="23">
        <v>73.192858000000001</v>
      </c>
      <c r="C31" s="23">
        <v>75.504360000000005</v>
      </c>
      <c r="D31" s="23">
        <v>22.218150999999999</v>
      </c>
      <c r="E31" s="23">
        <f>(B31 - D31)/($L$7 - D31)</f>
        <v>0.92888959835384699</v>
      </c>
      <c r="F31" s="23">
        <f t="shared" si="0"/>
        <v>-7.3765386461835863E-2</v>
      </c>
      <c r="G31" s="23">
        <f>(C31 - D31)/($L$7 - D31)</f>
        <v>0.97101107958912147</v>
      </c>
      <c r="H31" s="23">
        <f t="shared" si="1"/>
        <v>-2.9417400262480353E-2</v>
      </c>
      <c r="I31" s="23"/>
      <c r="J31" s="15"/>
      <c r="K31" s="15"/>
      <c r="L31" s="15"/>
      <c r="M31" s="15"/>
      <c r="N31" s="15"/>
      <c r="O31" s="15"/>
      <c r="P31" s="15"/>
      <c r="Q31" s="15"/>
    </row>
    <row r="32" spans="1:17">
      <c r="A32" s="14">
        <v>16.356000000000002</v>
      </c>
      <c r="B32" s="23">
        <v>73.092095999999998</v>
      </c>
      <c r="C32" s="23">
        <v>75.472432999999995</v>
      </c>
      <c r="D32" s="23">
        <v>22.225655</v>
      </c>
      <c r="E32" s="23">
        <f>(B32 - D32)/($L$7 - D32)</f>
        <v>0.92704348065231323</v>
      </c>
      <c r="F32" s="23">
        <f t="shared" si="0"/>
        <v>-7.5754809821220681E-2</v>
      </c>
      <c r="G32" s="23">
        <f>(C32 - D32)/($L$7 - D32)</f>
        <v>0.97042524383888018</v>
      </c>
      <c r="H32" s="23">
        <f t="shared" si="1"/>
        <v>-3.0020907841846172E-2</v>
      </c>
      <c r="I32" s="23"/>
      <c r="J32" s="15"/>
      <c r="K32" s="15"/>
      <c r="L32" s="15"/>
      <c r="M32" s="15"/>
      <c r="N32" s="15"/>
      <c r="O32" s="15"/>
      <c r="P32" s="15"/>
      <c r="Q32" s="15"/>
    </row>
    <row r="33" spans="1:17">
      <c r="A33" s="14">
        <v>16.920000000000002</v>
      </c>
      <c r="B33" s="23">
        <v>72.980609999999999</v>
      </c>
      <c r="C33" s="23">
        <v>75.435507999999999</v>
      </c>
      <c r="D33" s="23">
        <v>22.217862</v>
      </c>
      <c r="E33" s="23">
        <f>(B33 - D33)/($L$7 - D33)</f>
        <v>0.92502229153885129</v>
      </c>
      <c r="F33" s="23">
        <f t="shared" si="0"/>
        <v>-7.7937442799166839E-2</v>
      </c>
      <c r="G33" s="23">
        <f>(C33 - D33)/($L$7 - D33)</f>
        <v>0.96975657923844827</v>
      </c>
      <c r="H33" s="23">
        <f t="shared" si="1"/>
        <v>-3.0710188216450756E-2</v>
      </c>
      <c r="I33" s="23"/>
      <c r="J33" s="15"/>
      <c r="K33" s="15"/>
      <c r="L33" s="15"/>
      <c r="M33" s="15"/>
      <c r="N33" s="15"/>
      <c r="O33" s="15"/>
      <c r="P33" s="15"/>
      <c r="Q33" s="15"/>
    </row>
    <row r="34" spans="1:17">
      <c r="A34" s="14">
        <v>17.484000000000002</v>
      </c>
      <c r="B34" s="23">
        <v>72.86788</v>
      </c>
      <c r="C34" s="23">
        <v>75.394695999999996</v>
      </c>
      <c r="D34" s="23">
        <v>22.217451000000001</v>
      </c>
      <c r="E34" s="23">
        <f>(B34 - D34)/($L$7 - D34)</f>
        <v>0.9229686502185267</v>
      </c>
      <c r="F34" s="23">
        <f t="shared" si="0"/>
        <v>-8.0160010149798969E-2</v>
      </c>
      <c r="G34" s="23">
        <f>(C34 - D34)/($L$7 - D34)</f>
        <v>0.96901311615721741</v>
      </c>
      <c r="H34" s="23">
        <f t="shared" si="1"/>
        <v>-3.1477131417016233E-2</v>
      </c>
      <c r="I34" s="23"/>
      <c r="J34" s="15"/>
      <c r="K34" s="15"/>
      <c r="L34" s="15"/>
      <c r="M34" s="15"/>
      <c r="N34" s="15"/>
      <c r="O34" s="15"/>
      <c r="P34" s="15"/>
      <c r="Q34" s="15"/>
    </row>
    <row r="35" spans="1:17">
      <c r="A35" s="14">
        <v>18.047999999999998</v>
      </c>
      <c r="B35" s="23">
        <v>72.755392000000001</v>
      </c>
      <c r="C35" s="23">
        <v>75.364036999999996</v>
      </c>
      <c r="D35" s="23">
        <v>22.213411000000001</v>
      </c>
      <c r="E35" s="23">
        <f>(B35 - D35)/($L$7 - D35)</f>
        <v>0.92092467854766002</v>
      </c>
      <c r="F35" s="23">
        <f t="shared" si="0"/>
        <v>-8.2377028321278453E-2</v>
      </c>
      <c r="G35" s="23">
        <f>(C35 - D35)/($L$7 - D35)</f>
        <v>0.96845676000821768</v>
      </c>
      <c r="H35" s="23">
        <f t="shared" si="1"/>
        <v>-3.2051443483630621E-2</v>
      </c>
      <c r="I35" s="23"/>
      <c r="J35" s="15"/>
      <c r="K35" s="15"/>
      <c r="L35" s="15"/>
      <c r="M35" s="15"/>
      <c r="N35" s="15"/>
      <c r="O35" s="15"/>
      <c r="P35" s="15"/>
      <c r="Q35" s="15"/>
    </row>
    <row r="36" spans="1:17">
      <c r="A36" s="14">
        <v>18.611999999999998</v>
      </c>
      <c r="B36" s="23">
        <v>72.650711000000001</v>
      </c>
      <c r="C36" s="23">
        <v>75.330163999999996</v>
      </c>
      <c r="D36" s="23">
        <v>22.210813000000002</v>
      </c>
      <c r="E36" s="23">
        <f>(B36 - D36)/($L$7 - D36)</f>
        <v>0.91902112100287636</v>
      </c>
      <c r="F36" s="23">
        <f t="shared" si="0"/>
        <v>-8.4446174297644366E-2</v>
      </c>
      <c r="G36" s="23">
        <f>(C36 - D36)/($L$7 - D36)</f>
        <v>0.96784108292537108</v>
      </c>
      <c r="H36" s="23">
        <f t="shared" si="1"/>
        <v>-3.2687375714658302E-2</v>
      </c>
      <c r="I36" s="23"/>
      <c r="J36" s="15"/>
      <c r="K36" s="15"/>
      <c r="L36" s="15"/>
      <c r="M36" s="15"/>
      <c r="N36" s="15"/>
      <c r="O36" s="15"/>
      <c r="P36" s="15"/>
      <c r="Q36" s="15"/>
    </row>
    <row r="37" spans="1:17">
      <c r="A37" s="14">
        <v>19.175999999999998</v>
      </c>
      <c r="B37" s="23">
        <v>72.534745999999998</v>
      </c>
      <c r="C37" s="23">
        <v>75.298788999999999</v>
      </c>
      <c r="D37" s="23">
        <v>22.211967000000001</v>
      </c>
      <c r="E37" s="23">
        <f>(B37 - D37)/($L$7 - D37)</f>
        <v>0.91690647736970388</v>
      </c>
      <c r="F37" s="23">
        <f t="shared" si="0"/>
        <v>-8.674979952795657E-2</v>
      </c>
      <c r="G37" s="23">
        <f>(C37 - D37)/($L$7 - D37)</f>
        <v>0.96726873837338145</v>
      </c>
      <c r="H37" s="23">
        <f t="shared" si="1"/>
        <v>-3.3278912755480998E-2</v>
      </c>
      <c r="I37" s="23"/>
      <c r="J37" s="15"/>
      <c r="K37" s="15"/>
      <c r="L37" s="15"/>
      <c r="M37" s="15"/>
      <c r="N37" s="15"/>
      <c r="O37" s="15"/>
      <c r="P37" s="15"/>
      <c r="Q37" s="15"/>
    </row>
    <row r="38" spans="1:17">
      <c r="A38" s="14">
        <v>19.739999999999998</v>
      </c>
      <c r="B38" s="23">
        <v>72.431567000000001</v>
      </c>
      <c r="C38" s="23">
        <v>75.268406999999996</v>
      </c>
      <c r="D38" s="23">
        <v>22.208214999999999</v>
      </c>
      <c r="E38" s="23">
        <f>(B38 - D38)/($L$7 - D38)</f>
        <v>0.91503231249543726</v>
      </c>
      <c r="F38" s="23">
        <f t="shared" si="0"/>
        <v>-8.879590012748384E-2</v>
      </c>
      <c r="G38" s="23">
        <f>(C38 - D38)/($L$7 - D38)</f>
        <v>0.96671743827874923</v>
      </c>
      <c r="H38" s="23">
        <f t="shared" si="1"/>
        <v>-3.3849030697605274E-2</v>
      </c>
      <c r="I38" s="23"/>
      <c r="J38" s="15"/>
      <c r="K38" s="15"/>
      <c r="L38" s="15"/>
      <c r="M38" s="15"/>
      <c r="N38" s="15"/>
      <c r="O38" s="15"/>
      <c r="P38" s="15"/>
      <c r="Q38" s="15"/>
    </row>
    <row r="39" spans="1:17">
      <c r="A39" s="14">
        <v>20.303999999999998</v>
      </c>
      <c r="B39" s="23">
        <v>72.314475000000002</v>
      </c>
      <c r="C39" s="23">
        <v>75.237864000000002</v>
      </c>
      <c r="D39" s="23">
        <v>22.203187</v>
      </c>
      <c r="E39" s="23">
        <f>(B39 - D39)/($L$7 - D39)</f>
        <v>0.91290696117661885</v>
      </c>
      <c r="F39" s="23">
        <f t="shared" si="0"/>
        <v>-9.1121308096085762E-2</v>
      </c>
      <c r="G39" s="23">
        <f>(C39 - D39)/($L$7 - D39)</f>
        <v>0.9661640670072883</v>
      </c>
      <c r="H39" s="23">
        <f t="shared" si="1"/>
        <v>-3.4421617568622873E-2</v>
      </c>
      <c r="I39" s="23"/>
      <c r="J39" s="15"/>
      <c r="K39" s="15"/>
      <c r="L39" s="15"/>
      <c r="M39" s="15"/>
      <c r="N39" s="15"/>
      <c r="O39" s="15"/>
      <c r="P39" s="15"/>
      <c r="Q39" s="15"/>
    </row>
    <row r="40" spans="1:17">
      <c r="A40" s="14">
        <v>20.867999999999999</v>
      </c>
      <c r="B40" s="23">
        <v>72.215733999999998</v>
      </c>
      <c r="C40" s="23">
        <v>75.212040999999999</v>
      </c>
      <c r="D40" s="23">
        <v>22.187601000000001</v>
      </c>
      <c r="E40" s="23">
        <f>(B40 - D40)/($L$7 - D40)</f>
        <v>0.91113337073557321</v>
      </c>
      <c r="F40" s="23">
        <f t="shared" si="0"/>
        <v>-9.306599206930985E-2</v>
      </c>
      <c r="G40" s="23">
        <f>(C40 - D40)/($L$7 - D40)</f>
        <v>0.96570337231185821</v>
      </c>
      <c r="H40" s="23">
        <f t="shared" si="1"/>
        <v>-3.4898559924797644E-2</v>
      </c>
      <c r="I40" s="23"/>
      <c r="J40" s="15"/>
      <c r="K40" s="15"/>
      <c r="L40" s="15"/>
      <c r="M40" s="15"/>
      <c r="N40" s="15"/>
      <c r="O40" s="15"/>
      <c r="P40" s="15"/>
      <c r="Q40" s="15"/>
    </row>
    <row r="41" spans="1:17">
      <c r="A41" s="14">
        <v>21.431999999999999</v>
      </c>
      <c r="B41" s="23">
        <v>72.109628000000001</v>
      </c>
      <c r="C41" s="23">
        <v>75.187327999999994</v>
      </c>
      <c r="D41" s="23">
        <v>22.177211</v>
      </c>
      <c r="E41" s="23">
        <f>(B41 - D41)/($L$7 - D41)</f>
        <v>0.90921810208770448</v>
      </c>
      <c r="F41" s="23">
        <f t="shared" si="0"/>
        <v>-9.5170277294662431E-2</v>
      </c>
      <c r="G41" s="23">
        <f>(C41 - D41)/($L$7 - D41)</f>
        <v>0.96525986254955676</v>
      </c>
      <c r="H41" s="23">
        <f t="shared" si="1"/>
        <v>-3.5357926278432344E-2</v>
      </c>
      <c r="I41" s="23"/>
      <c r="J41" s="15"/>
      <c r="K41" s="15"/>
      <c r="L41" s="15"/>
      <c r="M41" s="15"/>
      <c r="N41" s="15"/>
      <c r="O41" s="15"/>
      <c r="P41" s="15"/>
      <c r="Q41" s="15"/>
    </row>
    <row r="42" spans="1:17">
      <c r="A42" s="14">
        <v>21.995999999999999</v>
      </c>
      <c r="B42" s="23">
        <v>71.993904999999998</v>
      </c>
      <c r="C42" s="23">
        <v>75.151786000000001</v>
      </c>
      <c r="D42" s="23">
        <v>22.180385999999999</v>
      </c>
      <c r="E42" s="23">
        <f>(B42 - D42)/($L$7 - D42)</f>
        <v>0.90710553439145736</v>
      </c>
      <c r="F42" s="23">
        <f t="shared" si="0"/>
        <v>-9.749648018763675E-2</v>
      </c>
      <c r="G42" s="23">
        <f>(C42 - D42)/($L$7 - D42)</f>
        <v>0.96461063319906482</v>
      </c>
      <c r="H42" s="23">
        <f t="shared" si="1"/>
        <v>-3.6030747979591812E-2</v>
      </c>
      <c r="I42" s="23"/>
      <c r="J42" s="15"/>
      <c r="K42" s="15"/>
      <c r="L42" s="15"/>
      <c r="M42" s="15"/>
      <c r="N42" s="15"/>
      <c r="O42" s="15"/>
      <c r="P42" s="15"/>
      <c r="Q42" s="15"/>
    </row>
    <row r="43" spans="1:17">
      <c r="A43" s="14">
        <v>22.56</v>
      </c>
      <c r="B43" s="23">
        <v>71.884975999999995</v>
      </c>
      <c r="C43" s="23">
        <v>75.122073999999998</v>
      </c>
      <c r="D43" s="23">
        <v>22.182283999999999</v>
      </c>
      <c r="E43" s="23">
        <f>(B43 - D43)/($L$7 - D43)</f>
        <v>0.90511865499295585</v>
      </c>
      <c r="F43" s="23">
        <f t="shared" si="0"/>
        <v>-9.9689233386985987E-2</v>
      </c>
      <c r="G43" s="23">
        <f>(C43 - D43)/($L$7 - D43)</f>
        <v>0.96406833497890898</v>
      </c>
      <c r="H43" s="23">
        <f t="shared" si="1"/>
        <v>-3.6593099976367616E-2</v>
      </c>
      <c r="I43" s="23"/>
      <c r="J43" s="15"/>
      <c r="K43" s="15"/>
      <c r="L43" s="15"/>
      <c r="M43" s="15"/>
      <c r="N43" s="15"/>
      <c r="O43" s="15"/>
      <c r="P43" s="15"/>
      <c r="Q43" s="15"/>
    </row>
    <row r="44" spans="1:17">
      <c r="A44" s="14">
        <v>23.123999999999999</v>
      </c>
      <c r="B44" s="23">
        <v>71.783023</v>
      </c>
      <c r="C44" s="23">
        <v>75.097797999999997</v>
      </c>
      <c r="D44" s="23">
        <v>22.159483000000002</v>
      </c>
      <c r="E44" s="23">
        <f>(B44 - D44)/($L$7 - D44)</f>
        <v>0.90330217490800113</v>
      </c>
      <c r="F44" s="23">
        <f t="shared" si="0"/>
        <v>-0.10169814709315773</v>
      </c>
      <c r="G44" s="23">
        <f>(C44 - D44)/($L$7 - D44)</f>
        <v>0.9636413499614267</v>
      </c>
      <c r="H44" s="23">
        <f t="shared" si="1"/>
        <v>-3.7036097205463712E-2</v>
      </c>
      <c r="I44" s="23"/>
      <c r="J44" s="15"/>
      <c r="K44" s="15"/>
      <c r="L44" s="15"/>
      <c r="M44" s="15"/>
      <c r="N44" s="15"/>
      <c r="O44" s="15"/>
      <c r="P44" s="15"/>
      <c r="Q44" s="15"/>
    </row>
    <row r="45" spans="1:17">
      <c r="A45" s="14">
        <v>23.687999999999999</v>
      </c>
      <c r="B45" s="23">
        <v>71.688703000000004</v>
      </c>
      <c r="C45" s="23">
        <v>75.071139000000002</v>
      </c>
      <c r="D45" s="23">
        <v>22.151112000000001</v>
      </c>
      <c r="E45" s="23">
        <f>(B45 - D45)/($L$7 - D45)</f>
        <v>0.90160025264963073</v>
      </c>
      <c r="F45" s="23">
        <f t="shared" si="0"/>
        <v>-0.1035840360329732</v>
      </c>
      <c r="G45" s="23">
        <f>(C45 - D45)/($L$7 - D45)</f>
        <v>0.96316168691822901</v>
      </c>
      <c r="H45" s="23">
        <f t="shared" si="1"/>
        <v>-3.7533982089310573E-2</v>
      </c>
      <c r="I45" s="23"/>
      <c r="J45" s="15"/>
      <c r="K45" s="15"/>
      <c r="L45" s="15"/>
      <c r="M45" s="15"/>
      <c r="N45" s="15"/>
      <c r="O45" s="15"/>
      <c r="P45" s="15"/>
      <c r="Q45" s="15"/>
    </row>
    <row r="46" spans="1:17">
      <c r="A46" s="14">
        <v>24.251999999999999</v>
      </c>
      <c r="B46" s="23">
        <v>71.585471999999996</v>
      </c>
      <c r="C46" s="23">
        <v>75.046980000000005</v>
      </c>
      <c r="D46" s="23">
        <v>22.155442000000001</v>
      </c>
      <c r="E46" s="23">
        <f>(B46 - D46)/($L$7 - D46)</f>
        <v>0.8997135115882593</v>
      </c>
      <c r="F46" s="23">
        <f t="shared" si="0"/>
        <v>-0.10567888679002695</v>
      </c>
      <c r="G46" s="23">
        <f>(C46 - D46)/($L$7 - D46)</f>
        <v>0.96271904725293234</v>
      </c>
      <c r="H46" s="23">
        <f t="shared" si="1"/>
        <v>-3.7993657151464785E-2</v>
      </c>
      <c r="I46" s="23"/>
      <c r="J46" s="15"/>
      <c r="K46" s="15"/>
      <c r="L46" s="15"/>
      <c r="M46" s="15"/>
      <c r="N46" s="15"/>
      <c r="O46" s="15"/>
      <c r="P46" s="15"/>
      <c r="Q46" s="15"/>
    </row>
    <row r="47" spans="1:17">
      <c r="A47" s="14">
        <v>24.815999999999999</v>
      </c>
      <c r="B47" s="23">
        <v>71.476669999999999</v>
      </c>
      <c r="C47" s="23">
        <v>75.017426</v>
      </c>
      <c r="D47" s="23">
        <v>22.159483000000002</v>
      </c>
      <c r="E47" s="23">
        <f>(B47 - D47)/($L$7 - D47)</f>
        <v>0.89772560114503308</v>
      </c>
      <c r="F47" s="23">
        <f t="shared" si="0"/>
        <v>-0.10789082402857789</v>
      </c>
      <c r="G47" s="23">
        <f>(C47 - D47)/($L$7 - D47)</f>
        <v>0.96217833054762225</v>
      </c>
      <c r="H47" s="23">
        <f t="shared" si="1"/>
        <v>-3.8555470706585659E-2</v>
      </c>
      <c r="I47" s="23"/>
      <c r="J47" s="15"/>
      <c r="K47" s="15"/>
      <c r="L47" s="15"/>
      <c r="M47" s="15"/>
      <c r="N47" s="15"/>
      <c r="O47" s="15"/>
      <c r="P47" s="15"/>
      <c r="Q47" s="15"/>
    </row>
    <row r="48" spans="1:17">
      <c r="A48" s="14">
        <v>25.38</v>
      </c>
      <c r="B48" s="23">
        <v>71.381775000000005</v>
      </c>
      <c r="C48" s="23">
        <v>74.990212</v>
      </c>
      <c r="D48" s="23">
        <v>22.148803000000001</v>
      </c>
      <c r="E48" s="23">
        <f>(B48 - D48)/($L$7 - D48)</f>
        <v>0.89601843309686113</v>
      </c>
      <c r="F48" s="23">
        <f t="shared" si="0"/>
        <v>-0.1097942935660739</v>
      </c>
      <c r="G48" s="23">
        <f>(C48 - D48)/($L$7 - D48)</f>
        <v>0.96169039916603793</v>
      </c>
      <c r="H48" s="23">
        <f t="shared" si="1"/>
        <v>-3.9062710503677926E-2</v>
      </c>
      <c r="I48" s="23"/>
      <c r="J48" s="15"/>
      <c r="K48" s="15"/>
      <c r="L48" s="15"/>
      <c r="M48" s="15"/>
      <c r="N48" s="15"/>
      <c r="O48" s="15"/>
      <c r="P48" s="15"/>
      <c r="Q48" s="15"/>
    </row>
    <row r="49" spans="1:17">
      <c r="A49" s="14">
        <v>25.943999999999999</v>
      </c>
      <c r="B49" s="23">
        <v>71.272681000000006</v>
      </c>
      <c r="C49" s="23">
        <v>74.968828000000002</v>
      </c>
      <c r="D49" s="23">
        <v>22.137302999999999</v>
      </c>
      <c r="E49" s="23">
        <f>(B49 - D49)/($L$7 - D49)</f>
        <v>0.89405514400909525</v>
      </c>
      <c r="F49" s="23">
        <f t="shared" si="0"/>
        <v>-0.11198782337410444</v>
      </c>
      <c r="G49" s="23">
        <f>(C49 - D49)/($L$7 - D49)</f>
        <v>0.96130931753684912</v>
      </c>
      <c r="H49" s="23">
        <f t="shared" si="1"/>
        <v>-3.9459051315241606E-2</v>
      </c>
      <c r="I49" s="23"/>
      <c r="J49" s="15"/>
      <c r="K49" s="15"/>
      <c r="L49" s="15"/>
      <c r="M49" s="15"/>
      <c r="N49" s="15"/>
      <c r="O49" s="15"/>
      <c r="P49" s="15"/>
      <c r="Q49" s="15"/>
    </row>
    <row r="50" spans="1:17">
      <c r="A50" s="14">
        <v>26.507999999999999</v>
      </c>
      <c r="B50" s="23">
        <v>71.173599999999993</v>
      </c>
      <c r="C50" s="23">
        <v>74.937168999999997</v>
      </c>
      <c r="D50" s="23">
        <v>22.143197000000001</v>
      </c>
      <c r="E50" s="23">
        <f>(B50 - D50)/($L$7 - D50)</f>
        <v>0.89224073399781756</v>
      </c>
      <c r="F50" s="23">
        <f t="shared" si="0"/>
        <v>-0.11401930165002526</v>
      </c>
      <c r="G50" s="23">
        <f>(C50 - D50)/($L$7 - D50)</f>
        <v>0.96072904658646663</v>
      </c>
      <c r="H50" s="23">
        <f t="shared" si="1"/>
        <v>-4.0062859208823326E-2</v>
      </c>
      <c r="I50" s="23"/>
      <c r="J50" s="15"/>
      <c r="K50" s="15"/>
      <c r="L50" s="15"/>
      <c r="M50" s="15"/>
      <c r="N50" s="15"/>
      <c r="O50" s="15"/>
      <c r="P50" s="15"/>
      <c r="Q50" s="15"/>
    </row>
    <row r="51" spans="1:17">
      <c r="A51" s="14">
        <v>27.071999999999999</v>
      </c>
      <c r="B51" s="23">
        <v>71.070491000000004</v>
      </c>
      <c r="C51" s="23">
        <v>74.908446999999995</v>
      </c>
      <c r="D51" s="23">
        <v>22.129054</v>
      </c>
      <c r="E51" s="23">
        <f>(B51 - D51)/($L$7 - D51)</f>
        <v>0.89039259666297799</v>
      </c>
      <c r="F51" s="23">
        <f t="shared" si="0"/>
        <v>-0.11609279367466557</v>
      </c>
      <c r="G51" s="23">
        <f>(C51 - D51)/($L$7 - D51)</f>
        <v>0.9602166112034225</v>
      </c>
      <c r="H51" s="23">
        <f t="shared" si="1"/>
        <v>-4.0596383302148285E-2</v>
      </c>
      <c r="I51" s="23"/>
      <c r="J51" s="15"/>
      <c r="K51" s="15"/>
      <c r="L51" s="15"/>
      <c r="M51" s="15"/>
      <c r="N51" s="15"/>
      <c r="O51" s="15"/>
      <c r="P51" s="15"/>
      <c r="Q51" s="15"/>
    </row>
    <row r="52" spans="1:17">
      <c r="A52" s="14">
        <v>27.635999999999999</v>
      </c>
      <c r="B52" s="23">
        <v>70.970966000000004</v>
      </c>
      <c r="C52" s="23">
        <v>74.878731000000002</v>
      </c>
      <c r="D52" s="23">
        <v>22.127489000000001</v>
      </c>
      <c r="E52" s="23">
        <f>(B52 - D52)/($L$7 - D52)</f>
        <v>0.88858510845015037</v>
      </c>
      <c r="F52" s="23">
        <f t="shared" si="0"/>
        <v>-0.11812484706082703</v>
      </c>
      <c r="G52" s="23">
        <f>(C52 - D52)/($L$7 - D52)</f>
        <v>0.95967713546376165</v>
      </c>
      <c r="H52" s="23">
        <f t="shared" si="1"/>
        <v>-4.1158368312824802E-2</v>
      </c>
      <c r="I52" s="23"/>
      <c r="J52" s="15"/>
      <c r="K52" s="15"/>
      <c r="L52" s="15"/>
      <c r="M52" s="15"/>
      <c r="N52" s="15"/>
      <c r="O52" s="15"/>
      <c r="P52" s="15"/>
      <c r="Q52" s="15"/>
    </row>
    <row r="53" spans="1:17">
      <c r="A53" s="14">
        <v>28.2</v>
      </c>
      <c r="B53" s="23">
        <v>70.872298999999998</v>
      </c>
      <c r="C53" s="23">
        <v>74.850680999999994</v>
      </c>
      <c r="D53" s="23">
        <v>22.116809</v>
      </c>
      <c r="E53" s="23">
        <f>(B53 - D53)/($L$7 - D53)</f>
        <v>0.88681210069187744</v>
      </c>
      <c r="F53" s="23">
        <f t="shared" si="0"/>
        <v>-0.12012215598815484</v>
      </c>
      <c r="G53" s="23">
        <f>(C53 - D53)/($L$7 - D53)</f>
        <v>0.95917476792739798</v>
      </c>
      <c r="H53" s="23">
        <f t="shared" si="1"/>
        <v>-4.1681980944892658E-2</v>
      </c>
      <c r="I53" s="23"/>
      <c r="J53" s="15"/>
      <c r="K53" s="15"/>
      <c r="L53" s="15"/>
      <c r="M53" s="15"/>
      <c r="N53" s="15"/>
      <c r="O53" s="15"/>
      <c r="P53" s="15"/>
      <c r="Q53" s="15"/>
    </row>
    <row r="54" spans="1:17">
      <c r="A54" s="14">
        <v>28.763999999999999</v>
      </c>
      <c r="B54" s="23">
        <v>70.762614999999997</v>
      </c>
      <c r="C54" s="23">
        <v>74.826239999999999</v>
      </c>
      <c r="D54" s="23">
        <v>22.121715999999999</v>
      </c>
      <c r="E54" s="23">
        <f>(B54 - D54)/($L$7 - D54)</f>
        <v>0.8848067804342713</v>
      </c>
      <c r="F54" s="23">
        <f t="shared" si="0"/>
        <v>-0.12238598500397245</v>
      </c>
      <c r="G54" s="23">
        <f>(C54 - D54)/($L$7 - D54)</f>
        <v>0.95872652754137588</v>
      </c>
      <c r="H54" s="23">
        <f t="shared" si="1"/>
        <v>-4.2149408956169775E-2</v>
      </c>
      <c r="I54" s="23"/>
      <c r="J54" s="15"/>
      <c r="K54" s="15"/>
      <c r="L54" s="15"/>
      <c r="M54" s="15"/>
      <c r="N54" s="15"/>
      <c r="O54" s="15"/>
      <c r="P54" s="15"/>
      <c r="Q54" s="15"/>
    </row>
    <row r="55" spans="1:17">
      <c r="A55" s="14">
        <v>29.327999999999999</v>
      </c>
      <c r="B55" s="23">
        <v>70.658088000000006</v>
      </c>
      <c r="C55" s="23">
        <v>74.795689999999993</v>
      </c>
      <c r="D55" s="23">
        <v>22.113057000000001</v>
      </c>
      <c r="E55" s="23">
        <f>(B55 - D55)/($L$7 - D55)</f>
        <v>0.88292381329940872</v>
      </c>
      <c r="F55" s="23">
        <f t="shared" si="0"/>
        <v>-0.12451636375477684</v>
      </c>
      <c r="G55" s="23">
        <f>(C55 - D55)/($L$7 - D55)</f>
        <v>0.95817739251239242</v>
      </c>
      <c r="H55" s="23">
        <f t="shared" si="1"/>
        <v>-4.2722348515904868E-2</v>
      </c>
      <c r="I55" s="23"/>
      <c r="J55" s="15"/>
      <c r="K55" s="15"/>
      <c r="L55" s="15"/>
      <c r="M55" s="15"/>
      <c r="N55" s="15"/>
      <c r="O55" s="15"/>
      <c r="P55" s="15"/>
      <c r="Q55" s="15"/>
    </row>
    <row r="56" spans="1:17">
      <c r="A56" s="14">
        <v>29.891999999999999</v>
      </c>
      <c r="B56" s="23">
        <v>70.552135000000007</v>
      </c>
      <c r="C56" s="23">
        <v>74.764027999999996</v>
      </c>
      <c r="D56" s="23">
        <v>22.098624999999998</v>
      </c>
      <c r="E56" s="23">
        <f>(B56 - D56)/($L$7 - D56)</f>
        <v>0.88102799736878112</v>
      </c>
      <c r="F56" s="23">
        <f t="shared" si="0"/>
        <v>-0.12666587447169506</v>
      </c>
      <c r="G56" s="23">
        <f>(C56 - D56)/($L$7 - D56)</f>
        <v>0.95761265872606105</v>
      </c>
      <c r="H56" s="23">
        <f t="shared" si="1"/>
        <v>-4.331190560471395E-2</v>
      </c>
      <c r="I56" s="23"/>
      <c r="J56" s="15"/>
      <c r="K56" s="15"/>
      <c r="L56" s="15"/>
      <c r="M56" s="15"/>
      <c r="N56" s="15"/>
      <c r="O56" s="15"/>
      <c r="P56" s="15"/>
      <c r="Q56" s="15"/>
    </row>
    <row r="57" spans="1:17">
      <c r="A57" s="14">
        <v>30.456</v>
      </c>
      <c r="B57" s="23">
        <v>70.451618999999994</v>
      </c>
      <c r="C57" s="23">
        <v>74.738635000000002</v>
      </c>
      <c r="D57" s="23">
        <v>22.102255</v>
      </c>
      <c r="E57" s="23">
        <f>(B57 - D57)/($L$7 - D57)</f>
        <v>0.87919234564893434</v>
      </c>
      <c r="F57" s="23">
        <f t="shared" si="0"/>
        <v>-0.12875158197141676</v>
      </c>
      <c r="G57" s="23">
        <f>(C57 - D57)/($L$7 - D57)</f>
        <v>0.95714811054533544</v>
      </c>
      <c r="H57" s="23">
        <f t="shared" si="1"/>
        <v>-4.3797134044000464E-2</v>
      </c>
      <c r="I57" s="23"/>
      <c r="J57" s="15"/>
      <c r="K57" s="15"/>
      <c r="L57" s="15"/>
      <c r="M57" s="15"/>
      <c r="N57" s="15"/>
      <c r="O57" s="15"/>
      <c r="P57" s="15"/>
      <c r="Q57" s="15"/>
    </row>
    <row r="58" spans="1:17">
      <c r="A58" s="14">
        <v>31.02</v>
      </c>
      <c r="B58" s="23">
        <v>70.366566000000006</v>
      </c>
      <c r="C58" s="23">
        <v>74.711139000000003</v>
      </c>
      <c r="D58" s="23">
        <v>22.093885</v>
      </c>
      <c r="E58" s="23">
        <f>(B58 - D58)/($L$7 - D58)</f>
        <v>0.87766434833968754</v>
      </c>
      <c r="F58" s="23">
        <f t="shared" si="0"/>
        <v>-0.13049104962379038</v>
      </c>
      <c r="G58" s="23">
        <f>(C58 - D58)/($L$7 - D58)</f>
        <v>0.95665471622207632</v>
      </c>
      <c r="H58" s="23">
        <f t="shared" si="1"/>
        <v>-4.4312750728529755E-2</v>
      </c>
      <c r="I58" s="23"/>
      <c r="J58" s="15"/>
      <c r="K58" s="15"/>
      <c r="L58" s="15"/>
      <c r="M58" s="15"/>
      <c r="N58" s="15"/>
      <c r="O58" s="15"/>
      <c r="P58" s="15"/>
      <c r="Q58" s="15"/>
    </row>
    <row r="59" spans="1:17">
      <c r="A59" s="14">
        <v>31.584</v>
      </c>
      <c r="B59" s="23">
        <v>70.256696000000005</v>
      </c>
      <c r="C59" s="23">
        <v>74.691417999999999</v>
      </c>
      <c r="D59" s="23">
        <v>22.084648000000001</v>
      </c>
      <c r="E59" s="23">
        <f>(B59 - D59)/($L$7 - D59)</f>
        <v>0.87568763643067815</v>
      </c>
      <c r="F59" s="23">
        <f t="shared" si="0"/>
        <v>-0.13274583105233695</v>
      </c>
      <c r="G59" s="23">
        <f>(C59 - D59)/($L$7 - D59)</f>
        <v>0.95630349952221883</v>
      </c>
      <c r="H59" s="23">
        <f t="shared" si="1"/>
        <v>-4.4679948193600542E-2</v>
      </c>
      <c r="I59" s="23"/>
      <c r="J59" s="15"/>
      <c r="K59" s="15"/>
      <c r="L59" s="15"/>
      <c r="M59" s="15"/>
      <c r="N59" s="15"/>
      <c r="O59" s="15"/>
      <c r="P59" s="15"/>
      <c r="Q59" s="15"/>
    </row>
    <row r="60" spans="1:17">
      <c r="A60" s="14">
        <v>32.148000000000003</v>
      </c>
      <c r="B60" s="23">
        <v>70.155604999999994</v>
      </c>
      <c r="C60" s="23">
        <v>74.656304000000006</v>
      </c>
      <c r="D60" s="23">
        <v>22.080484999999999</v>
      </c>
      <c r="E60" s="23">
        <f>(B60 - D60)/($L$7 - D60)</f>
        <v>0.87385951620458679</v>
      </c>
      <c r="F60" s="23">
        <f t="shared" si="0"/>
        <v>-0.13483565285413887</v>
      </c>
      <c r="G60" s="23">
        <f>(C60 - D60)/($L$7 - D60)</f>
        <v>0.95566854030525417</v>
      </c>
      <c r="H60" s="23">
        <f t="shared" si="1"/>
        <v>-4.5344141212202177E-2</v>
      </c>
      <c r="I60" s="23"/>
      <c r="J60" s="15"/>
      <c r="K60" s="15"/>
      <c r="L60" s="15"/>
      <c r="M60" s="15"/>
      <c r="N60" s="15"/>
      <c r="O60" s="15"/>
      <c r="P60" s="15"/>
      <c r="Q60" s="15"/>
    </row>
    <row r="61" spans="1:17">
      <c r="A61" s="14">
        <v>32.712000000000003</v>
      </c>
      <c r="B61" s="23">
        <v>70.051721999999998</v>
      </c>
      <c r="C61" s="23">
        <v>74.630866999999995</v>
      </c>
      <c r="D61" s="23">
        <v>22.079619000000001</v>
      </c>
      <c r="E61" s="23">
        <f>(B61 - D61)/($L$7 - D61)</f>
        <v>0.87197325440633922</v>
      </c>
      <c r="F61" s="23">
        <f t="shared" si="0"/>
        <v>-0.13699652709590238</v>
      </c>
      <c r="G61" s="23">
        <f>(C61 - D61)/($L$7 - D61)</f>
        <v>0.95520687808234339</v>
      </c>
      <c r="H61" s="23">
        <f t="shared" si="1"/>
        <v>-4.5827335697254078E-2</v>
      </c>
      <c r="I61" s="23"/>
      <c r="J61" s="15"/>
      <c r="K61" s="15"/>
      <c r="L61" s="15"/>
      <c r="M61" s="15"/>
      <c r="N61" s="15"/>
      <c r="O61" s="15"/>
      <c r="P61" s="15"/>
      <c r="Q61" s="15"/>
    </row>
    <row r="62" spans="1:17">
      <c r="A62" s="14">
        <v>33.276000000000003</v>
      </c>
      <c r="B62" s="23">
        <v>69.954392999999996</v>
      </c>
      <c r="C62" s="23">
        <v>74.600751000000002</v>
      </c>
      <c r="D62" s="23">
        <v>22.072113999999999</v>
      </c>
      <c r="E62" s="23">
        <f>(B62 - D62)/($L$7 - D62)</f>
        <v>0.87022184075800058</v>
      </c>
      <c r="F62" s="23">
        <f t="shared" si="0"/>
        <v>-0.13900711046076131</v>
      </c>
      <c r="G62" s="23">
        <f>(C62 - D62)/($L$7 - D62)</f>
        <v>0.95466565370977474</v>
      </c>
      <c r="H62" s="23">
        <f t="shared" si="1"/>
        <v>-4.6394100628470283E-2</v>
      </c>
      <c r="I62" s="23"/>
      <c r="J62" s="15"/>
      <c r="K62" s="15"/>
      <c r="L62" s="15"/>
      <c r="M62" s="15"/>
      <c r="N62" s="15"/>
      <c r="O62" s="15"/>
      <c r="P62" s="15"/>
      <c r="Q62" s="15"/>
    </row>
    <row r="63" spans="1:17">
      <c r="A63" s="14">
        <v>33.840000000000003</v>
      </c>
      <c r="B63" s="23">
        <v>69.856626000000006</v>
      </c>
      <c r="C63" s="23">
        <v>74.575751999999994</v>
      </c>
      <c r="D63" s="23">
        <v>22.058835999999999</v>
      </c>
      <c r="E63" s="23">
        <f>(B63 - D63)/($L$7 - D63)</f>
        <v>0.86847674309797085</v>
      </c>
      <c r="F63" s="23">
        <f t="shared" si="0"/>
        <v>-0.14101447190019928</v>
      </c>
      <c r="G63" s="23">
        <f>(C63 - D63)/($L$7 - D63)</f>
        <v>0.95422236394673698</v>
      </c>
      <c r="H63" s="23">
        <f t="shared" si="1"/>
        <v>-4.6858548796100935E-2</v>
      </c>
      <c r="I63" s="23"/>
      <c r="J63" s="15"/>
      <c r="K63" s="15"/>
      <c r="L63" s="15"/>
      <c r="M63" s="15"/>
      <c r="N63" s="15"/>
      <c r="O63" s="15"/>
      <c r="P63" s="15"/>
      <c r="Q63" s="15"/>
    </row>
    <row r="64" spans="1:17">
      <c r="A64" s="14">
        <v>34.404000000000003</v>
      </c>
      <c r="B64" s="23">
        <v>69.750218000000004</v>
      </c>
      <c r="C64" s="23">
        <v>74.532419000000004</v>
      </c>
      <c r="D64" s="23">
        <v>22.065353000000002</v>
      </c>
      <c r="E64" s="23">
        <f>(B64 - D64)/($L$7 - D64)</f>
        <v>0.86652752516984755</v>
      </c>
      <c r="F64" s="23">
        <f t="shared" si="0"/>
        <v>-0.14326140441080909</v>
      </c>
      <c r="G64" s="23">
        <f>(C64 - D64)/($L$7 - D64)</f>
        <v>0.9534294970511723</v>
      </c>
      <c r="H64" s="23">
        <f t="shared" si="1"/>
        <v>-4.7689797890790774E-2</v>
      </c>
      <c r="I64" s="23"/>
      <c r="J64" s="15"/>
      <c r="K64" s="15"/>
      <c r="L64" s="15"/>
      <c r="M64" s="15"/>
      <c r="N64" s="15"/>
      <c r="O64" s="15"/>
      <c r="P64" s="15"/>
      <c r="Q64" s="15"/>
    </row>
    <row r="65" spans="1:17">
      <c r="A65" s="14">
        <v>34.968000000000004</v>
      </c>
      <c r="B65" s="23">
        <v>69.641295999999997</v>
      </c>
      <c r="C65" s="23">
        <v>74.521029999999996</v>
      </c>
      <c r="D65" s="23">
        <v>22.060158000000001</v>
      </c>
      <c r="E65" s="23">
        <f>(B65 - D65)/($L$7 - D65)</f>
        <v>0.8645609846877883</v>
      </c>
      <c r="F65" s="23">
        <f t="shared" si="0"/>
        <v>-0.14553343304114152</v>
      </c>
      <c r="G65" s="23">
        <f>(C65 - D65)/($L$7 - D65)</f>
        <v>0.95322695211493302</v>
      </c>
      <c r="H65" s="23">
        <f t="shared" si="1"/>
        <v>-4.7902258753459312E-2</v>
      </c>
      <c r="I65" s="23"/>
      <c r="J65" s="15"/>
      <c r="K65" s="15"/>
      <c r="L65" s="15"/>
      <c r="M65" s="15"/>
      <c r="N65" s="15"/>
      <c r="O65" s="15"/>
      <c r="P65" s="15"/>
      <c r="Q65" s="15"/>
    </row>
    <row r="66" spans="1:17">
      <c r="A66" s="14">
        <v>35.531999999999996</v>
      </c>
      <c r="B66" s="23">
        <v>69.542522000000005</v>
      </c>
      <c r="C66" s="23">
        <v>74.497856999999996</v>
      </c>
      <c r="D66" s="23">
        <v>22.059457999999999</v>
      </c>
      <c r="E66" s="23">
        <f>(B66 - D66)/($L$7 - D66)</f>
        <v>0.86276798228234586</v>
      </c>
      <c r="F66" s="23">
        <f t="shared" si="0"/>
        <v>-0.14760947423967041</v>
      </c>
      <c r="G66" s="23">
        <f>(C66 - D66)/($L$7 - D66)</f>
        <v>0.95280649326561095</v>
      </c>
      <c r="H66" s="23">
        <f t="shared" si="1"/>
        <v>-4.8343446033946073E-2</v>
      </c>
      <c r="I66" s="23"/>
      <c r="J66" s="15"/>
      <c r="K66" s="15"/>
      <c r="L66" s="15"/>
      <c r="M66" s="15"/>
      <c r="N66" s="15"/>
      <c r="O66" s="15"/>
      <c r="P66" s="15"/>
      <c r="Q66" s="15"/>
    </row>
    <row r="67" spans="1:17">
      <c r="A67" s="14">
        <v>36.095999999999997</v>
      </c>
      <c r="B67" s="23">
        <v>69.441665999999998</v>
      </c>
      <c r="C67" s="23">
        <v>74.467855999999998</v>
      </c>
      <c r="D67" s="23">
        <v>22.052652999999999</v>
      </c>
      <c r="E67" s="23">
        <f>(B67 - D67)/($L$7 - D67)</f>
        <v>0.86095262004021511</v>
      </c>
      <c r="F67" s="23">
        <f t="shared" si="0"/>
        <v>-0.14971580505785384</v>
      </c>
      <c r="G67" s="23">
        <f>(C67 - D67)/($L$7 - D67)</f>
        <v>0.95226727665312927</v>
      </c>
      <c r="H67" s="23">
        <f t="shared" si="1"/>
        <v>-4.8909530807559963E-2</v>
      </c>
      <c r="I67" s="23"/>
      <c r="J67" s="15"/>
      <c r="K67" s="15"/>
      <c r="L67" s="15"/>
      <c r="M67" s="15"/>
      <c r="N67" s="15"/>
      <c r="O67" s="15"/>
      <c r="P67" s="15"/>
      <c r="Q67" s="15"/>
    </row>
    <row r="68" spans="1:17">
      <c r="A68" s="14">
        <v>36.659999999999997</v>
      </c>
      <c r="B68" s="23">
        <v>69.332598000000004</v>
      </c>
      <c r="C68" s="23">
        <v>74.435077000000007</v>
      </c>
      <c r="D68" s="23">
        <v>22.049067000000001</v>
      </c>
      <c r="E68" s="23">
        <f>(B68 - D68)/($L$7 - D68)</f>
        <v>0.85898028524045456</v>
      </c>
      <c r="F68" s="23">
        <f t="shared" ref="F68:F131" si="2">LN(E68)</f>
        <v>-0.15200930808726923</v>
      </c>
      <c r="G68" s="23">
        <f>(C68 - D68)/($L$7 - D68)</f>
        <v>0.95167490372936203</v>
      </c>
      <c r="H68" s="23">
        <f t="shared" ref="H68:H131" si="3">LN(G68)</f>
        <v>-4.95317901902083E-2</v>
      </c>
      <c r="I68" s="23"/>
      <c r="J68" s="15"/>
      <c r="K68" s="15"/>
      <c r="L68" s="15"/>
      <c r="M68" s="15"/>
      <c r="N68" s="15"/>
      <c r="O68" s="15"/>
      <c r="P68" s="15"/>
      <c r="Q68" s="15"/>
    </row>
    <row r="69" spans="1:17">
      <c r="A69" s="14">
        <v>37.223999999999997</v>
      </c>
      <c r="B69" s="23">
        <v>69.227548999999996</v>
      </c>
      <c r="C69" s="23">
        <v>74.402018999999996</v>
      </c>
      <c r="D69" s="23">
        <v>22.038098000000002</v>
      </c>
      <c r="E69" s="23">
        <f>(B69 - D69)/($L$7 - D69)</f>
        <v>0.85710037915554116</v>
      </c>
      <c r="F69" s="23">
        <f t="shared" si="2"/>
        <v>-0.15420023870714794</v>
      </c>
      <c r="G69" s="23">
        <f>(C69 - D69)/($L$7 - D69)</f>
        <v>0.95108410019796175</v>
      </c>
      <c r="H69" s="23">
        <f t="shared" si="3"/>
        <v>-5.015278691041003E-2</v>
      </c>
      <c r="I69" s="23"/>
      <c r="J69" s="15"/>
      <c r="K69" s="15"/>
      <c r="L69" s="15"/>
      <c r="M69" s="15"/>
      <c r="N69" s="15"/>
      <c r="O69" s="15"/>
      <c r="P69" s="15"/>
      <c r="Q69" s="15"/>
    </row>
    <row r="70" spans="1:17">
      <c r="A70" s="14">
        <v>37.787999999999997</v>
      </c>
      <c r="B70" s="23">
        <v>69.122214999999997</v>
      </c>
      <c r="C70" s="23">
        <v>74.37285</v>
      </c>
      <c r="D70" s="23">
        <v>22.042306</v>
      </c>
      <c r="E70" s="23">
        <f>(B70 - D70)/($L$7 - D70)</f>
        <v>0.85517613247481328</v>
      </c>
      <c r="F70" s="23">
        <f t="shared" si="2"/>
        <v>-0.15644782836654106</v>
      </c>
      <c r="G70" s="23">
        <f>(C70 - D70)/($L$7 - D70)</f>
        <v>0.9505505252404598</v>
      </c>
      <c r="H70" s="23">
        <f t="shared" si="3"/>
        <v>-5.0713961979865455E-2</v>
      </c>
      <c r="I70" s="23"/>
      <c r="J70" s="15"/>
      <c r="K70" s="15"/>
      <c r="L70" s="15"/>
      <c r="M70" s="15"/>
      <c r="N70" s="15"/>
      <c r="O70" s="15"/>
      <c r="P70" s="15"/>
      <c r="Q70" s="15"/>
    </row>
    <row r="71" spans="1:17">
      <c r="A71" s="14">
        <v>38.351999999999997</v>
      </c>
      <c r="B71" s="23">
        <v>69.011301000000003</v>
      </c>
      <c r="C71" s="23">
        <v>74.339512999999997</v>
      </c>
      <c r="D71" s="23">
        <v>22.044737000000001</v>
      </c>
      <c r="E71" s="23">
        <f>(B71 - D71)/($L$7 - D71)</f>
        <v>0.85315496700126836</v>
      </c>
      <c r="F71" s="23">
        <f t="shared" si="2"/>
        <v>-0.15881407507038858</v>
      </c>
      <c r="G71" s="23">
        <f>(C71 - D71)/($L$7 - D71)</f>
        <v>0.9499427697674182</v>
      </c>
      <c r="H71" s="23">
        <f t="shared" si="3"/>
        <v>-5.1353538552279886E-2</v>
      </c>
      <c r="I71" s="23"/>
      <c r="J71" s="15"/>
      <c r="K71" s="15"/>
      <c r="L71" s="15"/>
      <c r="M71" s="15"/>
      <c r="N71" s="15"/>
      <c r="O71" s="15"/>
      <c r="P71" s="15"/>
      <c r="Q71" s="15"/>
    </row>
    <row r="72" spans="1:17">
      <c r="A72" s="14">
        <v>38.915999999999997</v>
      </c>
      <c r="B72" s="23">
        <v>68.906232000000003</v>
      </c>
      <c r="C72" s="23">
        <v>74.315899000000002</v>
      </c>
      <c r="D72" s="23">
        <v>22.034801000000002</v>
      </c>
      <c r="E72" s="23">
        <f>(B72 - D72)/($L$7 - D72)</f>
        <v>0.85127321576120485</v>
      </c>
      <c r="F72" s="23">
        <f t="shared" si="2"/>
        <v>-0.16102214933675965</v>
      </c>
      <c r="G72" s="23">
        <f>(C72 - D72)/($L$7 - D72)</f>
        <v>0.94952292832678165</v>
      </c>
      <c r="H72" s="23">
        <f t="shared" si="3"/>
        <v>-5.1795601231163634E-2</v>
      </c>
      <c r="I72" s="23"/>
      <c r="J72" s="15"/>
      <c r="K72" s="15"/>
      <c r="L72" s="15"/>
      <c r="M72" s="15"/>
      <c r="N72" s="15"/>
      <c r="O72" s="15"/>
      <c r="P72" s="15"/>
      <c r="Q72" s="15"/>
    </row>
    <row r="73" spans="1:17">
      <c r="A73" s="14">
        <v>39.479999999999997</v>
      </c>
      <c r="B73" s="23">
        <v>68.794466999999997</v>
      </c>
      <c r="C73" s="23">
        <v>74.289507</v>
      </c>
      <c r="D73" s="23">
        <v>22.026430000000001</v>
      </c>
      <c r="E73" s="23">
        <f>(B73 - D73)/($L$7 - D73)</f>
        <v>0.84926626996985366</v>
      </c>
      <c r="F73" s="23">
        <f t="shared" si="2"/>
        <v>-0.16338251407979495</v>
      </c>
      <c r="G73" s="23">
        <f>(C73 - D73)/($L$7 - D73)</f>
        <v>0.9490513459210882</v>
      </c>
      <c r="H73" s="23">
        <f t="shared" si="3"/>
        <v>-5.2292376544922255E-2</v>
      </c>
      <c r="I73" s="23"/>
      <c r="J73" s="15"/>
      <c r="K73" s="15"/>
      <c r="L73" s="15"/>
      <c r="M73" s="15"/>
      <c r="N73" s="15"/>
      <c r="O73" s="15"/>
      <c r="P73" s="15"/>
      <c r="Q73" s="15"/>
    </row>
    <row r="74" spans="1:17">
      <c r="A74" s="14">
        <v>40.043999999999997</v>
      </c>
      <c r="B74" s="23">
        <v>68.694121999999993</v>
      </c>
      <c r="C74" s="23">
        <v>74.263947000000002</v>
      </c>
      <c r="D74" s="23">
        <v>22.032492000000001</v>
      </c>
      <c r="E74" s="23">
        <f>(B74 - D74)/($L$7 - D74)</f>
        <v>0.84742729805410522</v>
      </c>
      <c r="F74" s="23">
        <f t="shared" si="2"/>
        <v>-0.1655502274141456</v>
      </c>
      <c r="G74" s="23">
        <f>(C74 - D74)/($L$7 - D74)</f>
        <v>0.94858153870931206</v>
      </c>
      <c r="H74" s="23">
        <f t="shared" si="3"/>
        <v>-5.2787527345880644E-2</v>
      </c>
      <c r="I74" s="23"/>
      <c r="J74" s="15"/>
      <c r="K74" s="15"/>
      <c r="L74" s="15"/>
      <c r="M74" s="15"/>
      <c r="N74" s="15"/>
      <c r="O74" s="15"/>
      <c r="P74" s="15"/>
      <c r="Q74" s="15"/>
    </row>
    <row r="75" spans="1:17">
      <c r="A75" s="14">
        <v>40.607999999999997</v>
      </c>
      <c r="B75" s="23">
        <v>68.593214000000003</v>
      </c>
      <c r="C75" s="23">
        <v>74.241048000000006</v>
      </c>
      <c r="D75" s="23">
        <v>22.025731</v>
      </c>
      <c r="E75" s="23">
        <f>(B75 - D75)/($L$7 - D75)</f>
        <v>0.84561365279536549</v>
      </c>
      <c r="F75" s="23">
        <f t="shared" si="2"/>
        <v>-0.16769269886656593</v>
      </c>
      <c r="G75" s="23">
        <f>(C75 - D75)/($L$7 - D75)</f>
        <v>0.94817203111961079</v>
      </c>
      <c r="H75" s="23">
        <f t="shared" si="3"/>
        <v>-5.3219325764587107E-2</v>
      </c>
      <c r="I75" s="23"/>
      <c r="J75" s="15"/>
      <c r="K75" s="15"/>
      <c r="L75" s="15"/>
      <c r="M75" s="15"/>
      <c r="N75" s="15"/>
      <c r="O75" s="15"/>
      <c r="P75" s="15"/>
      <c r="Q75" s="15"/>
    </row>
    <row r="76" spans="1:17">
      <c r="A76" s="14">
        <v>41.171999999999997</v>
      </c>
      <c r="B76" s="23">
        <v>68.480869999999996</v>
      </c>
      <c r="C76" s="23">
        <v>74.216876999999997</v>
      </c>
      <c r="D76" s="23">
        <v>22.032081000000002</v>
      </c>
      <c r="E76" s="23">
        <f>(B76 - D76)/($L$7 - D76)</f>
        <v>0.84355557137578774</v>
      </c>
      <c r="F76" s="23">
        <f t="shared" si="2"/>
        <v>-0.17012949727436605</v>
      </c>
      <c r="G76" s="23">
        <f>(C76 - D76)/($L$7 - D76)</f>
        <v>0.94772708513259463</v>
      </c>
      <c r="H76" s="23">
        <f t="shared" si="3"/>
        <v>-5.3688703055151762E-2</v>
      </c>
      <c r="I76" s="23"/>
      <c r="J76" s="15"/>
      <c r="K76" s="15"/>
      <c r="L76" s="15"/>
      <c r="M76" s="15"/>
      <c r="N76" s="15"/>
      <c r="O76" s="15"/>
      <c r="P76" s="15"/>
      <c r="Q76" s="15"/>
    </row>
    <row r="77" spans="1:17">
      <c r="A77" s="14">
        <v>41.735999999999997</v>
      </c>
      <c r="B77" s="23">
        <v>68.381621999999993</v>
      </c>
      <c r="C77" s="23">
        <v>74.191478000000004</v>
      </c>
      <c r="D77" s="23">
        <v>22.021401000000001</v>
      </c>
      <c r="E77" s="23">
        <f>(B77 - D77)/($L$7 - D77)</f>
        <v>0.84178381783638068</v>
      </c>
      <c r="F77" s="23">
        <f t="shared" si="2"/>
        <v>-0.1722320461181763</v>
      </c>
      <c r="G77" s="23">
        <f>(C77 - D77)/($L$7 - D77)</f>
        <v>0.94727604067888205</v>
      </c>
      <c r="H77" s="23">
        <f t="shared" si="3"/>
        <v>-5.4164738641675689E-2</v>
      </c>
      <c r="I77" s="23"/>
      <c r="J77" s="15"/>
      <c r="K77" s="15"/>
      <c r="L77" s="15"/>
      <c r="M77" s="15"/>
      <c r="N77" s="15"/>
      <c r="O77" s="15"/>
      <c r="P77" s="15"/>
      <c r="Q77" s="15"/>
    </row>
    <row r="78" spans="1:17">
      <c r="A78" s="14">
        <v>42.3</v>
      </c>
      <c r="B78" s="23">
        <v>68.274281999999999</v>
      </c>
      <c r="C78" s="23">
        <v>74.161589000000006</v>
      </c>
      <c r="D78" s="23">
        <v>22.029938999999999</v>
      </c>
      <c r="E78" s="23">
        <f>(B78 - D78)/($L$7 - D78)</f>
        <v>0.839809962170877</v>
      </c>
      <c r="F78" s="23">
        <f t="shared" si="2"/>
        <v>-0.17457964825075209</v>
      </c>
      <c r="G78" s="23">
        <f>(C78 - D78)/($L$7 - D78)</f>
        <v>0.94672507325718536</v>
      </c>
      <c r="H78" s="23">
        <f t="shared" si="3"/>
        <v>-5.4746541295522387E-2</v>
      </c>
      <c r="I78" s="23"/>
      <c r="J78" s="15"/>
      <c r="K78" s="15"/>
      <c r="L78" s="15"/>
      <c r="M78" s="15"/>
      <c r="N78" s="15"/>
      <c r="O78" s="15"/>
      <c r="P78" s="15"/>
      <c r="Q78" s="15"/>
    </row>
    <row r="79" spans="1:17">
      <c r="A79" s="14">
        <v>42.863999999999997</v>
      </c>
      <c r="B79" s="23">
        <v>68.169443999999999</v>
      </c>
      <c r="C79" s="23">
        <v>74.134360000000001</v>
      </c>
      <c r="D79" s="23">
        <v>22.014184</v>
      </c>
      <c r="E79" s="23">
        <f>(B79 - D79)/($L$7 - D79)</f>
        <v>0.83795243957254084</v>
      </c>
      <c r="F79" s="23">
        <f t="shared" si="2"/>
        <v>-0.17679393479736763</v>
      </c>
      <c r="G79" s="23">
        <f>(C79 - D79)/($L$7 - D79)</f>
        <v>0.94624596698513219</v>
      </c>
      <c r="H79" s="23">
        <f t="shared" si="3"/>
        <v>-5.5252736342459911E-2</v>
      </c>
      <c r="I79" s="23"/>
      <c r="J79" s="15"/>
      <c r="K79" s="15"/>
      <c r="L79" s="15"/>
      <c r="M79" s="15"/>
      <c r="N79" s="15"/>
      <c r="O79" s="15"/>
      <c r="P79" s="15"/>
      <c r="Q79" s="15"/>
    </row>
    <row r="80" spans="1:17">
      <c r="A80" s="14">
        <v>43.427999999999997</v>
      </c>
      <c r="B80" s="23">
        <v>68.063484000000003</v>
      </c>
      <c r="C80" s="23">
        <v>74.111181999999999</v>
      </c>
      <c r="D80" s="23">
        <v>22.019546999999999</v>
      </c>
      <c r="E80" s="23">
        <f>(B80 - D80)/($L$7 - D80)</f>
        <v>0.83601276056007268</v>
      </c>
      <c r="F80" s="23">
        <f t="shared" si="2"/>
        <v>-0.17911140218608834</v>
      </c>
      <c r="G80" s="23">
        <f>(C80 - D80)/($L$7 - D80)</f>
        <v>0.94581989325625437</v>
      </c>
      <c r="H80" s="23">
        <f t="shared" si="3"/>
        <v>-5.5703115734671543E-2</v>
      </c>
      <c r="I80" s="23"/>
      <c r="J80" s="15"/>
      <c r="K80" s="15"/>
      <c r="L80" s="15"/>
      <c r="M80" s="15"/>
      <c r="N80" s="15"/>
      <c r="O80" s="15"/>
      <c r="P80" s="15"/>
      <c r="Q80" s="15"/>
    </row>
    <row r="81" spans="1:17">
      <c r="A81" s="14">
        <v>43.991999999999997</v>
      </c>
      <c r="B81" s="23">
        <v>67.950546000000003</v>
      </c>
      <c r="C81" s="23">
        <v>74.074228000000005</v>
      </c>
      <c r="D81" s="23">
        <v>22.012329999999999</v>
      </c>
      <c r="E81" s="23">
        <f>(B81 - D81)/($L$7 - D81)</f>
        <v>0.83398391688332218</v>
      </c>
      <c r="F81" s="23">
        <f t="shared" si="2"/>
        <v>-0.18154116112189836</v>
      </c>
      <c r="G81" s="23">
        <f>(C81 - D81)/($L$7 - D81)</f>
        <v>0.94515611173102587</v>
      </c>
      <c r="H81" s="23">
        <f t="shared" si="3"/>
        <v>-5.6405167533045898E-2</v>
      </c>
      <c r="I81" s="23"/>
      <c r="J81" s="15"/>
      <c r="K81" s="15"/>
      <c r="L81" s="15"/>
      <c r="M81" s="15"/>
      <c r="N81" s="15"/>
      <c r="O81" s="15"/>
      <c r="P81" s="15"/>
      <c r="Q81" s="15"/>
    </row>
    <row r="82" spans="1:17">
      <c r="A82" s="14">
        <v>44.555999999999997</v>
      </c>
      <c r="B82" s="23">
        <v>67.845282999999995</v>
      </c>
      <c r="C82" s="23">
        <v>74.052833000000007</v>
      </c>
      <c r="D82" s="23">
        <v>22.010187999999999</v>
      </c>
      <c r="E82" s="23">
        <f>(B82 - D82)/($L$7 - D82)</f>
        <v>0.83207945292110197</v>
      </c>
      <c r="F82" s="23">
        <f t="shared" si="2"/>
        <v>-0.18382734642100837</v>
      </c>
      <c r="G82" s="23">
        <f>(C82 - D82)/($L$7 - D82)</f>
        <v>0.94476984459543789</v>
      </c>
      <c r="H82" s="23">
        <f t="shared" si="3"/>
        <v>-5.6813931844339E-2</v>
      </c>
      <c r="I82" s="23"/>
      <c r="J82" s="15"/>
      <c r="K82" s="15"/>
      <c r="L82" s="15"/>
      <c r="M82" s="15"/>
      <c r="N82" s="15"/>
      <c r="O82" s="15"/>
      <c r="P82" s="15"/>
      <c r="Q82" s="15"/>
    </row>
    <row r="83" spans="1:17">
      <c r="A83" s="14">
        <v>45.12</v>
      </c>
      <c r="B83" s="23">
        <v>67.741380000000007</v>
      </c>
      <c r="C83" s="23">
        <v>74.022268999999994</v>
      </c>
      <c r="D83" s="23">
        <v>22.011175999999999</v>
      </c>
      <c r="E83" s="23">
        <f>(B83 - D83)/($L$7 - D83)</f>
        <v>0.83019017678633067</v>
      </c>
      <c r="F83" s="23">
        <f t="shared" si="2"/>
        <v>-0.18610047577922567</v>
      </c>
      <c r="G83" s="23">
        <f>(C83 - D83)/($L$7 - D83)</f>
        <v>0.94421399240904935</v>
      </c>
      <c r="H83" s="23">
        <f t="shared" si="3"/>
        <v>-5.7402451652230568E-2</v>
      </c>
      <c r="I83" s="23"/>
      <c r="J83" s="15"/>
      <c r="K83" s="15"/>
      <c r="L83" s="15"/>
      <c r="M83" s="15"/>
      <c r="N83" s="15"/>
      <c r="O83" s="15"/>
      <c r="P83" s="15"/>
      <c r="Q83" s="15"/>
    </row>
    <row r="84" spans="1:17">
      <c r="A84" s="14">
        <v>45.683999999999997</v>
      </c>
      <c r="B84" s="23">
        <v>67.635113000000004</v>
      </c>
      <c r="C84" s="23">
        <v>73.988647999999998</v>
      </c>
      <c r="D84" s="23">
        <v>22.018559</v>
      </c>
      <c r="E84" s="23">
        <f>(B84 - D84)/($L$7 - D84)</f>
        <v>0.82823797470386129</v>
      </c>
      <c r="F84" s="23">
        <f t="shared" si="2"/>
        <v>-0.18845475682831558</v>
      </c>
      <c r="G84" s="23">
        <f>(C84 - D84)/($L$7 - D84)</f>
        <v>0.94359607388448097</v>
      </c>
      <c r="H84" s="23">
        <f t="shared" si="3"/>
        <v>-5.8057092240994063E-2</v>
      </c>
      <c r="I84" s="23"/>
      <c r="J84" s="15"/>
      <c r="K84" s="15"/>
      <c r="L84" s="15"/>
      <c r="M84" s="15"/>
      <c r="N84" s="15"/>
      <c r="O84" s="15"/>
      <c r="P84" s="15"/>
      <c r="Q84" s="15"/>
    </row>
    <row r="85" spans="1:17">
      <c r="A85" s="14">
        <v>46.247999999999998</v>
      </c>
      <c r="B85" s="23">
        <v>67.527445</v>
      </c>
      <c r="C85" s="23">
        <v>73.977255</v>
      </c>
      <c r="D85" s="23">
        <v>22.007300999999998</v>
      </c>
      <c r="E85" s="23">
        <f>(B85 - D85)/($L$7 - D85)</f>
        <v>0.82631859981554934</v>
      </c>
      <c r="F85" s="23">
        <f t="shared" si="2"/>
        <v>-0.19077486576729685</v>
      </c>
      <c r="G85" s="23">
        <f>(C85 - D85)/($L$7 - D85)</f>
        <v>0.94340078585336873</v>
      </c>
      <c r="H85" s="23">
        <f t="shared" si="3"/>
        <v>-5.8264075131083851E-2</v>
      </c>
      <c r="I85" s="23"/>
      <c r="J85" s="15"/>
      <c r="K85" s="15"/>
      <c r="L85" s="15"/>
      <c r="M85" s="15"/>
      <c r="N85" s="15"/>
      <c r="O85" s="15"/>
      <c r="P85" s="15"/>
      <c r="Q85" s="15"/>
    </row>
    <row r="86" spans="1:17">
      <c r="A86" s="14">
        <v>46.811999999999998</v>
      </c>
      <c r="B86" s="23">
        <v>67.422000999999995</v>
      </c>
      <c r="C86" s="23">
        <v>73.940297999999999</v>
      </c>
      <c r="D86" s="23">
        <v>22.006146999999999</v>
      </c>
      <c r="E86" s="23">
        <f>(B86 - D86)/($L$7 - D86)</f>
        <v>0.82440817310318293</v>
      </c>
      <c r="F86" s="23">
        <f t="shared" si="2"/>
        <v>-0.19308951601305638</v>
      </c>
      <c r="G86" s="23">
        <f>(C86 - D86)/($L$7 - D86)</f>
        <v>0.9427311120820242</v>
      </c>
      <c r="H86" s="23">
        <f t="shared" si="3"/>
        <v>-5.8974177961344659E-2</v>
      </c>
      <c r="I86" s="23"/>
      <c r="J86" s="15"/>
      <c r="K86" s="15"/>
      <c r="L86" s="15"/>
      <c r="M86" s="15"/>
      <c r="N86" s="15"/>
      <c r="O86" s="15"/>
      <c r="P86" s="15"/>
      <c r="Q86" s="15"/>
    </row>
    <row r="87" spans="1:17">
      <c r="A87" s="14">
        <v>47.375999999999998</v>
      </c>
      <c r="B87" s="23">
        <v>67.322130000000001</v>
      </c>
      <c r="C87" s="23">
        <v>73.916400999999993</v>
      </c>
      <c r="D87" s="23">
        <v>22.009201000000001</v>
      </c>
      <c r="E87" s="23">
        <f>(B87 - D87)/($L$7 - D87)</f>
        <v>0.82258543620487135</v>
      </c>
      <c r="F87" s="23">
        <f t="shared" si="2"/>
        <v>-0.19530292793180554</v>
      </c>
      <c r="G87" s="23">
        <f>(C87 - D87)/($L$7 - D87)</f>
        <v>0.94229412435849147</v>
      </c>
      <c r="H87" s="23">
        <f t="shared" si="3"/>
        <v>-5.9437819214430393E-2</v>
      </c>
      <c r="I87" s="23"/>
      <c r="J87" s="15"/>
      <c r="K87" s="15"/>
      <c r="L87" s="15"/>
      <c r="M87" s="15"/>
      <c r="N87" s="15"/>
      <c r="O87" s="15"/>
      <c r="P87" s="15"/>
      <c r="Q87" s="15"/>
    </row>
    <row r="88" spans="1:17">
      <c r="A88" s="14">
        <v>47.94</v>
      </c>
      <c r="B88" s="23">
        <v>67.211093000000005</v>
      </c>
      <c r="C88" s="23">
        <v>73.884327999999996</v>
      </c>
      <c r="D88" s="23">
        <v>22.010933000000001</v>
      </c>
      <c r="E88" s="23">
        <f>(B88 - D88)/($L$7 - D88)</f>
        <v>0.82056409115686846</v>
      </c>
      <c r="F88" s="23">
        <f t="shared" si="2"/>
        <v>-0.19776325918466131</v>
      </c>
      <c r="G88" s="23">
        <f>(C88 - D88)/($L$7 - D88)</f>
        <v>0.94171005641122152</v>
      </c>
      <c r="H88" s="23">
        <f t="shared" si="3"/>
        <v>-6.0057847526408636E-2</v>
      </c>
      <c r="I88" s="23"/>
      <c r="J88" s="15"/>
      <c r="K88" s="15"/>
      <c r="L88" s="15"/>
      <c r="M88" s="15"/>
      <c r="N88" s="15"/>
      <c r="O88" s="15"/>
      <c r="P88" s="15"/>
      <c r="Q88" s="15"/>
    </row>
    <row r="89" spans="1:17">
      <c r="A89" s="14">
        <v>48.503999999999998</v>
      </c>
      <c r="B89" s="23">
        <v>67.109256000000002</v>
      </c>
      <c r="C89" s="23">
        <v>73.864875999999995</v>
      </c>
      <c r="D89" s="23">
        <v>22.008046</v>
      </c>
      <c r="E89" s="23">
        <f>(B89 - D89)/($L$7 - D89)</f>
        <v>0.81872484213193863</v>
      </c>
      <c r="F89" s="23">
        <f t="shared" si="2"/>
        <v>-0.2000072196718623</v>
      </c>
      <c r="G89" s="23">
        <f>(C89 - D89)/($L$7 - D89)</f>
        <v>0.94135999799590242</v>
      </c>
      <c r="H89" s="23">
        <f t="shared" si="3"/>
        <v>-6.0429642955402117E-2</v>
      </c>
      <c r="I89" s="23"/>
      <c r="J89" s="15"/>
      <c r="K89" s="15"/>
      <c r="L89" s="15"/>
      <c r="M89" s="15"/>
      <c r="N89" s="15"/>
      <c r="O89" s="15"/>
      <c r="P89" s="15"/>
      <c r="Q89" s="15"/>
    </row>
    <row r="90" spans="1:17">
      <c r="A90" s="14">
        <v>49.067999999999998</v>
      </c>
      <c r="B90" s="23">
        <v>66.998204000000001</v>
      </c>
      <c r="C90" s="23">
        <v>73.837920999999994</v>
      </c>
      <c r="D90" s="23">
        <v>22.012087000000001</v>
      </c>
      <c r="E90" s="23">
        <f>(B90 - D90)/($L$7 - D90)</f>
        <v>0.81669546225058987</v>
      </c>
      <c r="F90" s="23">
        <f t="shared" si="2"/>
        <v>-0.20248900483440821</v>
      </c>
      <c r="G90" s="23">
        <f>(C90 - D90)/($L$7 - D90)</f>
        <v>0.94086634450251239</v>
      </c>
      <c r="H90" s="23">
        <f t="shared" si="3"/>
        <v>-6.095418508252335E-2</v>
      </c>
      <c r="I90" s="23"/>
      <c r="J90" s="15"/>
      <c r="K90" s="15"/>
      <c r="L90" s="15"/>
      <c r="M90" s="15"/>
      <c r="N90" s="15"/>
      <c r="O90" s="15"/>
      <c r="P90" s="15"/>
      <c r="Q90" s="15"/>
    </row>
    <row r="91" spans="1:17">
      <c r="A91" s="14">
        <v>49.631999999999998</v>
      </c>
      <c r="B91" s="23">
        <v>66.892725999999996</v>
      </c>
      <c r="C91" s="23">
        <v>73.805684999999997</v>
      </c>
      <c r="D91" s="23">
        <v>22.013242000000002</v>
      </c>
      <c r="E91" s="23">
        <f>(B91 - D91)/($L$7 - D91)</f>
        <v>0.81477668979874773</v>
      </c>
      <c r="F91" s="23">
        <f t="shared" si="2"/>
        <v>-0.20484120353313567</v>
      </c>
      <c r="G91" s="23">
        <f>(C91 - D91)/($L$7 - D91)</f>
        <v>0.94027986739175362</v>
      </c>
      <c r="H91" s="23">
        <f t="shared" si="3"/>
        <v>-6.1577716763423003E-2</v>
      </c>
      <c r="I91" s="23"/>
      <c r="J91" s="15"/>
      <c r="K91" s="15"/>
      <c r="L91" s="15"/>
      <c r="M91" s="15"/>
      <c r="N91" s="15"/>
      <c r="O91" s="15"/>
      <c r="P91" s="15"/>
      <c r="Q91" s="15"/>
    </row>
    <row r="92" spans="1:17">
      <c r="A92" s="14">
        <v>50.195999999999998</v>
      </c>
      <c r="B92" s="23">
        <v>66.791984999999997</v>
      </c>
      <c r="C92" s="23">
        <v>73.782342</v>
      </c>
      <c r="D92" s="23">
        <v>22.017282999999999</v>
      </c>
      <c r="E92" s="23">
        <f>(B92 - D92)/($L$7 - D92)</f>
        <v>0.81293403635937267</v>
      </c>
      <c r="F92" s="23">
        <f t="shared" si="2"/>
        <v>-0.20710530881536951</v>
      </c>
      <c r="G92" s="23">
        <f>(C92 - D92)/($L$7 - D92)</f>
        <v>0.9398516679184391</v>
      </c>
      <c r="H92" s="23">
        <f t="shared" si="3"/>
        <v>-6.2033216256598016E-2</v>
      </c>
      <c r="I92" s="23"/>
      <c r="J92" s="15"/>
      <c r="K92" s="15"/>
      <c r="L92" s="15"/>
      <c r="M92" s="15"/>
      <c r="N92" s="15"/>
      <c r="O92" s="15"/>
      <c r="P92" s="15"/>
      <c r="Q92" s="15"/>
    </row>
    <row r="93" spans="1:17">
      <c r="A93" s="14">
        <v>50.76</v>
      </c>
      <c r="B93" s="23">
        <v>66.691517000000005</v>
      </c>
      <c r="C93" s="23">
        <v>73.751216999999997</v>
      </c>
      <c r="D93" s="23">
        <v>22.003882999999998</v>
      </c>
      <c r="E93" s="23">
        <f>(B93 - D93)/($L$7 - D93)</f>
        <v>0.8111558733689781</v>
      </c>
      <c r="F93" s="23">
        <f t="shared" si="2"/>
        <v>-0.20929504435926879</v>
      </c>
      <c r="G93" s="23">
        <f>(C93 - D93)/($L$7 - D93)</f>
        <v>0.93930132674480393</v>
      </c>
      <c r="H93" s="23">
        <f t="shared" si="3"/>
        <v>-6.2618949500173757E-2</v>
      </c>
      <c r="I93" s="23"/>
      <c r="J93" s="15"/>
      <c r="K93" s="15"/>
      <c r="L93" s="15"/>
      <c r="M93" s="15"/>
      <c r="N93" s="15"/>
      <c r="O93" s="15"/>
      <c r="P93" s="15"/>
      <c r="Q93" s="15"/>
    </row>
    <row r="94" spans="1:17">
      <c r="A94" s="14">
        <v>51.323999999999998</v>
      </c>
      <c r="B94" s="23">
        <v>66.597615000000005</v>
      </c>
      <c r="C94" s="23">
        <v>73.724537999999995</v>
      </c>
      <c r="D94" s="23">
        <v>22.005904000000001</v>
      </c>
      <c r="E94" s="23">
        <f>(B94 - D94)/($L$7 - D94)</f>
        <v>0.80944440335962276</v>
      </c>
      <c r="F94" s="23">
        <f t="shared" si="2"/>
        <v>-0.21140718844586723</v>
      </c>
      <c r="G94" s="23">
        <f>(C94 - D94)/($L$7 - D94)</f>
        <v>0.93881481337876205</v>
      </c>
      <c r="H94" s="23">
        <f t="shared" si="3"/>
        <v>-6.3137036072702879E-2</v>
      </c>
      <c r="I94" s="23"/>
      <c r="J94" s="15"/>
      <c r="K94" s="15"/>
      <c r="L94" s="15"/>
      <c r="M94" s="15"/>
      <c r="N94" s="15"/>
      <c r="O94" s="15"/>
      <c r="P94" s="15"/>
      <c r="Q94" s="15"/>
    </row>
    <row r="95" spans="1:17">
      <c r="A95" s="14">
        <v>51.887999999999998</v>
      </c>
      <c r="B95" s="23">
        <v>66.490281999999993</v>
      </c>
      <c r="C95" s="23">
        <v>73.701353999999995</v>
      </c>
      <c r="D95" s="23">
        <v>22.006481000000001</v>
      </c>
      <c r="E95" s="23">
        <f>(B95 - D95)/($L$7 - D95)</f>
        <v>0.80749404074755426</v>
      </c>
      <c r="F95" s="23">
        <f t="shared" si="2"/>
        <v>-0.21381960379174667</v>
      </c>
      <c r="G95" s="23">
        <f>(C95 - D95)/($L$7 - D95)</f>
        <v>0.93839332400353204</v>
      </c>
      <c r="H95" s="23">
        <f t="shared" si="3"/>
        <v>-6.3586095901412884E-2</v>
      </c>
      <c r="I95" s="23"/>
      <c r="J95" s="15"/>
      <c r="K95" s="15"/>
      <c r="L95" s="15"/>
      <c r="M95" s="15"/>
      <c r="N95" s="15"/>
      <c r="O95" s="15"/>
      <c r="P95" s="15"/>
      <c r="Q95" s="15"/>
    </row>
    <row r="96" spans="1:17">
      <c r="A96" s="14">
        <v>52.451999999999998</v>
      </c>
      <c r="B96" s="23">
        <v>66.387282999999996</v>
      </c>
      <c r="C96" s="23">
        <v>73.673006999999998</v>
      </c>
      <c r="D96" s="23">
        <v>22.003594</v>
      </c>
      <c r="E96" s="23">
        <f>(B96 - D96)/($L$7 - D96)</f>
        <v>0.80563453312440125</v>
      </c>
      <c r="F96" s="23">
        <f t="shared" si="2"/>
        <v>-0.21612507215540608</v>
      </c>
      <c r="G96" s="23">
        <f>(C96 - D96)/($L$7 - D96)</f>
        <v>0.9378820092910003</v>
      </c>
      <c r="H96" s="23">
        <f t="shared" si="3"/>
        <v>-6.4131127556539422E-2</v>
      </c>
      <c r="I96" s="23"/>
      <c r="J96" s="15"/>
      <c r="K96" s="15"/>
      <c r="L96" s="15"/>
      <c r="M96" s="15"/>
      <c r="N96" s="15"/>
      <c r="O96" s="15"/>
      <c r="P96" s="15"/>
      <c r="Q96" s="15"/>
    </row>
    <row r="97" spans="1:17">
      <c r="A97" s="14">
        <v>53.015999999999998</v>
      </c>
      <c r="B97" s="23">
        <v>66.296154999999999</v>
      </c>
      <c r="C97" s="23">
        <v>73.639100999999997</v>
      </c>
      <c r="D97" s="23">
        <v>22.016006999999998</v>
      </c>
      <c r="E97" s="23">
        <f>(B97 - D97)/($L$7 - D97)</f>
        <v>0.80393623877363896</v>
      </c>
      <c r="F97" s="23">
        <f t="shared" si="2"/>
        <v>-0.21823531795589082</v>
      </c>
      <c r="G97" s="23">
        <f>(C97 - D97)/($L$7 - D97)</f>
        <v>0.93725242346114124</v>
      </c>
      <c r="H97" s="23">
        <f t="shared" si="3"/>
        <v>-6.4802637654717346E-2</v>
      </c>
      <c r="I97" s="23"/>
      <c r="J97" s="15"/>
      <c r="K97" s="15"/>
      <c r="L97" s="15"/>
      <c r="M97" s="15"/>
      <c r="N97" s="15"/>
      <c r="O97" s="15"/>
      <c r="P97" s="15"/>
      <c r="Q97" s="15"/>
    </row>
    <row r="98" spans="1:17">
      <c r="A98" s="14">
        <v>53.58</v>
      </c>
      <c r="B98" s="23">
        <v>66.186847999999998</v>
      </c>
      <c r="C98" s="23">
        <v>73.614920999999995</v>
      </c>
      <c r="D98" s="23">
        <v>22.007636000000002</v>
      </c>
      <c r="E98" s="23">
        <f>(B98 - D98)/($L$7 - D98)</f>
        <v>0.80198179080391119</v>
      </c>
      <c r="F98" s="23">
        <f t="shared" si="2"/>
        <v>-0.22066937610665674</v>
      </c>
      <c r="G98" s="23">
        <f>(C98 - D98)/($L$7 - D98)</f>
        <v>0.93682302080960211</v>
      </c>
      <c r="H98" s="23">
        <f t="shared" si="3"/>
        <v>-6.5260893121823899E-2</v>
      </c>
      <c r="I98" s="23"/>
      <c r="J98" s="15"/>
      <c r="K98" s="15"/>
      <c r="L98" s="15"/>
      <c r="M98" s="15"/>
      <c r="N98" s="15"/>
      <c r="O98" s="15"/>
      <c r="P98" s="15"/>
      <c r="Q98" s="15"/>
    </row>
    <row r="99" spans="1:17">
      <c r="A99" s="14">
        <v>54.143999999999998</v>
      </c>
      <c r="B99" s="23">
        <v>66.085783000000006</v>
      </c>
      <c r="C99" s="23">
        <v>73.583633000000006</v>
      </c>
      <c r="D99" s="23">
        <v>22.016752</v>
      </c>
      <c r="E99" s="23">
        <f>(B99 - D99)/($L$7 - D99)</f>
        <v>0.80011408821100483</v>
      </c>
      <c r="F99" s="23">
        <f t="shared" si="2"/>
        <v>-0.22300095121833069</v>
      </c>
      <c r="G99" s="23">
        <f>(C99 - D99)/($L$7 - D99)</f>
        <v>0.93624450179538521</v>
      </c>
      <c r="H99" s="23">
        <f t="shared" si="3"/>
        <v>-6.5878616749649538E-2</v>
      </c>
      <c r="I99" s="23"/>
      <c r="J99" s="15"/>
      <c r="K99" s="15"/>
      <c r="L99" s="15"/>
      <c r="M99" s="15"/>
      <c r="N99" s="15"/>
      <c r="O99" s="15"/>
      <c r="P99" s="15"/>
      <c r="Q99" s="15"/>
    </row>
    <row r="100" spans="1:17">
      <c r="A100" s="14">
        <v>54.707999999999998</v>
      </c>
      <c r="B100" s="23">
        <v>65.991972000000004</v>
      </c>
      <c r="C100" s="23">
        <v>73.556833999999995</v>
      </c>
      <c r="D100" s="23">
        <v>22.019926999999999</v>
      </c>
      <c r="E100" s="23">
        <f>(B100 - D100)/($L$7 - D100)</f>
        <v>0.79839924129998197</v>
      </c>
      <c r="F100" s="23">
        <f t="shared" si="2"/>
        <v>-0.22514650426090804</v>
      </c>
      <c r="G100" s="23">
        <f>(C100 - D100)/($L$7 - D100)</f>
        <v>0.93575423766958588</v>
      </c>
      <c r="H100" s="23">
        <f t="shared" si="3"/>
        <v>-6.6402403573510571E-2</v>
      </c>
      <c r="I100" s="23"/>
      <c r="J100" s="15"/>
      <c r="K100" s="15"/>
      <c r="L100" s="15"/>
      <c r="M100" s="15"/>
      <c r="N100" s="15"/>
      <c r="O100" s="15"/>
      <c r="P100" s="15"/>
      <c r="Q100" s="15"/>
    </row>
    <row r="101" spans="1:17">
      <c r="A101" s="14">
        <v>55.271999999999998</v>
      </c>
      <c r="B101" s="23">
        <v>65.897037999999995</v>
      </c>
      <c r="C101" s="23">
        <v>73.530429999999996</v>
      </c>
      <c r="D101" s="23">
        <v>22.023968</v>
      </c>
      <c r="E101" s="23">
        <f>(B101 - D101)/($L$7 - D101)</f>
        <v>0.79666060772434699</v>
      </c>
      <c r="F101" s="23">
        <f t="shared" si="2"/>
        <v>-0.2273265281205398</v>
      </c>
      <c r="G101" s="23">
        <f>(C101 - D101)/($L$7 - D101)</f>
        <v>0.93527007156442399</v>
      </c>
      <c r="H101" s="23">
        <f t="shared" si="3"/>
        <v>-6.6919944808629048E-2</v>
      </c>
      <c r="I101" s="23"/>
      <c r="J101" s="15"/>
      <c r="K101" s="15"/>
      <c r="L101" s="15"/>
      <c r="M101" s="15"/>
      <c r="N101" s="15"/>
      <c r="O101" s="15"/>
      <c r="P101" s="15"/>
      <c r="Q101" s="15"/>
    </row>
    <row r="102" spans="1:17">
      <c r="A102" s="14">
        <v>55.835999999999999</v>
      </c>
      <c r="B102" s="23">
        <v>65.799863999999999</v>
      </c>
      <c r="C102" s="23">
        <v>73.499855999999994</v>
      </c>
      <c r="D102" s="23">
        <v>22.015597</v>
      </c>
      <c r="E102" s="23">
        <f>(B102 - D102)/($L$7 - D102)</f>
        <v>0.79492726425391447</v>
      </c>
      <c r="F102" s="23">
        <f t="shared" si="2"/>
        <v>-0.22950466001791825</v>
      </c>
      <c r="G102" s="23">
        <f>(C102 - D102)/($L$7 - D102)</f>
        <v>0.934724821566842</v>
      </c>
      <c r="H102" s="23">
        <f t="shared" si="3"/>
        <v>-6.750310149535238E-2</v>
      </c>
      <c r="I102" s="23"/>
      <c r="J102" s="15"/>
      <c r="K102" s="15"/>
      <c r="L102" s="15"/>
      <c r="M102" s="15"/>
      <c r="N102" s="15"/>
      <c r="O102" s="15"/>
      <c r="P102" s="15"/>
      <c r="Q102" s="15"/>
    </row>
    <row r="103" spans="1:17">
      <c r="A103" s="14">
        <v>56.4</v>
      </c>
      <c r="B103" s="23">
        <v>65.704081000000002</v>
      </c>
      <c r="C103" s="23">
        <v>73.476113999999995</v>
      </c>
      <c r="D103" s="23">
        <v>22.009246000000001</v>
      </c>
      <c r="E103" s="23">
        <f>(B103 - D103)/($L$7 - D103)</f>
        <v>0.79321211546902903</v>
      </c>
      <c r="F103" s="23">
        <f t="shared" si="2"/>
        <v>-0.23166460828644175</v>
      </c>
      <c r="G103" s="23">
        <f>(C103 - D103)/($L$7 - D103)</f>
        <v>0.93430134803908216</v>
      </c>
      <c r="H103" s="23">
        <f t="shared" si="3"/>
        <v>-6.7956250351042941E-2</v>
      </c>
      <c r="I103" s="23"/>
      <c r="J103" s="15"/>
      <c r="K103" s="15"/>
      <c r="L103" s="15"/>
      <c r="M103" s="15"/>
      <c r="N103" s="15"/>
      <c r="O103" s="15"/>
      <c r="P103" s="15"/>
      <c r="Q103" s="15"/>
    </row>
    <row r="104" spans="1:17">
      <c r="A104" s="14">
        <v>56.963999999999999</v>
      </c>
      <c r="B104" s="23">
        <v>65.607887000000005</v>
      </c>
      <c r="C104" s="23">
        <v>73.448318999999998</v>
      </c>
      <c r="D104" s="23">
        <v>22.015476</v>
      </c>
      <c r="E104" s="23">
        <f>(B104 - D104)/($L$7 - D104)</f>
        <v>0.79144227520442656</v>
      </c>
      <c r="F104" s="23">
        <f t="shared" si="2"/>
        <v>-0.23389833320577774</v>
      </c>
      <c r="G104" s="23">
        <f>(C104 - D104)/($L$7 - D104)</f>
        <v>0.9337892846567275</v>
      </c>
      <c r="H104" s="23">
        <f t="shared" si="3"/>
        <v>-6.8504471498579675E-2</v>
      </c>
      <c r="I104" s="23"/>
      <c r="J104" s="15"/>
      <c r="K104" s="15"/>
      <c r="L104" s="15"/>
      <c r="M104" s="15"/>
      <c r="N104" s="15"/>
      <c r="O104" s="15"/>
      <c r="P104" s="15"/>
      <c r="Q104" s="15"/>
    </row>
    <row r="105" spans="1:17">
      <c r="A105" s="14">
        <v>57.527999999999999</v>
      </c>
      <c r="B105" s="23">
        <v>65.515289999999993</v>
      </c>
      <c r="C105" s="23">
        <v>73.414686000000003</v>
      </c>
      <c r="D105" s="23">
        <v>22.013455</v>
      </c>
      <c r="E105" s="23">
        <f>(B105 - D105)/($L$7 - D105)</f>
        <v>0.789768843684306</v>
      </c>
      <c r="F105" s="23">
        <f t="shared" si="2"/>
        <v>-0.23601497926891818</v>
      </c>
      <c r="G105" s="23">
        <f>(C105 - D105)/($L$7 - D105)</f>
        <v>0.93318111226388301</v>
      </c>
      <c r="H105" s="23">
        <f t="shared" si="3"/>
        <v>-6.9155978791207107E-2</v>
      </c>
      <c r="I105" s="23"/>
      <c r="J105" s="15"/>
      <c r="K105" s="15"/>
      <c r="L105" s="15"/>
      <c r="M105" s="15"/>
      <c r="N105" s="15"/>
      <c r="O105" s="15"/>
      <c r="P105" s="15"/>
      <c r="Q105" s="15"/>
    </row>
    <row r="106" spans="1:17">
      <c r="A106" s="14">
        <v>58.091999999999999</v>
      </c>
      <c r="B106" s="23">
        <v>65.417535000000001</v>
      </c>
      <c r="C106" s="23">
        <v>73.393839</v>
      </c>
      <c r="D106" s="23">
        <v>22.006816000000001</v>
      </c>
      <c r="E106" s="23">
        <f>(B106 - D106)/($L$7 - D106)</f>
        <v>0.78801966730908901</v>
      </c>
      <c r="F106" s="23">
        <f t="shared" si="2"/>
        <v>-0.23823223092164411</v>
      </c>
      <c r="G106" s="23">
        <f>(C106 - D106)/($L$7 - D106)</f>
        <v>0.93281073664005676</v>
      </c>
      <c r="H106" s="23">
        <f t="shared" si="3"/>
        <v>-6.9552953332020592E-2</v>
      </c>
      <c r="I106" s="23"/>
      <c r="J106" s="15"/>
      <c r="K106" s="15"/>
      <c r="L106" s="15"/>
      <c r="M106" s="15"/>
      <c r="N106" s="15"/>
      <c r="O106" s="15"/>
      <c r="P106" s="15"/>
      <c r="Q106" s="15"/>
    </row>
    <row r="107" spans="1:17">
      <c r="A107" s="14">
        <v>58.655999999999999</v>
      </c>
      <c r="B107" s="23">
        <v>65.323963000000006</v>
      </c>
      <c r="C107" s="23">
        <v>73.367710000000002</v>
      </c>
      <c r="D107" s="23">
        <v>22.00797</v>
      </c>
      <c r="E107" s="23">
        <f>(B107 - D107)/($L$7 - D107)</f>
        <v>0.7863166110990254</v>
      </c>
      <c r="F107" s="23">
        <f t="shared" si="2"/>
        <v>-0.24039575455726275</v>
      </c>
      <c r="G107" s="23">
        <f>(C107 - D107)/($L$7 - D107)</f>
        <v>0.93233500854354312</v>
      </c>
      <c r="H107" s="23">
        <f t="shared" si="3"/>
        <v>-7.006307765668375E-2</v>
      </c>
      <c r="I107" s="23"/>
      <c r="J107" s="15"/>
      <c r="K107" s="15"/>
      <c r="L107" s="15"/>
      <c r="M107" s="15"/>
      <c r="N107" s="15"/>
      <c r="O107" s="15"/>
      <c r="P107" s="15"/>
      <c r="Q107" s="15"/>
    </row>
    <row r="108" spans="1:17">
      <c r="A108" s="14">
        <v>59.22</v>
      </c>
      <c r="B108" s="23">
        <v>65.223681999999997</v>
      </c>
      <c r="C108" s="23">
        <v>73.346585000000005</v>
      </c>
      <c r="D108" s="23">
        <v>22.010857000000001</v>
      </c>
      <c r="E108" s="23">
        <f>(B108 - D108)/($L$7 - D108)</f>
        <v>0.78448491221523275</v>
      </c>
      <c r="F108" s="23">
        <f t="shared" si="2"/>
        <v>-0.24272793935188716</v>
      </c>
      <c r="G108" s="23">
        <f>(C108 - D108)/($L$7 - D108)</f>
        <v>0.93194795928257579</v>
      </c>
      <c r="H108" s="23">
        <f t="shared" si="3"/>
        <v>-7.0478303535166847E-2</v>
      </c>
      <c r="I108" s="23"/>
      <c r="J108" s="15"/>
      <c r="K108" s="15"/>
      <c r="L108" s="15"/>
      <c r="M108" s="15"/>
      <c r="N108" s="15"/>
      <c r="O108" s="15"/>
      <c r="P108" s="15"/>
      <c r="Q108" s="15"/>
    </row>
    <row r="109" spans="1:17">
      <c r="A109" s="14">
        <v>59.783999999999999</v>
      </c>
      <c r="B109" s="23">
        <v>65.134010000000004</v>
      </c>
      <c r="C109" s="23">
        <v>73.311282000000006</v>
      </c>
      <c r="D109" s="23">
        <v>22.014320999999999</v>
      </c>
      <c r="E109" s="23">
        <f>(B109 - D109)/($L$7 - D109)</f>
        <v>0.78284335222404378</v>
      </c>
      <c r="F109" s="23">
        <f t="shared" si="2"/>
        <v>-0.24482266402275554</v>
      </c>
      <c r="G109" s="23">
        <f>(C109 - D109)/($L$7 - D109)</f>
        <v>0.93130274914891054</v>
      </c>
      <c r="H109" s="23">
        <f t="shared" si="3"/>
        <v>-7.1170867511163083E-2</v>
      </c>
      <c r="I109" s="23"/>
      <c r="J109" s="15"/>
      <c r="K109" s="15"/>
      <c r="L109" s="15"/>
      <c r="M109" s="15"/>
      <c r="N109" s="15"/>
      <c r="O109" s="15"/>
      <c r="P109" s="15"/>
      <c r="Q109" s="15"/>
    </row>
    <row r="110" spans="1:17">
      <c r="A110" s="14">
        <v>60.347999999999999</v>
      </c>
      <c r="B110" s="23">
        <v>65.047127000000003</v>
      </c>
      <c r="C110" s="23">
        <v>73.285034999999993</v>
      </c>
      <c r="D110" s="23">
        <v>22.001331</v>
      </c>
      <c r="E110" s="23">
        <f>(B110 - D110)/($L$7 - D110)</f>
        <v>0.78131755347306886</v>
      </c>
      <c r="F110" s="23">
        <f t="shared" si="2"/>
        <v>-0.24677361322417821</v>
      </c>
      <c r="G110" s="23">
        <f>(C110 - D110)/($L$7 - D110)</f>
        <v>0.9308425413324225</v>
      </c>
      <c r="H110" s="23">
        <f t="shared" si="3"/>
        <v>-7.1665144545516854E-2</v>
      </c>
      <c r="I110" s="23"/>
      <c r="J110" s="15"/>
      <c r="K110" s="15"/>
      <c r="L110" s="15"/>
      <c r="M110" s="15"/>
      <c r="N110" s="15"/>
      <c r="O110" s="15"/>
      <c r="P110" s="15"/>
      <c r="Q110" s="15"/>
    </row>
    <row r="111" spans="1:17">
      <c r="A111" s="14">
        <v>60.911999999999999</v>
      </c>
      <c r="B111" s="23">
        <v>64.952415999999999</v>
      </c>
      <c r="C111" s="23">
        <v>73.256403000000006</v>
      </c>
      <c r="D111" s="23">
        <v>22.001787</v>
      </c>
      <c r="E111" s="23">
        <f>(B111 - D111)/($L$7 - D111)</f>
        <v>0.77959664459983669</v>
      </c>
      <c r="F111" s="23">
        <f t="shared" si="2"/>
        <v>-0.24897861536025537</v>
      </c>
      <c r="G111" s="23">
        <f>(C111 - D111)/($L$7 - D111)</f>
        <v>0.93032226964250309</v>
      </c>
      <c r="H111" s="23">
        <f t="shared" si="3"/>
        <v>-7.2224226363960184E-2</v>
      </c>
      <c r="I111" s="23"/>
      <c r="J111" s="15"/>
      <c r="K111" s="15"/>
      <c r="L111" s="15"/>
      <c r="M111" s="15"/>
      <c r="N111" s="15"/>
      <c r="O111" s="15"/>
      <c r="P111" s="15"/>
      <c r="Q111" s="15"/>
    </row>
    <row r="112" spans="1:17">
      <c r="A112" s="14">
        <v>61.475999999999999</v>
      </c>
      <c r="B112" s="23">
        <v>64.860493000000005</v>
      </c>
      <c r="C112" s="23">
        <v>73.224712999999994</v>
      </c>
      <c r="D112" s="23">
        <v>22.000510999999999</v>
      </c>
      <c r="E112" s="23">
        <f>(B112 - D112)/($L$7 - D112)</f>
        <v>0.77793329391633592</v>
      </c>
      <c r="F112" s="23">
        <f t="shared" si="2"/>
        <v>-0.25111449894710397</v>
      </c>
      <c r="G112" s="23">
        <f>(C112 - D112)/($L$7 - D112)</f>
        <v>0.92974869168390584</v>
      </c>
      <c r="H112" s="23">
        <f t="shared" si="3"/>
        <v>-7.2840953347718229E-2</v>
      </c>
      <c r="I112" s="23"/>
      <c r="J112" s="15"/>
      <c r="K112" s="15"/>
      <c r="L112" s="15"/>
      <c r="M112" s="15"/>
      <c r="N112" s="15"/>
      <c r="O112" s="15"/>
      <c r="P112" s="15"/>
      <c r="Q112" s="15"/>
    </row>
    <row r="113" spans="1:17">
      <c r="A113" s="14">
        <v>62.04</v>
      </c>
      <c r="B113" s="23">
        <v>64.774991999999997</v>
      </c>
      <c r="C113" s="23">
        <v>73.187184000000002</v>
      </c>
      <c r="D113" s="23">
        <v>21.992260999999999</v>
      </c>
      <c r="E113" s="23">
        <f>(B113 - D113)/($L$7 - D113)</f>
        <v>0.77641488178712836</v>
      </c>
      <c r="F113" s="23">
        <f t="shared" si="2"/>
        <v>-0.25306826019049472</v>
      </c>
      <c r="G113" s="23">
        <f>(C113 - D113)/($L$7 - D113)</f>
        <v>0.92907813877393997</v>
      </c>
      <c r="H113" s="23">
        <f t="shared" si="3"/>
        <v>-7.3562433076830802E-2</v>
      </c>
      <c r="I113" s="23"/>
      <c r="J113" s="15"/>
      <c r="K113" s="15"/>
      <c r="L113" s="15"/>
      <c r="M113" s="15"/>
      <c r="N113" s="15"/>
      <c r="O113" s="15"/>
      <c r="P113" s="15"/>
      <c r="Q113" s="15"/>
    </row>
    <row r="114" spans="1:17">
      <c r="A114" s="14">
        <v>62.603999999999999</v>
      </c>
      <c r="B114" s="23">
        <v>64.667410000000004</v>
      </c>
      <c r="C114" s="23">
        <v>73.169113999999993</v>
      </c>
      <c r="D114" s="23">
        <v>21.991561999999998</v>
      </c>
      <c r="E114" s="23">
        <f>(B114 - D114)/($L$7 - D114)</f>
        <v>0.77446536002786326</v>
      </c>
      <c r="F114" s="23">
        <f t="shared" si="2"/>
        <v>-0.25558234571889543</v>
      </c>
      <c r="G114" s="23">
        <f>(C114 - D114)/($L$7 - D114)</f>
        <v>0.92875111081623229</v>
      </c>
      <c r="H114" s="23">
        <f t="shared" si="3"/>
        <v>-7.3914486917255065E-2</v>
      </c>
      <c r="I114" s="23"/>
      <c r="J114" s="15"/>
      <c r="K114" s="15"/>
      <c r="L114" s="15"/>
      <c r="M114" s="15"/>
      <c r="N114" s="15"/>
      <c r="O114" s="15"/>
      <c r="P114" s="15"/>
      <c r="Q114" s="15"/>
    </row>
    <row r="115" spans="1:17">
      <c r="A115" s="14">
        <v>63.167999999999999</v>
      </c>
      <c r="B115" s="23">
        <v>64.581339999999997</v>
      </c>
      <c r="C115" s="23">
        <v>73.139089999999996</v>
      </c>
      <c r="D115" s="23">
        <v>21.979437999999998</v>
      </c>
      <c r="E115" s="23">
        <f>(B115 - D115)/($L$7 - D115)</f>
        <v>0.7729533490137882</v>
      </c>
      <c r="F115" s="23">
        <f t="shared" si="2"/>
        <v>-0.25753658278019387</v>
      </c>
      <c r="G115" s="23">
        <f>(C115 - D115)/($L$7 - D115)</f>
        <v>0.92822203918923496</v>
      </c>
      <c r="H115" s="23">
        <f t="shared" si="3"/>
        <v>-7.4484308447858694E-2</v>
      </c>
      <c r="I115" s="23"/>
      <c r="J115" s="15"/>
      <c r="K115" s="15"/>
      <c r="L115" s="15"/>
      <c r="M115" s="15"/>
      <c r="N115" s="15"/>
      <c r="O115" s="15"/>
      <c r="P115" s="15"/>
      <c r="Q115" s="15"/>
    </row>
    <row r="116" spans="1:17">
      <c r="A116" s="14">
        <v>63.731999999999999</v>
      </c>
      <c r="B116" s="23">
        <v>64.495543999999995</v>
      </c>
      <c r="C116" s="23">
        <v>73.111845000000002</v>
      </c>
      <c r="D116" s="23">
        <v>21.987521000000001</v>
      </c>
      <c r="E116" s="23">
        <f>(B116 - D116)/($L$7 - D116)</f>
        <v>0.77136316699319407</v>
      </c>
      <c r="F116" s="23">
        <f t="shared" si="2"/>
        <v>-0.25959598260675204</v>
      </c>
      <c r="G116" s="23">
        <f>(C116 - D116)/($L$7 - D116)</f>
        <v>0.92771711521437183</v>
      </c>
      <c r="H116" s="23">
        <f t="shared" si="3"/>
        <v>-7.5028425410015073E-2</v>
      </c>
      <c r="I116" s="23"/>
      <c r="J116" s="15"/>
      <c r="K116" s="15"/>
      <c r="L116" s="15"/>
      <c r="M116" s="15"/>
      <c r="N116" s="15"/>
      <c r="O116" s="15"/>
      <c r="P116" s="15"/>
      <c r="Q116" s="15"/>
    </row>
    <row r="117" spans="1:17">
      <c r="A117" s="14">
        <v>64.296000000000006</v>
      </c>
      <c r="B117" s="23">
        <v>64.398996999999994</v>
      </c>
      <c r="C117" s="23">
        <v>73.078089000000006</v>
      </c>
      <c r="D117" s="23">
        <v>21.985212000000001</v>
      </c>
      <c r="E117" s="23">
        <f>(B117 - D117)/($L$7 - D117)</f>
        <v>0.76962084939470299</v>
      </c>
      <c r="F117" s="23">
        <f t="shared" si="2"/>
        <v>-0.26185728878826708</v>
      </c>
      <c r="G117" s="23">
        <f>(C117 - D117)/($L$7 - D117)</f>
        <v>0.92710762302301231</v>
      </c>
      <c r="H117" s="23">
        <f t="shared" si="3"/>
        <v>-7.5685621964203503E-2</v>
      </c>
      <c r="I117" s="23"/>
      <c r="J117" s="15"/>
      <c r="K117" s="15"/>
      <c r="L117" s="15"/>
      <c r="M117" s="15"/>
      <c r="N117" s="15"/>
      <c r="O117" s="15"/>
      <c r="P117" s="15"/>
      <c r="Q117" s="15"/>
    </row>
    <row r="118" spans="1:17">
      <c r="A118" s="14">
        <v>64.86</v>
      </c>
      <c r="B118" s="23">
        <v>64.301299</v>
      </c>
      <c r="C118" s="23">
        <v>73.055570000000003</v>
      </c>
      <c r="D118" s="23">
        <v>21.986077999999999</v>
      </c>
      <c r="E118" s="23">
        <f>(B118 - D118)/($L$7 - D118)</f>
        <v>0.76784441874834919</v>
      </c>
      <c r="F118" s="23">
        <f t="shared" si="2"/>
        <v>-0.26416814611126865</v>
      </c>
      <c r="G118" s="23">
        <f>(C118 - D118)/($L$7 - D118)</f>
        <v>0.92669785183240494</v>
      </c>
      <c r="H118" s="23">
        <f t="shared" si="3"/>
        <v>-7.6127708475263303E-2</v>
      </c>
      <c r="I118" s="23"/>
      <c r="J118" s="15"/>
      <c r="K118" s="15"/>
      <c r="L118" s="15"/>
      <c r="M118" s="15"/>
      <c r="N118" s="15"/>
      <c r="O118" s="15"/>
      <c r="P118" s="15"/>
      <c r="Q118" s="15"/>
    </row>
    <row r="119" spans="1:17">
      <c r="A119" s="14">
        <v>65.424000000000007</v>
      </c>
      <c r="B119" s="23">
        <v>64.202909000000005</v>
      </c>
      <c r="C119" s="23">
        <v>73.029436000000004</v>
      </c>
      <c r="D119" s="23">
        <v>21.985789</v>
      </c>
      <c r="E119" s="23">
        <f>(B119 - D119)/($L$7 - D119)</f>
        <v>0.76606027824982381</v>
      </c>
      <c r="F119" s="23">
        <f t="shared" si="2"/>
        <v>-0.26649442010547109</v>
      </c>
      <c r="G119" s="23">
        <f>(C119 - D119)/($L$7 - D119)</f>
        <v>0.92622401584252512</v>
      </c>
      <c r="H119" s="23">
        <f t="shared" si="3"/>
        <v>-7.6639155836833034E-2</v>
      </c>
      <c r="I119" s="23"/>
      <c r="J119" s="15"/>
      <c r="K119" s="15"/>
      <c r="L119" s="15"/>
      <c r="M119" s="15"/>
      <c r="N119" s="15"/>
      <c r="O119" s="15"/>
      <c r="P119" s="15"/>
      <c r="Q119" s="15"/>
    </row>
    <row r="120" spans="1:17">
      <c r="A120" s="14">
        <v>65.988</v>
      </c>
      <c r="B120" s="23">
        <v>64.116533000000004</v>
      </c>
      <c r="C120" s="23">
        <v>73.005247999999995</v>
      </c>
      <c r="D120" s="23">
        <v>21.989830000000001</v>
      </c>
      <c r="E120" s="23">
        <f>(B120 - D120)/($L$7 - D120)</f>
        <v>0.76447565278409613</v>
      </c>
      <c r="F120" s="23">
        <f t="shared" si="2"/>
        <v>-0.26856510136136269</v>
      </c>
      <c r="G120" s="23">
        <f>(C120 - D120)/($L$7 - D120)</f>
        <v>0.9257796646844999</v>
      </c>
      <c r="H120" s="23">
        <f t="shared" si="3"/>
        <v>-7.7119015754201367E-2</v>
      </c>
      <c r="I120" s="23"/>
      <c r="J120" s="15"/>
      <c r="K120" s="15"/>
      <c r="L120" s="15"/>
      <c r="M120" s="15"/>
      <c r="N120" s="15"/>
      <c r="O120" s="15"/>
      <c r="P120" s="15"/>
      <c r="Q120" s="15"/>
    </row>
    <row r="121" spans="1:17">
      <c r="A121" s="14">
        <v>66.552000000000007</v>
      </c>
      <c r="B121" s="23">
        <v>64.008906999999994</v>
      </c>
      <c r="C121" s="23">
        <v>72.974386999999993</v>
      </c>
      <c r="D121" s="23">
        <v>21.983768000000001</v>
      </c>
      <c r="E121" s="23">
        <f>(B121 - D121)/($L$7 - D121)</f>
        <v>0.76254867911400859</v>
      </c>
      <c r="F121" s="23">
        <f t="shared" si="2"/>
        <v>-0.27108893107735482</v>
      </c>
      <c r="G121" s="23">
        <f>(C121 - D121)/($L$7 - D121)</f>
        <v>0.92522785387231365</v>
      </c>
      <c r="H121" s="23">
        <f t="shared" si="3"/>
        <v>-7.7715243292988775E-2</v>
      </c>
      <c r="I121" s="23"/>
      <c r="J121" s="15"/>
      <c r="K121" s="15"/>
      <c r="L121" s="15"/>
      <c r="M121" s="15"/>
      <c r="N121" s="15"/>
      <c r="O121" s="15"/>
      <c r="P121" s="15"/>
      <c r="Q121" s="15"/>
    </row>
    <row r="122" spans="1:17">
      <c r="A122" s="14">
        <v>67.116</v>
      </c>
      <c r="B122" s="23">
        <v>63.915531000000001</v>
      </c>
      <c r="C122" s="23">
        <v>72.949364000000003</v>
      </c>
      <c r="D122" s="23">
        <v>21.985378999999998</v>
      </c>
      <c r="E122" s="23">
        <f>(B122 - D122)/($L$7 - D122)</f>
        <v>0.76084737513234268</v>
      </c>
      <c r="F122" s="23">
        <f t="shared" si="2"/>
        <v>-0.27332249953674048</v>
      </c>
      <c r="G122" s="23">
        <f>(C122 - D122)/($L$7 - D122)</f>
        <v>0.92477161097660898</v>
      </c>
      <c r="H122" s="23">
        <f t="shared" si="3"/>
        <v>-7.8208479008591056E-2</v>
      </c>
      <c r="I122" s="23"/>
      <c r="J122" s="15"/>
      <c r="K122" s="15"/>
      <c r="L122" s="15"/>
      <c r="M122" s="15"/>
      <c r="N122" s="15"/>
      <c r="O122" s="15"/>
      <c r="P122" s="15"/>
      <c r="Q122" s="15"/>
    </row>
    <row r="123" spans="1:17">
      <c r="A123" s="14">
        <v>67.680000000000007</v>
      </c>
      <c r="B123" s="23">
        <v>63.812364000000002</v>
      </c>
      <c r="C123" s="23">
        <v>72.924897000000001</v>
      </c>
      <c r="D123" s="23">
        <v>21.98076</v>
      </c>
      <c r="E123" s="23">
        <f>(B123 - D123)/($L$7 - D123)</f>
        <v>0.75899554864274565</v>
      </c>
      <c r="F123" s="23">
        <f t="shared" si="2"/>
        <v>-0.27575936636952092</v>
      </c>
      <c r="G123" s="23">
        <f>(C123 - D123)/($L$7 - D123)</f>
        <v>0.92433398471754025</v>
      </c>
      <c r="H123" s="23">
        <f t="shared" si="3"/>
        <v>-7.8681817327677442E-2</v>
      </c>
      <c r="I123" s="23"/>
      <c r="J123" s="15"/>
      <c r="K123" s="15"/>
      <c r="L123" s="15"/>
      <c r="M123" s="15"/>
      <c r="N123" s="15"/>
      <c r="O123" s="15"/>
      <c r="P123" s="15"/>
      <c r="Q123" s="15"/>
    </row>
    <row r="124" spans="1:17">
      <c r="A124" s="14">
        <v>68.244</v>
      </c>
      <c r="B124" s="23">
        <v>63.723044999999999</v>
      </c>
      <c r="C124" s="23">
        <v>72.906824999999998</v>
      </c>
      <c r="D124" s="23">
        <v>21.977874</v>
      </c>
      <c r="E124" s="23">
        <f>(B124 - D124)/($L$7 - D124)</f>
        <v>0.75738764256137892</v>
      </c>
      <c r="F124" s="23">
        <f t="shared" si="2"/>
        <v>-0.27788007925174352</v>
      </c>
      <c r="G124" s="23">
        <f>(C124 - D124)/($L$7 - D124)</f>
        <v>0.92401006420632414</v>
      </c>
      <c r="H124" s="23">
        <f t="shared" si="3"/>
        <v>-7.9032315401583966E-2</v>
      </c>
      <c r="I124" s="23"/>
      <c r="J124" s="15"/>
      <c r="K124" s="15"/>
      <c r="L124" s="15"/>
      <c r="M124" s="15"/>
      <c r="N124" s="15"/>
      <c r="O124" s="15"/>
      <c r="P124" s="15"/>
      <c r="Q124" s="15"/>
    </row>
    <row r="125" spans="1:17">
      <c r="A125" s="14">
        <v>68.808000000000007</v>
      </c>
      <c r="B125" s="23">
        <v>63.626981999999998</v>
      </c>
      <c r="C125" s="23">
        <v>72.879576</v>
      </c>
      <c r="D125" s="23">
        <v>21.982780999999999</v>
      </c>
      <c r="E125" s="23">
        <f>(B125 - D125)/($L$7 - D125)</f>
        <v>0.75562300356879719</v>
      </c>
      <c r="F125" s="23">
        <f t="shared" si="2"/>
        <v>-0.28021269970914636</v>
      </c>
      <c r="G125" s="23">
        <f>(C125 - D125)/($L$7 - D125)</f>
        <v>0.92350887245802471</v>
      </c>
      <c r="H125" s="23">
        <f t="shared" si="3"/>
        <v>-7.9574871962870289E-2</v>
      </c>
      <c r="I125" s="23"/>
      <c r="J125" s="15"/>
      <c r="K125" s="15"/>
      <c r="L125" s="15"/>
      <c r="M125" s="15"/>
      <c r="N125" s="15"/>
      <c r="O125" s="15"/>
      <c r="P125" s="15"/>
      <c r="Q125" s="15"/>
    </row>
    <row r="126" spans="1:17">
      <c r="A126" s="14">
        <v>69.372</v>
      </c>
      <c r="B126" s="23">
        <v>63.527710999999996</v>
      </c>
      <c r="C126" s="23">
        <v>72.858445000000003</v>
      </c>
      <c r="D126" s="23">
        <v>21.971810999999999</v>
      </c>
      <c r="E126" s="23">
        <f>(B126 - D126)/($L$7 - D126)</f>
        <v>0.75387074902434759</v>
      </c>
      <c r="F126" s="23">
        <f t="shared" si="2"/>
        <v>-0.28253434606044764</v>
      </c>
      <c r="G126" s="23">
        <f>(C126 - D126)/($L$7 - D126)</f>
        <v>0.92314075471612556</v>
      </c>
      <c r="H126" s="23">
        <f t="shared" si="3"/>
        <v>-7.9973559121883281E-2</v>
      </c>
      <c r="I126" s="23"/>
      <c r="J126" s="15"/>
      <c r="K126" s="15"/>
      <c r="L126" s="15"/>
      <c r="M126" s="15"/>
      <c r="N126" s="15"/>
      <c r="O126" s="15"/>
      <c r="P126" s="15"/>
      <c r="Q126" s="15"/>
    </row>
    <row r="127" spans="1:17">
      <c r="A127" s="14">
        <v>69.936000000000007</v>
      </c>
      <c r="B127" s="23">
        <v>63.434866</v>
      </c>
      <c r="C127" s="23">
        <v>72.824961999999999</v>
      </c>
      <c r="D127" s="23">
        <v>21.973542999999999</v>
      </c>
      <c r="E127" s="23">
        <f>(B127 - D127)/($L$7 - D127)</f>
        <v>0.75217864968212211</v>
      </c>
      <c r="F127" s="23">
        <f t="shared" si="2"/>
        <v>-0.28478141717999506</v>
      </c>
      <c r="G127" s="23">
        <f>(C127 - D127)/($L$7 - D127)</f>
        <v>0.92253090133761073</v>
      </c>
      <c r="H127" s="23">
        <f t="shared" si="3"/>
        <v>-8.0634406243535794E-2</v>
      </c>
      <c r="I127" s="23"/>
      <c r="J127" s="15"/>
      <c r="K127" s="15"/>
      <c r="L127" s="15"/>
      <c r="M127" s="15"/>
      <c r="N127" s="15"/>
      <c r="O127" s="15"/>
      <c r="P127" s="15"/>
      <c r="Q127" s="15"/>
    </row>
    <row r="128" spans="1:17">
      <c r="A128" s="14">
        <v>70.5</v>
      </c>
      <c r="B128" s="23">
        <v>63.344811999999997</v>
      </c>
      <c r="C128" s="23">
        <v>72.796322000000004</v>
      </c>
      <c r="D128" s="23">
        <v>21.969092</v>
      </c>
      <c r="E128" s="23">
        <f>(B128 - D128)/($L$7 - D128)</f>
        <v>0.75056505908073234</v>
      </c>
      <c r="F128" s="23">
        <f t="shared" si="2"/>
        <v>-0.28692894401656721</v>
      </c>
      <c r="G128" s="23">
        <f>(C128 - D128)/($L$7 - D128)</f>
        <v>0.92201762018546074</v>
      </c>
      <c r="H128" s="23">
        <f t="shared" si="3"/>
        <v>-8.1190944777935092E-2</v>
      </c>
      <c r="I128" s="23"/>
      <c r="J128" s="15"/>
      <c r="K128" s="15"/>
      <c r="L128" s="15"/>
      <c r="M128" s="15"/>
      <c r="N128" s="15"/>
      <c r="O128" s="15"/>
      <c r="P128" s="15"/>
      <c r="Q128" s="15"/>
    </row>
    <row r="129" spans="1:17">
      <c r="A129" s="14">
        <v>71.063999999999993</v>
      </c>
      <c r="B129" s="23">
        <v>63.262025000000001</v>
      </c>
      <c r="C129" s="23">
        <v>72.777135000000001</v>
      </c>
      <c r="D129" s="23">
        <v>21.967936999999999</v>
      </c>
      <c r="E129" s="23">
        <f>(B129 - D129)/($L$7 - D129)</f>
        <v>0.74906854140318158</v>
      </c>
      <c r="F129" s="23">
        <f t="shared" si="2"/>
        <v>-0.28892478910010838</v>
      </c>
      <c r="G129" s="23">
        <f>(C129 - D129)/($L$7 - D129)</f>
        <v>0.92167120474304831</v>
      </c>
      <c r="H129" s="23">
        <f t="shared" si="3"/>
        <v>-8.1566729934090643E-2</v>
      </c>
      <c r="I129" s="23"/>
      <c r="J129" s="15"/>
      <c r="K129" s="15"/>
      <c r="L129" s="15"/>
      <c r="M129" s="15"/>
      <c r="N129" s="15"/>
      <c r="O129" s="15"/>
      <c r="P129" s="15"/>
      <c r="Q129" s="15"/>
    </row>
    <row r="130" spans="1:17">
      <c r="A130" s="14">
        <v>71.628</v>
      </c>
      <c r="B130" s="23">
        <v>63.177835000000002</v>
      </c>
      <c r="C130" s="23">
        <v>72.750719000000004</v>
      </c>
      <c r="D130" s="23">
        <v>21.974</v>
      </c>
      <c r="E130" s="23">
        <f>(B130 - D130)/($L$7 - D130)</f>
        <v>0.74751357853584655</v>
      </c>
      <c r="F130" s="23">
        <f t="shared" si="2"/>
        <v>-0.29100280861693545</v>
      </c>
      <c r="G130" s="23">
        <f>(C130 - D130)/($L$7 - D130)</f>
        <v>0.92118335407369512</v>
      </c>
      <c r="H130" s="23">
        <f t="shared" si="3"/>
        <v>-8.209618102768379E-2</v>
      </c>
      <c r="I130" s="23"/>
      <c r="J130" s="15"/>
      <c r="K130" s="15"/>
      <c r="L130" s="15"/>
      <c r="M130" s="15"/>
      <c r="N130" s="15"/>
      <c r="O130" s="15"/>
      <c r="P130" s="15"/>
      <c r="Q130" s="15"/>
    </row>
    <row r="131" spans="1:17">
      <c r="A131" s="14">
        <v>72.191999999999993</v>
      </c>
      <c r="B131" s="23">
        <v>63.092241999999999</v>
      </c>
      <c r="C131" s="23">
        <v>72.72363</v>
      </c>
      <c r="D131" s="23">
        <v>21.975732000000001</v>
      </c>
      <c r="E131" s="23">
        <f>(B131 - D131)/($L$7 - D131)</f>
        <v>0.7459527810271851</v>
      </c>
      <c r="F131" s="23">
        <f t="shared" si="2"/>
        <v>-0.29309297699187348</v>
      </c>
      <c r="G131" s="23">
        <f>(C131 - D131)/($L$7 - D131)</f>
        <v>0.92068941756933953</v>
      </c>
      <c r="H131" s="23">
        <f t="shared" si="3"/>
        <v>-8.2632522651058304E-2</v>
      </c>
      <c r="I131" s="23"/>
      <c r="J131" s="15"/>
      <c r="K131" s="15"/>
      <c r="L131" s="15"/>
      <c r="M131" s="15"/>
      <c r="N131" s="15"/>
      <c r="O131" s="15"/>
      <c r="P131" s="15"/>
      <c r="Q131" s="15"/>
    </row>
    <row r="132" spans="1:17">
      <c r="A132" s="14">
        <v>72.756</v>
      </c>
      <c r="B132" s="23">
        <v>63.006644999999999</v>
      </c>
      <c r="C132" s="23">
        <v>72.698998000000003</v>
      </c>
      <c r="D132" s="23">
        <v>21.966494000000001</v>
      </c>
      <c r="E132" s="23">
        <f>(B132 - D132)/($L$7 - D132)</f>
        <v>0.74444267605696135</v>
      </c>
      <c r="F132" s="23">
        <f t="shared" ref="F132:F195" si="4">LN(E132)</f>
        <v>-0.29511942638799321</v>
      </c>
      <c r="G132" s="23">
        <f>(C132 - D132)/($L$7 - D132)</f>
        <v>0.92025589868883528</v>
      </c>
      <c r="H132" s="23">
        <f t="shared" ref="H132:H195" si="5">LN(G132)</f>
        <v>-8.3103496867064752E-2</v>
      </c>
      <c r="I132" s="23"/>
      <c r="J132" s="15"/>
      <c r="K132" s="15"/>
      <c r="L132" s="15"/>
      <c r="M132" s="15"/>
      <c r="N132" s="15"/>
      <c r="O132" s="15"/>
      <c r="P132" s="15"/>
      <c r="Q132" s="15"/>
    </row>
    <row r="133" spans="1:17">
      <c r="A133" s="14">
        <v>73.319999999999993</v>
      </c>
      <c r="B133" s="23">
        <v>62.922161000000003</v>
      </c>
      <c r="C133" s="23">
        <v>72.675362000000007</v>
      </c>
      <c r="D133" s="23">
        <v>21.984103000000001</v>
      </c>
      <c r="E133" s="23">
        <f>(B133 - D133)/($L$7 - D133)</f>
        <v>0.74282804422478876</v>
      </c>
      <c r="F133" s="23">
        <f t="shared" si="4"/>
        <v>-0.29729069547100578</v>
      </c>
      <c r="G133" s="23">
        <f>(C133 - D133)/($L$7 - D133)</f>
        <v>0.91980153973747913</v>
      </c>
      <c r="H133" s="23">
        <f t="shared" si="5"/>
        <v>-8.3597349886108799E-2</v>
      </c>
      <c r="I133" s="23"/>
      <c r="J133" s="15"/>
      <c r="K133" s="15"/>
      <c r="L133" s="15"/>
      <c r="M133" s="15"/>
      <c r="N133" s="15"/>
      <c r="O133" s="15"/>
      <c r="P133" s="15"/>
      <c r="Q133" s="15"/>
    </row>
    <row r="134" spans="1:17">
      <c r="A134" s="14">
        <v>73.884</v>
      </c>
      <c r="B134" s="23">
        <v>62.841030000000003</v>
      </c>
      <c r="C134" s="23">
        <v>72.653554</v>
      </c>
      <c r="D134" s="23">
        <v>21.970824</v>
      </c>
      <c r="E134" s="23">
        <f>(B134 - D134)/($L$7 - D134)</f>
        <v>0.74141821360218196</v>
      </c>
      <c r="F134" s="23">
        <f t="shared" si="4"/>
        <v>-0.29919042206849489</v>
      </c>
      <c r="G134" s="23">
        <f>(C134 - D134)/($L$7 - D134)</f>
        <v>0.91942524432300921</v>
      </c>
      <c r="H134" s="23">
        <f t="shared" si="5"/>
        <v>-8.4006538598432365E-2</v>
      </c>
      <c r="I134" s="23"/>
      <c r="J134" s="15"/>
      <c r="K134" s="15"/>
      <c r="L134" s="15"/>
      <c r="M134" s="15"/>
      <c r="N134" s="15"/>
      <c r="O134" s="15"/>
      <c r="P134" s="15"/>
      <c r="Q134" s="15"/>
    </row>
    <row r="135" spans="1:17">
      <c r="A135" s="14">
        <v>74.447999999999993</v>
      </c>
      <c r="B135" s="23">
        <v>62.753459999999997</v>
      </c>
      <c r="C135" s="23">
        <v>72.625746000000007</v>
      </c>
      <c r="D135" s="23">
        <v>21.974167000000001</v>
      </c>
      <c r="E135" s="23">
        <f>(B135 - D135)/($L$7 - D135)</f>
        <v>0.73981384487830315</v>
      </c>
      <c r="F135" s="23">
        <f t="shared" si="4"/>
        <v>-0.30135668540595728</v>
      </c>
      <c r="G135" s="23">
        <f>(C135 - D135)/($L$7 - D135)</f>
        <v>0.91891586764751221</v>
      </c>
      <c r="H135" s="23">
        <f t="shared" si="5"/>
        <v>-8.4560708534812651E-2</v>
      </c>
      <c r="I135" s="23"/>
      <c r="J135" s="15"/>
      <c r="K135" s="15"/>
      <c r="L135" s="15"/>
      <c r="M135" s="15"/>
      <c r="N135" s="15"/>
      <c r="O135" s="15"/>
      <c r="P135" s="15"/>
      <c r="Q135" s="15"/>
    </row>
    <row r="136" spans="1:17">
      <c r="A136" s="14">
        <v>75.012</v>
      </c>
      <c r="B136" s="23">
        <v>62.673160000000003</v>
      </c>
      <c r="C136" s="23">
        <v>72.598493000000005</v>
      </c>
      <c r="D136" s="23">
        <v>21.962909</v>
      </c>
      <c r="E136" s="23">
        <f>(B136 - D136)/($L$7 - D136)</f>
        <v>0.73841047776785995</v>
      </c>
      <c r="F136" s="23">
        <f t="shared" si="4"/>
        <v>-0.30325540606770673</v>
      </c>
      <c r="G136" s="23">
        <f>(C136 - D136)/($L$7 - D136)</f>
        <v>0.91843810477844057</v>
      </c>
      <c r="H136" s="23">
        <f t="shared" si="5"/>
        <v>-8.508076388289422E-2</v>
      </c>
      <c r="I136" s="23"/>
      <c r="J136" s="15"/>
      <c r="K136" s="15"/>
      <c r="L136" s="15"/>
      <c r="M136" s="15"/>
      <c r="N136" s="15"/>
      <c r="O136" s="15"/>
      <c r="P136" s="15"/>
      <c r="Q136" s="15"/>
    </row>
    <row r="137" spans="1:17">
      <c r="A137" s="14">
        <v>75.575999999999993</v>
      </c>
      <c r="B137" s="23">
        <v>62.584181000000001</v>
      </c>
      <c r="C137" s="23">
        <v>72.579026999999996</v>
      </c>
      <c r="D137" s="23">
        <v>21.960888000000001</v>
      </c>
      <c r="E137" s="23">
        <f>(B137 - D137)/($L$7 - D137)</f>
        <v>0.73680620727228641</v>
      </c>
      <c r="F137" s="23">
        <f t="shared" si="4"/>
        <v>-0.30543036943987339</v>
      </c>
      <c r="G137" s="23">
        <f>(C137 - D137)/($L$7 - D137)</f>
        <v>0.91808802934246114</v>
      </c>
      <c r="H137" s="23">
        <f t="shared" si="5"/>
        <v>-8.546200042912723E-2</v>
      </c>
      <c r="I137" s="23"/>
      <c r="J137" s="15"/>
      <c r="K137" s="15"/>
      <c r="L137" s="15"/>
      <c r="M137" s="15"/>
      <c r="N137" s="15"/>
      <c r="O137" s="15"/>
      <c r="P137" s="15"/>
      <c r="Q137" s="15"/>
    </row>
    <row r="138" spans="1:17">
      <c r="A138" s="14">
        <v>76.14</v>
      </c>
      <c r="B138" s="23">
        <v>62.501913000000002</v>
      </c>
      <c r="C138" s="23">
        <v>72.556223000000003</v>
      </c>
      <c r="D138" s="23">
        <v>21.968971</v>
      </c>
      <c r="E138" s="23">
        <f>(B138 - D138)/($L$7 - D138)</f>
        <v>0.73527525878567945</v>
      </c>
      <c r="F138" s="23">
        <f t="shared" si="4"/>
        <v>-0.30751034812835348</v>
      </c>
      <c r="G138" s="23">
        <f>(C138 - D138)/($L$7 - D138)</f>
        <v>0.91766234993641416</v>
      </c>
      <c r="H138" s="23">
        <f t="shared" si="5"/>
        <v>-8.5925766547311294E-2</v>
      </c>
      <c r="I138" s="23"/>
      <c r="J138" s="15"/>
      <c r="K138" s="15"/>
      <c r="L138" s="15"/>
      <c r="M138" s="15"/>
      <c r="N138" s="15"/>
      <c r="O138" s="15"/>
      <c r="P138" s="15"/>
      <c r="Q138" s="15"/>
    </row>
    <row r="139" spans="1:17">
      <c r="A139" s="14">
        <v>76.703999999999994</v>
      </c>
      <c r="B139" s="23">
        <v>62.411245999999998</v>
      </c>
      <c r="C139" s="23">
        <v>72.527299999999997</v>
      </c>
      <c r="D139" s="23">
        <v>21.955282</v>
      </c>
      <c r="E139" s="23">
        <f>(B139 - D139)/($L$7 - D139)</f>
        <v>0.73369667092637658</v>
      </c>
      <c r="F139" s="23">
        <f t="shared" si="4"/>
        <v>-0.30965959064964393</v>
      </c>
      <c r="G139" s="23">
        <f>(C139 - D139)/($L$7 - D139)</f>
        <v>0.9171582525787495</v>
      </c>
      <c r="H139" s="23">
        <f t="shared" si="5"/>
        <v>-8.6475245193514655E-2</v>
      </c>
      <c r="I139" s="23"/>
      <c r="J139" s="15"/>
      <c r="K139" s="15"/>
      <c r="L139" s="15"/>
      <c r="M139" s="15"/>
      <c r="N139" s="15"/>
      <c r="O139" s="15"/>
      <c r="P139" s="15"/>
      <c r="Q139" s="15"/>
    </row>
    <row r="140" spans="1:17">
      <c r="A140" s="14">
        <v>77.268000000000001</v>
      </c>
      <c r="B140" s="23">
        <v>62.316935000000001</v>
      </c>
      <c r="C140" s="23">
        <v>72.495874999999998</v>
      </c>
      <c r="D140" s="23">
        <v>21.958000999999999</v>
      </c>
      <c r="E140" s="23">
        <f>(B140 - D140)/($L$7 - D140)</f>
        <v>0.73197305956044012</v>
      </c>
      <c r="F140" s="23">
        <f t="shared" si="4"/>
        <v>-0.31201156957728504</v>
      </c>
      <c r="G140" s="23">
        <f>(C140 - D140)/($L$7 - D140)</f>
        <v>0.91658422532815198</v>
      </c>
      <c r="H140" s="23">
        <f t="shared" si="5"/>
        <v>-8.7101317039767201E-2</v>
      </c>
      <c r="I140" s="23"/>
      <c r="J140" s="15"/>
      <c r="K140" s="15"/>
      <c r="L140" s="15"/>
      <c r="M140" s="15"/>
      <c r="N140" s="15"/>
      <c r="O140" s="15"/>
      <c r="P140" s="15"/>
      <c r="Q140" s="15"/>
    </row>
    <row r="141" spans="1:17">
      <c r="A141" s="14">
        <v>77.831999999999994</v>
      </c>
      <c r="B141" s="23">
        <v>62.236331999999997</v>
      </c>
      <c r="C141" s="23">
        <v>72.483799000000005</v>
      </c>
      <c r="D141" s="23">
        <v>21.955282</v>
      </c>
      <c r="E141" s="23">
        <f>(B141 - D141)/($L$7 - D141)</f>
        <v>0.73052448549783455</v>
      </c>
      <c r="F141" s="23">
        <f t="shared" si="4"/>
        <v>-0.31399252953336615</v>
      </c>
      <c r="G141" s="23">
        <f>(C141 - D141)/($L$7 - D141)</f>
        <v>0.91636933209024096</v>
      </c>
      <c r="H141" s="23">
        <f t="shared" si="5"/>
        <v>-8.7335794599796873E-2</v>
      </c>
      <c r="I141" s="23"/>
      <c r="J141" s="15"/>
      <c r="K141" s="15"/>
      <c r="L141" s="15"/>
      <c r="M141" s="15"/>
      <c r="N141" s="15"/>
      <c r="O141" s="15"/>
      <c r="P141" s="15"/>
      <c r="Q141" s="15"/>
    </row>
    <row r="142" spans="1:17">
      <c r="A142" s="14">
        <v>78.396000000000001</v>
      </c>
      <c r="B142" s="23">
        <v>62.138651000000003</v>
      </c>
      <c r="C142" s="23">
        <v>72.452094000000002</v>
      </c>
      <c r="D142" s="23">
        <v>21.964352000000002</v>
      </c>
      <c r="E142" s="23">
        <f>(B142 - D142)/($L$7 - D142)</f>
        <v>0.72870834858039713</v>
      </c>
      <c r="F142" s="23">
        <f t="shared" si="4"/>
        <v>-0.31648169755748085</v>
      </c>
      <c r="G142" s="23">
        <f>(C142 - D142)/($L$7 - D142)</f>
        <v>0.91578048683246849</v>
      </c>
      <c r="H142" s="23">
        <f t="shared" si="5"/>
        <v>-8.7978586223020877E-2</v>
      </c>
      <c r="I142" s="23"/>
      <c r="J142" s="15"/>
      <c r="K142" s="15"/>
      <c r="L142" s="15"/>
      <c r="M142" s="15"/>
      <c r="N142" s="15"/>
      <c r="O142" s="15"/>
      <c r="P142" s="15"/>
      <c r="Q142" s="15"/>
    </row>
    <row r="143" spans="1:17">
      <c r="A143" s="14">
        <v>78.959999999999994</v>
      </c>
      <c r="B143" s="23">
        <v>62.046843000000003</v>
      </c>
      <c r="C143" s="23">
        <v>72.424398999999994</v>
      </c>
      <c r="D143" s="23">
        <v>21.954415999999998</v>
      </c>
      <c r="E143" s="23">
        <f>(B143 - D143)/($L$7 - D143)</f>
        <v>0.7270922585955909</v>
      </c>
      <c r="F143" s="23">
        <f t="shared" si="4"/>
        <v>-0.3187019063425206</v>
      </c>
      <c r="G143" s="23">
        <f>(C143 - D143)/($L$7 - D143)</f>
        <v>0.91529340268552639</v>
      </c>
      <c r="H143" s="23">
        <f t="shared" si="5"/>
        <v>-8.8510606433913883E-2</v>
      </c>
      <c r="I143" s="23"/>
      <c r="J143" s="15"/>
      <c r="K143" s="15"/>
      <c r="L143" s="15"/>
      <c r="M143" s="15"/>
      <c r="N143" s="15"/>
      <c r="O143" s="15"/>
      <c r="P143" s="15"/>
      <c r="Q143" s="15"/>
    </row>
    <row r="144" spans="1:17">
      <c r="A144" s="14">
        <v>79.524000000000001</v>
      </c>
      <c r="B144" s="23">
        <v>61.957267999999999</v>
      </c>
      <c r="C144" s="23">
        <v>72.397304000000005</v>
      </c>
      <c r="D144" s="23">
        <v>21.954993000000002</v>
      </c>
      <c r="E144" s="23">
        <f>(B144 - D144)/($L$7 - D144)</f>
        <v>0.72546490724107549</v>
      </c>
      <c r="F144" s="23">
        <f t="shared" si="4"/>
        <v>-0.32094257827426681</v>
      </c>
      <c r="G144" s="23">
        <f>(C144 - D144)/($L$7 - D144)</f>
        <v>0.91480113245160399</v>
      </c>
      <c r="H144" s="23">
        <f t="shared" si="5"/>
        <v>-8.9048578911666801E-2</v>
      </c>
      <c r="I144" s="23"/>
      <c r="J144" s="15"/>
      <c r="K144" s="15"/>
      <c r="L144" s="15"/>
      <c r="M144" s="15"/>
      <c r="N144" s="15"/>
      <c r="O144" s="15"/>
      <c r="P144" s="15"/>
      <c r="Q144" s="15"/>
    </row>
    <row r="145" spans="1:17">
      <c r="A145" s="14">
        <v>80.087999999999994</v>
      </c>
      <c r="B145" s="23">
        <v>61.864049000000001</v>
      </c>
      <c r="C145" s="23">
        <v>72.369213999999999</v>
      </c>
      <c r="D145" s="23">
        <v>21.945634999999999</v>
      </c>
      <c r="E145" s="23">
        <f>(B145 - D145)/($L$7 - D145)</f>
        <v>0.72382119665851852</v>
      </c>
      <c r="F145" s="23">
        <f t="shared" si="4"/>
        <v>-0.32321088303880346</v>
      </c>
      <c r="G145" s="23">
        <f>(C145 - D145)/($L$7 - D145)</f>
        <v>0.91430624702638108</v>
      </c>
      <c r="H145" s="23">
        <f t="shared" si="5"/>
        <v>-8.9589701256752863E-2</v>
      </c>
      <c r="I145" s="23"/>
      <c r="J145" s="15"/>
      <c r="K145" s="15"/>
      <c r="L145" s="15"/>
      <c r="M145" s="15"/>
      <c r="N145" s="15"/>
      <c r="O145" s="15"/>
      <c r="P145" s="15"/>
      <c r="Q145" s="15"/>
    </row>
    <row r="146" spans="1:17">
      <c r="A146" s="14">
        <v>80.652000000000001</v>
      </c>
      <c r="B146" s="23">
        <v>61.780343000000002</v>
      </c>
      <c r="C146" s="23">
        <v>72.339454000000003</v>
      </c>
      <c r="D146" s="23">
        <v>21.956437000000001</v>
      </c>
      <c r="E146" s="23">
        <f>(B146 - D146)/($L$7 - D146)</f>
        <v>0.72224899407855636</v>
      </c>
      <c r="F146" s="23">
        <f t="shared" si="4"/>
        <v>-0.32538533239750117</v>
      </c>
      <c r="G146" s="23">
        <f>(C146 - D146)/($L$7 - D146)</f>
        <v>0.91374972979528435</v>
      </c>
      <c r="H146" s="23">
        <f t="shared" si="5"/>
        <v>-9.0198563627867642E-2</v>
      </c>
      <c r="I146" s="23"/>
      <c r="J146" s="15"/>
      <c r="K146" s="15"/>
      <c r="L146" s="15"/>
      <c r="M146" s="15"/>
      <c r="N146" s="15"/>
      <c r="O146" s="15"/>
      <c r="P146" s="15"/>
      <c r="Q146" s="15"/>
    </row>
    <row r="147" spans="1:17">
      <c r="A147" s="14">
        <v>81.215999999999994</v>
      </c>
      <c r="B147" s="23">
        <v>61.684593</v>
      </c>
      <c r="C147" s="23">
        <v>72.320262</v>
      </c>
      <c r="D147" s="23">
        <v>21.954006</v>
      </c>
      <c r="E147" s="23">
        <f>(B147 - D147)/($L$7 - D147)</f>
        <v>0.72052478746374304</v>
      </c>
      <c r="F147" s="23">
        <f t="shared" si="4"/>
        <v>-0.3277754609924291</v>
      </c>
      <c r="G147" s="23">
        <f>(C147 - D147)/($L$7 - D147)</f>
        <v>0.91340548025994373</v>
      </c>
      <c r="H147" s="23">
        <f t="shared" si="5"/>
        <v>-9.0575378402572557E-2</v>
      </c>
      <c r="I147" s="23"/>
      <c r="J147" s="15"/>
      <c r="K147" s="15"/>
      <c r="L147" s="15"/>
      <c r="M147" s="15"/>
      <c r="N147" s="15"/>
      <c r="O147" s="15"/>
      <c r="P147" s="15"/>
      <c r="Q147" s="15"/>
    </row>
    <row r="148" spans="1:17">
      <c r="A148" s="14">
        <v>81.78</v>
      </c>
      <c r="B148" s="23">
        <v>61.612636999999999</v>
      </c>
      <c r="C148" s="23">
        <v>72.287998000000002</v>
      </c>
      <c r="D148" s="23">
        <v>21.961511999999999</v>
      </c>
      <c r="E148" s="23">
        <f>(B148 - D148)/($L$7 - D148)</f>
        <v>0.71918162029252763</v>
      </c>
      <c r="F148" s="23">
        <f t="shared" si="4"/>
        <v>-0.32964135191806654</v>
      </c>
      <c r="G148" s="23">
        <f>(C148 - D148)/($L$7 - D148)</f>
        <v>0.91280849522199448</v>
      </c>
      <c r="H148" s="23">
        <f t="shared" si="5"/>
        <v>-9.1229173705017041E-2</v>
      </c>
      <c r="I148" s="23"/>
      <c r="J148" s="15"/>
      <c r="K148" s="15"/>
      <c r="L148" s="15"/>
      <c r="M148" s="15"/>
      <c r="N148" s="15"/>
      <c r="O148" s="15"/>
      <c r="P148" s="15"/>
      <c r="Q148" s="15"/>
    </row>
    <row r="149" spans="1:17">
      <c r="A149" s="14">
        <v>82.343999999999994</v>
      </c>
      <c r="B149" s="23">
        <v>61.516317000000001</v>
      </c>
      <c r="C149" s="23">
        <v>72.254064</v>
      </c>
      <c r="D149" s="23">
        <v>21.950662999999999</v>
      </c>
      <c r="E149" s="23">
        <f>(B149 - D149)/($L$7 - D149)</f>
        <v>0.71749018483667004</v>
      </c>
      <c r="F149" s="23">
        <f t="shared" si="4"/>
        <v>-0.33199601111207472</v>
      </c>
      <c r="G149" s="23">
        <f>(C149 - D149)/($L$7 - D149)</f>
        <v>0.91221028423801942</v>
      </c>
      <c r="H149" s="23">
        <f t="shared" si="5"/>
        <v>-9.1884740663704861E-2</v>
      </c>
      <c r="I149" s="23"/>
      <c r="J149" s="15"/>
      <c r="K149" s="15"/>
      <c r="L149" s="15"/>
      <c r="M149" s="15"/>
      <c r="N149" s="15"/>
      <c r="O149" s="15"/>
      <c r="P149" s="15"/>
      <c r="Q149" s="15"/>
    </row>
    <row r="150" spans="1:17">
      <c r="A150" s="14">
        <v>82.908000000000001</v>
      </c>
      <c r="B150" s="23">
        <v>61.432312000000003</v>
      </c>
      <c r="C150" s="23">
        <v>72.241152999999997</v>
      </c>
      <c r="D150" s="23">
        <v>21.956316000000001</v>
      </c>
      <c r="E150" s="23">
        <f>(B150 - D150)/($L$7 - D150)</f>
        <v>0.71593770420032188</v>
      </c>
      <c r="F150" s="23">
        <f t="shared" si="4"/>
        <v>-0.3341621211134857</v>
      </c>
      <c r="G150" s="23">
        <f>(C150 - D150)/($L$7 - D150)</f>
        <v>0.91196712954037684</v>
      </c>
      <c r="H150" s="23">
        <f t="shared" si="5"/>
        <v>-9.2151331727979735E-2</v>
      </c>
      <c r="I150" s="23"/>
      <c r="J150" s="15"/>
      <c r="K150" s="15"/>
      <c r="L150" s="15"/>
      <c r="M150" s="15"/>
      <c r="N150" s="15"/>
      <c r="O150" s="15"/>
      <c r="P150" s="15"/>
      <c r="Q150" s="15"/>
    </row>
    <row r="151" spans="1:17">
      <c r="A151" s="14">
        <v>83.471999999999994</v>
      </c>
      <c r="B151" s="23">
        <v>61.343541000000002</v>
      </c>
      <c r="C151" s="23">
        <v>72.204274999999996</v>
      </c>
      <c r="D151" s="23">
        <v>21.956316000000001</v>
      </c>
      <c r="E151" s="23">
        <f>(B151 - D151)/($L$7 - D151)</f>
        <v>0.71432775100396517</v>
      </c>
      <c r="F151" s="23">
        <f t="shared" si="4"/>
        <v>-0.33641338694733769</v>
      </c>
      <c r="G151" s="23">
        <f>(C151 - D151)/($L$7 - D151)</f>
        <v>0.911298309160126</v>
      </c>
      <c r="H151" s="23">
        <f t="shared" si="5"/>
        <v>-9.2884982896979662E-2</v>
      </c>
      <c r="I151" s="23"/>
      <c r="J151" s="15"/>
      <c r="K151" s="15"/>
      <c r="L151" s="15"/>
      <c r="M151" s="15"/>
      <c r="N151" s="15"/>
      <c r="O151" s="15"/>
      <c r="P151" s="15"/>
      <c r="Q151" s="15"/>
    </row>
    <row r="152" spans="1:17">
      <c r="A152" s="14">
        <v>84.036000000000001</v>
      </c>
      <c r="B152" s="23">
        <v>61.261487000000002</v>
      </c>
      <c r="C152" s="23">
        <v>72.185638999999995</v>
      </c>
      <c r="D152" s="23">
        <v>21.964110000000002</v>
      </c>
      <c r="E152" s="23">
        <f>(B152 - D152)/($L$7 - D152)</f>
        <v>0.71279902100949388</v>
      </c>
      <c r="F152" s="23">
        <f t="shared" si="4"/>
        <v>-0.33855577626995165</v>
      </c>
      <c r="G152" s="23">
        <f>(C152 - D152)/($L$7 - D152)</f>
        <v>0.91094773844065724</v>
      </c>
      <c r="H152" s="23">
        <f t="shared" si="5"/>
        <v>-9.3269750611806507E-2</v>
      </c>
      <c r="I152" s="23"/>
      <c r="J152" s="15"/>
      <c r="K152" s="15"/>
      <c r="L152" s="15"/>
      <c r="M152" s="15"/>
      <c r="N152" s="15"/>
      <c r="O152" s="15"/>
      <c r="P152" s="15"/>
      <c r="Q152" s="15"/>
    </row>
    <row r="153" spans="1:17">
      <c r="A153" s="14">
        <v>84.6</v>
      </c>
      <c r="B153" s="23">
        <v>61.160102999999999</v>
      </c>
      <c r="C153" s="23">
        <v>72.156154000000001</v>
      </c>
      <c r="D153" s="23">
        <v>21.964278</v>
      </c>
      <c r="E153" s="23">
        <f>(B153 - D153)/($L$7 - D153)</f>
        <v>0.71095917738195058</v>
      </c>
      <c r="F153" s="23">
        <f t="shared" si="4"/>
        <v>-0.34114026660509233</v>
      </c>
      <c r="G153" s="23">
        <f>(C153 - D153)/($L$7 - D153)</f>
        <v>0.91041264910782904</v>
      </c>
      <c r="H153" s="23">
        <f t="shared" si="5"/>
        <v>-9.3857321695355697E-2</v>
      </c>
      <c r="I153" s="23"/>
      <c r="J153" s="15"/>
      <c r="K153" s="15"/>
      <c r="L153" s="15"/>
      <c r="M153" s="15"/>
      <c r="N153" s="15"/>
      <c r="O153" s="15"/>
      <c r="P153" s="15"/>
      <c r="Q153" s="15"/>
    </row>
    <row r="154" spans="1:17">
      <c r="A154" s="14">
        <v>85.164000000000001</v>
      </c>
      <c r="B154" s="23">
        <v>61.074398000000002</v>
      </c>
      <c r="C154" s="23">
        <v>72.130005999999995</v>
      </c>
      <c r="D154" s="23">
        <v>21.968319000000001</v>
      </c>
      <c r="E154" s="23">
        <f>(B154 - D154)/($L$7 - D154)</f>
        <v>0.70938330306345909</v>
      </c>
      <c r="F154" s="23">
        <f t="shared" si="4"/>
        <v>-0.34335927362180846</v>
      </c>
      <c r="G154" s="23">
        <f>(C154 - D154)/($L$7 - D154)</f>
        <v>0.90993175795751269</v>
      </c>
      <c r="H154" s="23">
        <f t="shared" si="5"/>
        <v>-9.4385673538706666E-2</v>
      </c>
      <c r="I154" s="23"/>
      <c r="J154" s="15"/>
      <c r="K154" s="15"/>
      <c r="L154" s="15"/>
      <c r="M154" s="15"/>
      <c r="N154" s="15"/>
      <c r="O154" s="15"/>
      <c r="P154" s="15"/>
      <c r="Q154" s="15"/>
    </row>
    <row r="155" spans="1:17">
      <c r="A155" s="14">
        <v>85.727999999999994</v>
      </c>
      <c r="B155" s="23">
        <v>60.990774999999999</v>
      </c>
      <c r="C155" s="23">
        <v>72.098573000000002</v>
      </c>
      <c r="D155" s="23">
        <v>21.962546</v>
      </c>
      <c r="E155" s="23">
        <f>(B155 - D155)/($L$7 - D155)</f>
        <v>0.70789697355323455</v>
      </c>
      <c r="F155" s="23">
        <f t="shared" si="4"/>
        <v>-0.34545671345730478</v>
      </c>
      <c r="G155" s="23">
        <f>(C155 - D155)/($L$7 - D155)</f>
        <v>0.90937105496852688</v>
      </c>
      <c r="H155" s="23">
        <f t="shared" si="5"/>
        <v>-9.5002066810629157E-2</v>
      </c>
      <c r="I155" s="23"/>
      <c r="J155" s="15"/>
      <c r="K155" s="15"/>
      <c r="L155" s="15"/>
      <c r="M155" s="15"/>
      <c r="N155" s="15"/>
      <c r="O155" s="15"/>
      <c r="P155" s="15"/>
      <c r="Q155" s="15"/>
    </row>
    <row r="156" spans="1:17">
      <c r="A156" s="14">
        <v>86.292000000000002</v>
      </c>
      <c r="B156" s="23">
        <v>60.898211000000003</v>
      </c>
      <c r="C156" s="23">
        <v>72.070476999999997</v>
      </c>
      <c r="D156" s="23">
        <v>21.965554000000001</v>
      </c>
      <c r="E156" s="23">
        <f>(B156 - D156)/($L$7 - D156)</f>
        <v>0.7062020112885935</v>
      </c>
      <c r="F156" s="23">
        <f t="shared" si="4"/>
        <v>-0.34785394744801895</v>
      </c>
      <c r="G156" s="23">
        <f>(C156 - D156)/($L$7 - D156)</f>
        <v>0.90885647486273802</v>
      </c>
      <c r="H156" s="23">
        <f t="shared" si="5"/>
        <v>-9.5568090711471945E-2</v>
      </c>
      <c r="I156" s="23"/>
      <c r="J156" s="15"/>
      <c r="K156" s="15"/>
      <c r="L156" s="15"/>
      <c r="M156" s="15"/>
      <c r="N156" s="15"/>
      <c r="O156" s="15"/>
      <c r="P156" s="15"/>
      <c r="Q156" s="15"/>
    </row>
    <row r="157" spans="1:17">
      <c r="A157" s="14">
        <v>86.855999999999995</v>
      </c>
      <c r="B157" s="23">
        <v>60.815013</v>
      </c>
      <c r="C157" s="23">
        <v>72.045879999999997</v>
      </c>
      <c r="D157" s="23">
        <v>21.971495000000001</v>
      </c>
      <c r="E157" s="23">
        <f>(B157 - D157)/($L$7 - D157)</f>
        <v>0.70466105036398974</v>
      </c>
      <c r="F157" s="23">
        <f t="shared" si="4"/>
        <v>-0.35003837140699634</v>
      </c>
      <c r="G157" s="23">
        <f>(C157 - D157)/($L$7 - D157)</f>
        <v>0.90840043711876983</v>
      </c>
      <c r="H157" s="23">
        <f t="shared" si="5"/>
        <v>-9.6069987554493377E-2</v>
      </c>
      <c r="I157" s="23"/>
      <c r="J157" s="15"/>
      <c r="K157" s="15"/>
      <c r="L157" s="15"/>
      <c r="M157" s="15"/>
      <c r="N157" s="15"/>
      <c r="O157" s="15"/>
      <c r="P157" s="15"/>
      <c r="Q157" s="15"/>
    </row>
    <row r="158" spans="1:17">
      <c r="A158" s="14">
        <v>87.42</v>
      </c>
      <c r="B158" s="23">
        <v>60.728447000000003</v>
      </c>
      <c r="C158" s="23">
        <v>72.025572999999994</v>
      </c>
      <c r="D158" s="23">
        <v>21.978712000000002</v>
      </c>
      <c r="E158" s="23">
        <f>(B158 - D158)/($L$7 - D158)</f>
        <v>0.7030517772236301</v>
      </c>
      <c r="F158" s="23">
        <f t="shared" si="4"/>
        <v>-0.35232473807192655</v>
      </c>
      <c r="G158" s="23">
        <f>(C158 - D158)/($L$7 - D158)</f>
        <v>0.9080200050532985</v>
      </c>
      <c r="H158" s="23">
        <f t="shared" si="5"/>
        <v>-9.6488868626519869E-2</v>
      </c>
      <c r="I158" s="23"/>
      <c r="J158" s="15"/>
      <c r="K158" s="15"/>
      <c r="L158" s="15"/>
      <c r="M158" s="15"/>
      <c r="N158" s="15"/>
      <c r="O158" s="15"/>
      <c r="P158" s="15"/>
      <c r="Q158" s="15"/>
    </row>
    <row r="159" spans="1:17">
      <c r="A159" s="14">
        <v>87.983999999999995</v>
      </c>
      <c r="B159" s="23">
        <v>60.637394999999998</v>
      </c>
      <c r="C159" s="23">
        <v>71.996363000000002</v>
      </c>
      <c r="D159" s="23">
        <v>21.976690999999999</v>
      </c>
      <c r="E159" s="23">
        <f>(B159 - D159)/($L$7 - D159)</f>
        <v>0.70141073336635917</v>
      </c>
      <c r="F159" s="23">
        <f t="shared" si="4"/>
        <v>-0.3546616386181824</v>
      </c>
      <c r="G159" s="23">
        <f>(C159 - D159)/($L$7 - D159)</f>
        <v>0.90749342847623116</v>
      </c>
      <c r="H159" s="23">
        <f t="shared" si="5"/>
        <v>-9.706895421785551E-2</v>
      </c>
      <c r="I159" s="23"/>
      <c r="J159" s="15"/>
      <c r="K159" s="15"/>
      <c r="L159" s="15"/>
      <c r="M159" s="15"/>
      <c r="N159" s="15"/>
      <c r="O159" s="15"/>
      <c r="P159" s="15"/>
      <c r="Q159" s="15"/>
    </row>
    <row r="160" spans="1:17">
      <c r="A160" s="14">
        <v>88.548000000000002</v>
      </c>
      <c r="B160" s="23">
        <v>60.552500999999999</v>
      </c>
      <c r="C160" s="23">
        <v>71.976889999999997</v>
      </c>
      <c r="D160" s="23">
        <v>21.986795000000001</v>
      </c>
      <c r="E160" s="23">
        <f>(B160 - D160)/($L$7 - D160)</f>
        <v>0.69981549633702789</v>
      </c>
      <c r="F160" s="23">
        <f t="shared" si="4"/>
        <v>-0.35693855534255431</v>
      </c>
      <c r="G160" s="23">
        <f>(C160 - D160)/($L$7 - D160)</f>
        <v>0.90712310943718166</v>
      </c>
      <c r="H160" s="23">
        <f t="shared" si="5"/>
        <v>-9.7477105512030524E-2</v>
      </c>
      <c r="I160" s="23"/>
      <c r="J160" s="15"/>
      <c r="K160" s="15"/>
      <c r="L160" s="15"/>
      <c r="M160" s="15"/>
      <c r="N160" s="15"/>
      <c r="O160" s="15"/>
      <c r="P160" s="15"/>
      <c r="Q160" s="15"/>
    </row>
    <row r="161" spans="1:17">
      <c r="A161" s="14">
        <v>89.111999999999995</v>
      </c>
      <c r="B161" s="23">
        <v>60.469563000000001</v>
      </c>
      <c r="C161" s="23">
        <v>71.957415999999995</v>
      </c>
      <c r="D161" s="23">
        <v>21.995045000000001</v>
      </c>
      <c r="E161" s="23">
        <f>(B161 - D161)/($L$7 - D161)</f>
        <v>0.69826532748800063</v>
      </c>
      <c r="F161" s="23">
        <f t="shared" si="4"/>
        <v>-0.35915612310812334</v>
      </c>
      <c r="G161" s="23">
        <f>(C161 - D161)/($L$7 - D161)</f>
        <v>0.90675577400065088</v>
      </c>
      <c r="H161" s="23">
        <f t="shared" si="5"/>
        <v>-9.7882133041604355E-2</v>
      </c>
      <c r="I161" s="23"/>
      <c r="J161" s="15"/>
      <c r="K161" s="15"/>
      <c r="L161" s="15"/>
      <c r="M161" s="15"/>
      <c r="N161" s="15"/>
      <c r="O161" s="15"/>
      <c r="P161" s="15"/>
      <c r="Q161" s="15"/>
    </row>
    <row r="162" spans="1:17">
      <c r="A162" s="14">
        <v>89.676000000000002</v>
      </c>
      <c r="B162" s="23">
        <v>60.38494</v>
      </c>
      <c r="C162" s="23">
        <v>71.925145000000001</v>
      </c>
      <c r="D162" s="23">
        <v>22.003826</v>
      </c>
      <c r="E162" s="23">
        <f>(B162 - D162)/($L$7 - D162)</f>
        <v>0.69668118557973524</v>
      </c>
      <c r="F162" s="23">
        <f t="shared" si="4"/>
        <v>-0.36142738236347671</v>
      </c>
      <c r="G162" s="23">
        <f>(C162 - D162)/($L$7 - D162)</f>
        <v>0.90615513939027825</v>
      </c>
      <c r="H162" s="23">
        <f t="shared" si="5"/>
        <v>-9.8544752068179239E-2</v>
      </c>
      <c r="I162" s="23"/>
      <c r="J162" s="15"/>
      <c r="K162" s="15"/>
      <c r="L162" s="15"/>
      <c r="M162" s="15"/>
      <c r="N162" s="15"/>
      <c r="O162" s="15"/>
      <c r="P162" s="15"/>
      <c r="Q162" s="15"/>
    </row>
    <row r="163" spans="1:17">
      <c r="A163" s="14">
        <v>90.24</v>
      </c>
      <c r="B163" s="23">
        <v>60.295828</v>
      </c>
      <c r="C163" s="23">
        <v>71.902054000000007</v>
      </c>
      <c r="D163" s="23">
        <v>22.013808999999998</v>
      </c>
      <c r="E163" s="23">
        <f>(B163 - D163)/($L$7 - D163)</f>
        <v>0.69500838731755021</v>
      </c>
      <c r="F163" s="23">
        <f t="shared" si="4"/>
        <v>-0.36383136540735761</v>
      </c>
      <c r="G163" s="23">
        <f>(C163 - D163)/($L$7 - D163)</f>
        <v>0.90571891476133592</v>
      </c>
      <c r="H163" s="23">
        <f t="shared" si="5"/>
        <v>-9.9026269684010598E-2</v>
      </c>
      <c r="I163" s="23"/>
      <c r="J163" s="15"/>
      <c r="K163" s="15"/>
      <c r="L163" s="15"/>
      <c r="M163" s="15"/>
      <c r="N163" s="15"/>
      <c r="O163" s="15"/>
      <c r="P163" s="15"/>
      <c r="Q163" s="15"/>
    </row>
    <row r="164" spans="1:17">
      <c r="A164" s="14">
        <v>90.804000000000002</v>
      </c>
      <c r="B164" s="23">
        <v>60.210915</v>
      </c>
      <c r="C164" s="23">
        <v>71.879519000000002</v>
      </c>
      <c r="D164" s="23">
        <v>22.026918999999999</v>
      </c>
      <c r="E164" s="23">
        <f>(B164 - D164)/($L$7 - D164)</f>
        <v>0.69339381971108704</v>
      </c>
      <c r="F164" s="23">
        <f t="shared" si="4"/>
        <v>-0.36615715879215377</v>
      </c>
      <c r="G164" s="23">
        <f>(C164 - D164)/($L$7 - D164)</f>
        <v>0.90528725009632138</v>
      </c>
      <c r="H164" s="23">
        <f t="shared" si="5"/>
        <v>-9.9502982222670885E-2</v>
      </c>
      <c r="I164" s="23"/>
      <c r="J164" s="15"/>
      <c r="K164" s="15"/>
      <c r="L164" s="15"/>
      <c r="M164" s="15"/>
      <c r="N164" s="15"/>
      <c r="O164" s="15"/>
      <c r="P164" s="15"/>
      <c r="Q164" s="15"/>
    </row>
    <row r="165" spans="1:17">
      <c r="A165" s="14">
        <v>91.367999999999995</v>
      </c>
      <c r="B165" s="23">
        <v>60.123474999999999</v>
      </c>
      <c r="C165" s="23">
        <v>71.846412000000001</v>
      </c>
      <c r="D165" s="23">
        <v>22.020737</v>
      </c>
      <c r="E165" s="23">
        <f>(B165 - D165)/($L$7 - D165)</f>
        <v>0.69184056657561843</v>
      </c>
      <c r="F165" s="23">
        <f t="shared" si="4"/>
        <v>-0.36839974503143957</v>
      </c>
      <c r="G165" s="23">
        <f>(C165 - D165)/($L$7 - D165)</f>
        <v>0.90469674966698266</v>
      </c>
      <c r="H165" s="23">
        <f t="shared" si="5"/>
        <v>-0.10015547467604753</v>
      </c>
      <c r="I165" s="23"/>
      <c r="J165" s="15"/>
      <c r="K165" s="15"/>
      <c r="L165" s="15"/>
      <c r="M165" s="15"/>
      <c r="N165" s="15"/>
      <c r="O165" s="15"/>
      <c r="P165" s="15"/>
      <c r="Q165" s="15"/>
    </row>
    <row r="166" spans="1:17">
      <c r="A166" s="14">
        <v>91.932000000000002</v>
      </c>
      <c r="B166" s="23">
        <v>60.03631</v>
      </c>
      <c r="C166" s="23">
        <v>71.829162999999994</v>
      </c>
      <c r="D166" s="23">
        <v>22.023911999999999</v>
      </c>
      <c r="E166" s="23">
        <f>(B166 - D166)/($L$7 - D166)</f>
        <v>0.6902400333066564</v>
      </c>
      <c r="F166" s="23">
        <f t="shared" si="4"/>
        <v>-0.37071586752761404</v>
      </c>
      <c r="G166" s="23">
        <f>(C166 - D166)/($L$7 - D166)</f>
        <v>0.90437804289764567</v>
      </c>
      <c r="H166" s="23">
        <f t="shared" si="5"/>
        <v>-0.10050781696056117</v>
      </c>
      <c r="I166" s="23"/>
      <c r="J166" s="15"/>
      <c r="K166" s="15"/>
      <c r="L166" s="15"/>
      <c r="M166" s="15"/>
      <c r="N166" s="15"/>
      <c r="O166" s="15"/>
      <c r="P166" s="15"/>
      <c r="Q166" s="15"/>
    </row>
    <row r="167" spans="1:17">
      <c r="A167" s="14">
        <v>92.495999999999995</v>
      </c>
      <c r="B167" s="23">
        <v>59.947178000000001</v>
      </c>
      <c r="C167" s="23">
        <v>71.801619000000002</v>
      </c>
      <c r="D167" s="23">
        <v>22.027664999999999</v>
      </c>
      <c r="E167" s="23">
        <f>(B167 - D167)/($L$7 - D167)</f>
        <v>0.68860032758692735</v>
      </c>
      <c r="F167" s="23">
        <f t="shared" si="4"/>
        <v>-0.37309425234891691</v>
      </c>
      <c r="G167" s="23">
        <f>(C167 - D167)/($L$7 - D167)</f>
        <v>0.90387134005905234</v>
      </c>
      <c r="H167" s="23">
        <f t="shared" si="5"/>
        <v>-0.10106825166235792</v>
      </c>
      <c r="I167" s="23"/>
      <c r="J167" s="15"/>
      <c r="K167" s="15"/>
      <c r="L167" s="15"/>
      <c r="M167" s="15"/>
      <c r="N167" s="15"/>
      <c r="O167" s="15"/>
      <c r="P167" s="15"/>
      <c r="Q167" s="15"/>
    </row>
    <row r="168" spans="1:17">
      <c r="A168" s="14">
        <v>93.06</v>
      </c>
      <c r="B168" s="23">
        <v>59.860689000000001</v>
      </c>
      <c r="C168" s="23">
        <v>71.774630999999999</v>
      </c>
      <c r="D168" s="23">
        <v>22.027953</v>
      </c>
      <c r="E168" s="23">
        <f>(B168 - D168)/($L$7 - D168)</f>
        <v>0.68702809164208412</v>
      </c>
      <c r="F168" s="23">
        <f t="shared" si="4"/>
        <v>-0.37538009728706312</v>
      </c>
      <c r="G168" s="23">
        <f>(C168 - D168)/($L$7 - D168)</f>
        <v>0.90338074549705449</v>
      </c>
      <c r="H168" s="23">
        <f t="shared" si="5"/>
        <v>-0.10161116936373382</v>
      </c>
      <c r="I168" s="23"/>
      <c r="J168" s="15"/>
      <c r="K168" s="15"/>
      <c r="L168" s="15"/>
      <c r="M168" s="15"/>
      <c r="N168" s="15"/>
      <c r="O168" s="15"/>
      <c r="P168" s="15"/>
      <c r="Q168" s="15"/>
    </row>
    <row r="169" spans="1:17">
      <c r="A169" s="14">
        <v>93.623999999999995</v>
      </c>
      <c r="B169" s="23">
        <v>59.773508999999997</v>
      </c>
      <c r="C169" s="23">
        <v>71.753485999999995</v>
      </c>
      <c r="D169" s="23">
        <v>22.044695000000001</v>
      </c>
      <c r="E169" s="23">
        <f>(B169 - D169)/($L$7 - D169)</f>
        <v>0.68534927326987882</v>
      </c>
      <c r="F169" s="23">
        <f t="shared" si="4"/>
        <v>-0.37782668268339498</v>
      </c>
      <c r="G169" s="23">
        <f>(C169 - D169)/($L$7 - D169)</f>
        <v>0.90296725963806568</v>
      </c>
      <c r="H169" s="23">
        <f t="shared" si="5"/>
        <v>-0.10206898354465063</v>
      </c>
      <c r="I169" s="23"/>
      <c r="J169" s="15"/>
      <c r="K169" s="15"/>
      <c r="L169" s="15"/>
      <c r="M169" s="15"/>
      <c r="N169" s="15"/>
      <c r="O169" s="15"/>
      <c r="P169" s="15"/>
      <c r="Q169" s="15"/>
    </row>
    <row r="170" spans="1:17">
      <c r="A170" s="14">
        <v>94.188000000000002</v>
      </c>
      <c r="B170" s="23">
        <v>59.689000999999998</v>
      </c>
      <c r="C170" s="23">
        <v>71.726496999999995</v>
      </c>
      <c r="D170" s="23">
        <v>22.032859999999999</v>
      </c>
      <c r="E170" s="23">
        <f>(B170 - D170)/($L$7 - D170)</f>
        <v>0.68388213385682251</v>
      </c>
      <c r="F170" s="23">
        <f t="shared" si="4"/>
        <v>-0.37996969513097212</v>
      </c>
      <c r="G170" s="23">
        <f>(C170 - D170)/($L$7 - D170)</f>
        <v>0.90249796203669264</v>
      </c>
      <c r="H170" s="23">
        <f t="shared" si="5"/>
        <v>-0.10258884690873914</v>
      </c>
      <c r="I170" s="23"/>
      <c r="J170" s="15"/>
      <c r="K170" s="15"/>
      <c r="L170" s="15"/>
      <c r="M170" s="15"/>
      <c r="N170" s="15"/>
      <c r="O170" s="15"/>
      <c r="P170" s="15"/>
      <c r="Q170" s="15"/>
    </row>
    <row r="171" spans="1:17">
      <c r="A171" s="14">
        <v>94.751999999999995</v>
      </c>
      <c r="B171" s="23">
        <v>59.590442000000003</v>
      </c>
      <c r="C171" s="23">
        <v>71.700503999999995</v>
      </c>
      <c r="D171" s="23">
        <v>22.041809000000001</v>
      </c>
      <c r="E171" s="23">
        <f>(B171 - D171)/($L$7 - D171)</f>
        <v>0.68204050407298367</v>
      </c>
      <c r="F171" s="23">
        <f t="shared" si="4"/>
        <v>-0.38266623276585959</v>
      </c>
      <c r="G171" s="23">
        <f>(C171 - D171)/($L$7 - D171)</f>
        <v>0.90200997115944404</v>
      </c>
      <c r="H171" s="23">
        <f t="shared" si="5"/>
        <v>-0.10312970448012165</v>
      </c>
      <c r="I171" s="23"/>
      <c r="J171" s="15"/>
      <c r="K171" s="15"/>
      <c r="L171" s="15"/>
      <c r="M171" s="15"/>
      <c r="N171" s="15"/>
      <c r="O171" s="15"/>
      <c r="P171" s="15"/>
      <c r="Q171" s="15"/>
    </row>
    <row r="172" spans="1:17">
      <c r="A172" s="14">
        <v>95.316000000000003</v>
      </c>
      <c r="B172" s="23">
        <v>59.514054999999999</v>
      </c>
      <c r="C172" s="23">
        <v>71.684922999999998</v>
      </c>
      <c r="D172" s="23">
        <v>22.044118000000001</v>
      </c>
      <c r="E172" s="23">
        <f>(B172 - D172)/($L$7 - D172)</f>
        <v>0.68063960176031468</v>
      </c>
      <c r="F172" s="23">
        <f t="shared" si="4"/>
        <v>-0.38472233206635337</v>
      </c>
      <c r="G172" s="23">
        <f>(C172 - D172)/($L$7 - D172)</f>
        <v>0.90172283306111334</v>
      </c>
      <c r="H172" s="23">
        <f t="shared" si="5"/>
        <v>-0.1034480865598669</v>
      </c>
      <c r="I172" s="23"/>
      <c r="J172" s="15"/>
      <c r="K172" s="15"/>
      <c r="L172" s="15"/>
      <c r="M172" s="15"/>
      <c r="N172" s="15"/>
      <c r="O172" s="15"/>
      <c r="P172" s="15"/>
      <c r="Q172" s="15"/>
    </row>
    <row r="173" spans="1:17">
      <c r="A173" s="14">
        <v>95.88</v>
      </c>
      <c r="B173" s="23">
        <v>59.426574000000002</v>
      </c>
      <c r="C173" s="23">
        <v>71.654315999999994</v>
      </c>
      <c r="D173" s="23">
        <v>22.042674999999999</v>
      </c>
      <c r="E173" s="23">
        <f>(B173 - D173)/($L$7 - D173)</f>
        <v>0.67905892612237073</v>
      </c>
      <c r="F173" s="23">
        <f t="shared" si="4"/>
        <v>-0.38704737150355045</v>
      </c>
      <c r="G173" s="23">
        <f>(C173 - D173)/($L$7 - D173)</f>
        <v>0.9011694489284966</v>
      </c>
      <c r="H173" s="23">
        <f t="shared" si="5"/>
        <v>-0.10406197143310494</v>
      </c>
      <c r="I173" s="23"/>
      <c r="J173" s="15"/>
      <c r="K173" s="15"/>
      <c r="L173" s="15"/>
      <c r="M173" s="15"/>
      <c r="N173" s="15"/>
      <c r="O173" s="15"/>
      <c r="P173" s="15"/>
      <c r="Q173" s="15"/>
    </row>
    <row r="174" spans="1:17">
      <c r="A174" s="14">
        <v>96.444000000000003</v>
      </c>
      <c r="B174" s="23">
        <v>59.340770999999997</v>
      </c>
      <c r="C174" s="23">
        <v>71.626768999999996</v>
      </c>
      <c r="D174" s="23">
        <v>22.046018</v>
      </c>
      <c r="E174" s="23">
        <f>(B174 - D174)/($L$7 - D174)</f>
        <v>0.67748077500462867</v>
      </c>
      <c r="F174" s="23">
        <f t="shared" si="4"/>
        <v>-0.38937410300782993</v>
      </c>
      <c r="G174" s="23">
        <f>(C174 - D174)/($L$7 - D174)</f>
        <v>0.90066303999362896</v>
      </c>
      <c r="H174" s="23">
        <f t="shared" si="5"/>
        <v>-0.10462407579221147</v>
      </c>
      <c r="I174" s="23"/>
      <c r="J174" s="15"/>
      <c r="K174" s="15"/>
      <c r="L174" s="15"/>
      <c r="M174" s="15"/>
      <c r="N174" s="15"/>
      <c r="O174" s="15"/>
      <c r="P174" s="15"/>
      <c r="Q174" s="15"/>
    </row>
    <row r="175" spans="1:17">
      <c r="A175" s="14">
        <v>97.007999999999996</v>
      </c>
      <c r="B175" s="23">
        <v>59.265464000000001</v>
      </c>
      <c r="C175" s="23">
        <v>71.609796000000003</v>
      </c>
      <c r="D175" s="23">
        <v>22.051501999999999</v>
      </c>
      <c r="E175" s="23">
        <f>(B175 - D175)/($L$7 - D175)</f>
        <v>0.67608051089022314</v>
      </c>
      <c r="F175" s="23">
        <f t="shared" si="4"/>
        <v>-0.39144311108085561</v>
      </c>
      <c r="G175" s="23">
        <f>(C175 - D175)/($L$7 - D175)</f>
        <v>0.90034478796877049</v>
      </c>
      <c r="H175" s="23">
        <f t="shared" si="5"/>
        <v>-0.1049774912779521</v>
      </c>
      <c r="I175" s="23"/>
      <c r="J175" s="15"/>
      <c r="K175" s="15"/>
      <c r="L175" s="15"/>
      <c r="M175" s="15"/>
      <c r="N175" s="15"/>
      <c r="O175" s="15"/>
      <c r="P175" s="15"/>
      <c r="Q175" s="15"/>
    </row>
    <row r="176" spans="1:17">
      <c r="A176" s="14">
        <v>97.572000000000003</v>
      </c>
      <c r="B176" s="23">
        <v>59.172234000000003</v>
      </c>
      <c r="C176" s="23">
        <v>71.579188000000002</v>
      </c>
      <c r="D176" s="23">
        <v>22.045729000000001</v>
      </c>
      <c r="E176" s="23">
        <f>(B176 - D176)/($L$7 - D176)</f>
        <v>0.67442091209001398</v>
      </c>
      <c r="F176" s="23">
        <f t="shared" si="4"/>
        <v>-0.39390086433809296</v>
      </c>
      <c r="G176" s="23">
        <f>(C176 - D176)/($L$7 - D176)</f>
        <v>0.89979922962727865</v>
      </c>
      <c r="H176" s="23">
        <f t="shared" si="5"/>
        <v>-0.10558361873537979</v>
      </c>
      <c r="I176" s="23"/>
      <c r="J176" s="15"/>
      <c r="K176" s="15"/>
      <c r="L176" s="15"/>
      <c r="M176" s="15"/>
      <c r="N176" s="15"/>
      <c r="O176" s="15"/>
      <c r="P176" s="15"/>
      <c r="Q176" s="15"/>
    </row>
    <row r="177" spans="1:17">
      <c r="A177" s="14">
        <v>98.135999999999996</v>
      </c>
      <c r="B177" s="23">
        <v>59.089908000000001</v>
      </c>
      <c r="C177" s="23">
        <v>71.557923000000002</v>
      </c>
      <c r="D177" s="23">
        <v>22.041398999999998</v>
      </c>
      <c r="E177" s="23">
        <f>(B177 - D177)/($L$7 - D177)</f>
        <v>0.67295114503203934</v>
      </c>
      <c r="F177" s="23">
        <f t="shared" si="4"/>
        <v>-0.39608254479254512</v>
      </c>
      <c r="G177" s="23">
        <f>(C177 - D177)/($L$7 - D177)</f>
        <v>0.89942085182986597</v>
      </c>
      <c r="H177" s="23">
        <f t="shared" si="5"/>
        <v>-0.10600422075832337</v>
      </c>
      <c r="I177" s="23"/>
      <c r="J177" s="15"/>
      <c r="K177" s="15"/>
      <c r="L177" s="15"/>
      <c r="M177" s="15"/>
      <c r="N177" s="15"/>
      <c r="O177" s="15"/>
      <c r="P177" s="15"/>
      <c r="Q177" s="15"/>
    </row>
    <row r="178" spans="1:17">
      <c r="A178" s="14">
        <v>98.7</v>
      </c>
      <c r="B178" s="23">
        <v>58.996667000000002</v>
      </c>
      <c r="C178" s="23">
        <v>71.533274000000006</v>
      </c>
      <c r="D178" s="23">
        <v>22.039090000000002</v>
      </c>
      <c r="E178" s="23">
        <f>(B178 - D178)/($L$7 - D178)</f>
        <v>0.67127129755077442</v>
      </c>
      <c r="F178" s="23">
        <f t="shared" si="4"/>
        <v>-0.39858190546756894</v>
      </c>
      <c r="G178" s="23">
        <f>(C178 - D178)/($L$7 - D178)</f>
        <v>0.89897736301535092</v>
      </c>
      <c r="H178" s="23">
        <f t="shared" si="5"/>
        <v>-0.10649742501068983</v>
      </c>
      <c r="I178" s="23"/>
      <c r="J178" s="15"/>
      <c r="K178" s="15"/>
      <c r="L178" s="15"/>
      <c r="M178" s="15"/>
      <c r="N178" s="15"/>
      <c r="O178" s="15"/>
      <c r="P178" s="15"/>
      <c r="Q178" s="15"/>
    </row>
    <row r="179" spans="1:17">
      <c r="A179" s="14">
        <v>99.263999999999996</v>
      </c>
      <c r="B179" s="23">
        <v>58.922058</v>
      </c>
      <c r="C179" s="23">
        <v>71.500159999999994</v>
      </c>
      <c r="D179" s="23">
        <v>22.032450999999998</v>
      </c>
      <c r="E179" s="23">
        <f>(B179 - D179)/($L$7 - D179)</f>
        <v>0.6699559511528077</v>
      </c>
      <c r="F179" s="23">
        <f t="shared" si="4"/>
        <v>-0.40054331330644105</v>
      </c>
      <c r="G179" s="23">
        <f>(C179 - D179)/($L$7 - D179)</f>
        <v>0.89838815670888839</v>
      </c>
      <c r="H179" s="23">
        <f t="shared" si="5"/>
        <v>-0.10715305829296069</v>
      </c>
      <c r="I179" s="23"/>
      <c r="J179" s="15"/>
      <c r="K179" s="15"/>
      <c r="L179" s="15"/>
      <c r="M179" s="15"/>
      <c r="N179" s="15"/>
      <c r="O179" s="15"/>
      <c r="P179" s="15"/>
      <c r="Q179" s="15"/>
    </row>
    <row r="180" spans="1:17">
      <c r="A180" s="14">
        <v>99.828000000000003</v>
      </c>
      <c r="B180" s="23">
        <v>58.831457999999998</v>
      </c>
      <c r="C180" s="23">
        <v>71.481678000000002</v>
      </c>
      <c r="D180" s="23">
        <v>22.033605999999999</v>
      </c>
      <c r="E180" s="23">
        <f>(B180 - D180)/($L$7 - D180)</f>
        <v>0.66830359753570456</v>
      </c>
      <c r="F180" s="23">
        <f t="shared" si="4"/>
        <v>-0.40301272136467625</v>
      </c>
      <c r="G180" s="23">
        <f>(C180 - D180)/($L$7 - D180)</f>
        <v>0.89805036470075872</v>
      </c>
      <c r="H180" s="23">
        <f t="shared" si="5"/>
        <v>-0.10752912683979379</v>
      </c>
      <c r="I180" s="23"/>
      <c r="J180" s="15"/>
      <c r="K180" s="15"/>
      <c r="L180" s="15"/>
      <c r="M180" s="15"/>
      <c r="N180" s="15"/>
      <c r="O180" s="15"/>
      <c r="P180" s="15"/>
      <c r="Q180" s="15"/>
    </row>
    <row r="181" spans="1:17">
      <c r="A181" s="14">
        <v>100.392</v>
      </c>
      <c r="B181" s="23">
        <v>58.748426000000002</v>
      </c>
      <c r="C181" s="23">
        <v>71.457746</v>
      </c>
      <c r="D181" s="23">
        <v>22.035506000000002</v>
      </c>
      <c r="E181" s="23">
        <f>(B181 - D181)/($L$7 - D181)</f>
        <v>0.66678411498214296</v>
      </c>
      <c r="F181" s="23">
        <f t="shared" si="4"/>
        <v>-0.40528895115149771</v>
      </c>
      <c r="G181" s="23">
        <f>(C181 - D181)/($L$7 - D181)</f>
        <v>0.89761219098984957</v>
      </c>
      <c r="H181" s="23">
        <f t="shared" si="5"/>
        <v>-0.10801716254362635</v>
      </c>
      <c r="I181" s="23"/>
      <c r="J181" s="15"/>
      <c r="K181" s="15"/>
      <c r="L181" s="15"/>
      <c r="M181" s="15"/>
      <c r="N181" s="15"/>
      <c r="O181" s="15"/>
      <c r="P181" s="15"/>
      <c r="Q181" s="15"/>
    </row>
    <row r="182" spans="1:17">
      <c r="A182" s="14">
        <v>100.956</v>
      </c>
      <c r="B182" s="23">
        <v>58.664828</v>
      </c>
      <c r="C182" s="23">
        <v>71.433813999999998</v>
      </c>
      <c r="D182" s="23">
        <v>22.033196</v>
      </c>
      <c r="E182" s="23">
        <f>(B182 - D182)/($L$7 - D182)</f>
        <v>0.66527984186550471</v>
      </c>
      <c r="F182" s="23">
        <f t="shared" si="4"/>
        <v>-0.40754751200866812</v>
      </c>
      <c r="G182" s="23">
        <f>(C182 - D182)/($L$7 - D182)</f>
        <v>0.89718184903960063</v>
      </c>
      <c r="H182" s="23">
        <f t="shared" si="5"/>
        <v>-0.10849670721437729</v>
      </c>
      <c r="I182" s="23"/>
      <c r="J182" s="15"/>
      <c r="K182" s="15"/>
      <c r="L182" s="15"/>
      <c r="M182" s="15"/>
      <c r="N182" s="15"/>
      <c r="O182" s="15"/>
      <c r="P182" s="15"/>
      <c r="Q182" s="15"/>
    </row>
    <row r="183" spans="1:17">
      <c r="A183" s="14">
        <v>101.52</v>
      </c>
      <c r="B183" s="23">
        <v>58.577578000000003</v>
      </c>
      <c r="C183" s="23">
        <v>71.406542000000002</v>
      </c>
      <c r="D183" s="23">
        <v>22.037526</v>
      </c>
      <c r="E183" s="23">
        <f>(B183 - D183)/($L$7 - D183)</f>
        <v>0.66366881556535462</v>
      </c>
      <c r="F183" s="23">
        <f t="shared" si="4"/>
        <v>-0.40997202567262658</v>
      </c>
      <c r="G183" s="23">
        <f>(C183 - D183)/($L$7 - D183)</f>
        <v>0.89667842767019168</v>
      </c>
      <c r="H183" s="23">
        <f t="shared" si="5"/>
        <v>-0.1090579787795721</v>
      </c>
      <c r="I183" s="23"/>
      <c r="J183" s="15"/>
      <c r="K183" s="15"/>
      <c r="L183" s="15"/>
      <c r="M183" s="15"/>
      <c r="N183" s="15"/>
      <c r="O183" s="15"/>
      <c r="P183" s="15"/>
      <c r="Q183" s="15"/>
    </row>
    <row r="184" spans="1:17">
      <c r="A184" s="14">
        <v>102.084</v>
      </c>
      <c r="B184" s="23">
        <v>58.486955999999999</v>
      </c>
      <c r="C184" s="23">
        <v>71.378156000000004</v>
      </c>
      <c r="D184" s="23">
        <v>22.042432999999999</v>
      </c>
      <c r="E184" s="23">
        <f>(B184 - D184)/($L$7 - D184)</f>
        <v>0.66199274357814597</v>
      </c>
      <c r="F184" s="23">
        <f t="shared" si="4"/>
        <v>-0.4125006844675223</v>
      </c>
      <c r="G184" s="23">
        <f>(C184 - D184)/($L$7 - D184)</f>
        <v>0.89615360379888731</v>
      </c>
      <c r="H184" s="23">
        <f t="shared" si="5"/>
        <v>-0.1096434478888736</v>
      </c>
      <c r="I184" s="23"/>
      <c r="J184" s="15"/>
      <c r="K184" s="15"/>
      <c r="L184" s="15"/>
      <c r="M184" s="15"/>
      <c r="N184" s="15"/>
      <c r="O184" s="15"/>
      <c r="P184" s="15"/>
      <c r="Q184" s="15"/>
    </row>
    <row r="185" spans="1:17">
      <c r="A185" s="14">
        <v>102.648</v>
      </c>
      <c r="B185" s="23">
        <v>58.416251000000003</v>
      </c>
      <c r="C185" s="23">
        <v>71.356448999999998</v>
      </c>
      <c r="D185" s="23">
        <v>22.035506000000002</v>
      </c>
      <c r="E185" s="23">
        <f>(B185 - D185)/($L$7 - D185)</f>
        <v>0.66075111588007784</v>
      </c>
      <c r="F185" s="23">
        <f t="shared" si="4"/>
        <v>-0.41437803669087414</v>
      </c>
      <c r="G185" s="23">
        <f>(C185 - D185)/($L$7 - D185)</f>
        <v>0.89577242366828136</v>
      </c>
      <c r="H185" s="23">
        <f t="shared" si="5"/>
        <v>-0.1100688897101459</v>
      </c>
      <c r="I185" s="23"/>
      <c r="J185" s="15"/>
      <c r="K185" s="15"/>
      <c r="L185" s="15"/>
      <c r="M185" s="15"/>
      <c r="N185" s="15"/>
      <c r="O185" s="15"/>
      <c r="P185" s="15"/>
      <c r="Q185" s="15"/>
    </row>
    <row r="186" spans="1:17">
      <c r="A186" s="14">
        <v>103.212</v>
      </c>
      <c r="B186" s="23">
        <v>58.323374000000001</v>
      </c>
      <c r="C186" s="23">
        <v>71.327783999999994</v>
      </c>
      <c r="D186" s="23">
        <v>22.037526</v>
      </c>
      <c r="E186" s="23">
        <f>(B186 - D186)/($L$7 - D186)</f>
        <v>0.65905176500417928</v>
      </c>
      <c r="F186" s="23">
        <f t="shared" si="4"/>
        <v>-0.41695319672364584</v>
      </c>
      <c r="G186" s="23">
        <f>(C186 - D186)/($L$7 - D186)</f>
        <v>0.89524796368025805</v>
      </c>
      <c r="H186" s="23">
        <f t="shared" si="5"/>
        <v>-0.11065454468841245</v>
      </c>
      <c r="I186" s="23"/>
      <c r="J186" s="15"/>
      <c r="K186" s="15"/>
      <c r="L186" s="15"/>
      <c r="M186" s="15"/>
      <c r="N186" s="15"/>
      <c r="O186" s="15"/>
      <c r="P186" s="15"/>
      <c r="Q186" s="15"/>
    </row>
    <row r="187" spans="1:17">
      <c r="A187" s="14">
        <v>103.776</v>
      </c>
      <c r="B187" s="23">
        <v>58.237788000000002</v>
      </c>
      <c r="C187" s="23">
        <v>71.297888999999998</v>
      </c>
      <c r="D187" s="23">
        <v>22.048086000000001</v>
      </c>
      <c r="E187" s="23">
        <f>(B187 - D187)/($L$7 - D187)</f>
        <v>0.65743158131854351</v>
      </c>
      <c r="F187" s="23">
        <f t="shared" si="4"/>
        <v>-0.41941457917582575</v>
      </c>
      <c r="G187" s="23">
        <f>(C187 - D187)/($L$7 - D187)</f>
        <v>0.89468478811781182</v>
      </c>
      <c r="H187" s="23">
        <f t="shared" si="5"/>
        <v>-0.11128381478860407</v>
      </c>
      <c r="I187" s="23"/>
      <c r="J187" s="15"/>
      <c r="K187" s="15"/>
      <c r="L187" s="15"/>
      <c r="M187" s="15"/>
      <c r="N187" s="15"/>
      <c r="O187" s="15"/>
      <c r="P187" s="15"/>
      <c r="Q187" s="15"/>
    </row>
    <row r="188" spans="1:17">
      <c r="A188" s="14">
        <v>104.34</v>
      </c>
      <c r="B188" s="23">
        <v>58.14911</v>
      </c>
      <c r="C188" s="23">
        <v>71.277850999999998</v>
      </c>
      <c r="D188" s="23">
        <v>22.032619</v>
      </c>
      <c r="E188" s="23">
        <f>(B188 - D188)/($L$7 - D188)</f>
        <v>0.65591731311763934</v>
      </c>
      <c r="F188" s="23">
        <f t="shared" si="4"/>
        <v>-0.4217205450594177</v>
      </c>
      <c r="G188" s="23">
        <f>(C188 - D188)/($L$7 - D188)</f>
        <v>0.89435045772566324</v>
      </c>
      <c r="H188" s="23">
        <f t="shared" si="5"/>
        <v>-0.11165756974599499</v>
      </c>
      <c r="I188" s="23"/>
      <c r="J188" s="15"/>
      <c r="K188" s="15"/>
      <c r="L188" s="15"/>
      <c r="M188" s="15"/>
      <c r="N188" s="15"/>
      <c r="O188" s="15"/>
      <c r="P188" s="15"/>
      <c r="Q188" s="15"/>
    </row>
    <row r="189" spans="1:17">
      <c r="A189" s="14">
        <v>104.904</v>
      </c>
      <c r="B189" s="23">
        <v>58.068846999999998</v>
      </c>
      <c r="C189" s="23">
        <v>71.249184999999997</v>
      </c>
      <c r="D189" s="23">
        <v>22.032378000000001</v>
      </c>
      <c r="E189" s="23">
        <f>(B189 - D189)/($L$7 - D189)</f>
        <v>0.65446115643067093</v>
      </c>
      <c r="F189" s="23">
        <f t="shared" si="4"/>
        <v>-0.42394304385682374</v>
      </c>
      <c r="G189" s="23">
        <f>(C189 - D189)/($L$7 - D189)</f>
        <v>0.89383031464722973</v>
      </c>
      <c r="H189" s="23">
        <f t="shared" si="5"/>
        <v>-0.11223932646896109</v>
      </c>
      <c r="I189" s="23"/>
      <c r="J189" s="15"/>
      <c r="K189" s="15"/>
      <c r="L189" s="15"/>
      <c r="M189" s="15"/>
      <c r="N189" s="15"/>
      <c r="O189" s="15"/>
      <c r="P189" s="15"/>
      <c r="Q189" s="15"/>
    </row>
    <row r="190" spans="1:17">
      <c r="A190" s="14">
        <v>105.468</v>
      </c>
      <c r="B190" s="23">
        <v>57.981281000000003</v>
      </c>
      <c r="C190" s="23">
        <v>71.226202000000001</v>
      </c>
      <c r="D190" s="23">
        <v>22.031054999999999</v>
      </c>
      <c r="E190" s="23">
        <f>(B190 - D190)/($L$7 - D190)</f>
        <v>0.65287920370522146</v>
      </c>
      <c r="F190" s="23">
        <f t="shared" si="4"/>
        <v>-0.42636315348673004</v>
      </c>
      <c r="G190" s="23">
        <f>(C190 - D190)/($L$7 - D190)</f>
        <v>0.8934154794888165</v>
      </c>
      <c r="H190" s="23">
        <f t="shared" si="5"/>
        <v>-0.11270354372125393</v>
      </c>
      <c r="I190" s="23"/>
      <c r="J190" s="15"/>
      <c r="K190" s="15"/>
      <c r="L190" s="15"/>
      <c r="M190" s="15"/>
      <c r="N190" s="15"/>
      <c r="O190" s="15"/>
      <c r="P190" s="15"/>
      <c r="Q190" s="15"/>
    </row>
    <row r="191" spans="1:17">
      <c r="A191" s="14">
        <v>106.032</v>
      </c>
      <c r="B191" s="23">
        <v>57.897641</v>
      </c>
      <c r="C191" s="23">
        <v>71.202427999999998</v>
      </c>
      <c r="D191" s="23">
        <v>22.032209999999999</v>
      </c>
      <c r="E191" s="23">
        <f>(B191 - D191)/($L$7 - D191)</f>
        <v>0.65135293450176035</v>
      </c>
      <c r="F191" s="23">
        <f t="shared" si="4"/>
        <v>-0.42870364158770036</v>
      </c>
      <c r="G191" s="23">
        <f>(C191 - D191)/($L$7 - D191)</f>
        <v>0.89298148360161278</v>
      </c>
      <c r="H191" s="23">
        <f t="shared" si="5"/>
        <v>-0.11318943336919801</v>
      </c>
      <c r="I191" s="23"/>
      <c r="J191" s="15"/>
      <c r="K191" s="15"/>
      <c r="L191" s="15"/>
      <c r="M191" s="15"/>
      <c r="N191" s="15"/>
      <c r="O191" s="15"/>
      <c r="P191" s="15"/>
      <c r="Q191" s="15"/>
    </row>
    <row r="192" spans="1:17">
      <c r="A192" s="14">
        <v>106.596</v>
      </c>
      <c r="B192" s="23">
        <v>57.815679000000003</v>
      </c>
      <c r="C192" s="23">
        <v>71.169028999999995</v>
      </c>
      <c r="D192" s="23">
        <v>22.030189</v>
      </c>
      <c r="E192" s="23">
        <f>(B192 - D192)/($L$7 - D192)</f>
        <v>0.64987727139983331</v>
      </c>
      <c r="F192" s="23">
        <f t="shared" si="4"/>
        <v>-0.43097174715094211</v>
      </c>
      <c r="G192" s="23">
        <f>(C192 - D192)/($L$7 - D192)</f>
        <v>0.89237887364272439</v>
      </c>
      <c r="H192" s="23">
        <f t="shared" si="5"/>
        <v>-0.11386449034503757</v>
      </c>
      <c r="I192" s="23"/>
      <c r="J192" s="15"/>
      <c r="K192" s="15"/>
      <c r="L192" s="15"/>
      <c r="M192" s="15"/>
      <c r="N192" s="15"/>
      <c r="O192" s="15"/>
      <c r="P192" s="15"/>
      <c r="Q192" s="15"/>
    </row>
    <row r="193" spans="1:17">
      <c r="A193" s="14">
        <v>107.16</v>
      </c>
      <c r="B193" s="23">
        <v>57.728099</v>
      </c>
      <c r="C193" s="23">
        <v>71.148871999999997</v>
      </c>
      <c r="D193" s="23">
        <v>22.033532000000001</v>
      </c>
      <c r="E193" s="23">
        <f>(B193 - D193)/($L$7 - D193)</f>
        <v>0.6482654335084086</v>
      </c>
      <c r="F193" s="23">
        <f t="shared" si="4"/>
        <v>-0.43345504688933112</v>
      </c>
      <c r="G193" s="23">
        <f>(C193 - D193)/($L$7 - D193)</f>
        <v>0.89200625902011588</v>
      </c>
      <c r="H193" s="23">
        <f t="shared" si="5"/>
        <v>-0.11428212958805065</v>
      </c>
      <c r="I193" s="23"/>
      <c r="J193" s="15"/>
      <c r="K193" s="15"/>
      <c r="L193" s="15"/>
      <c r="M193" s="15"/>
      <c r="N193" s="15"/>
      <c r="O193" s="15"/>
      <c r="P193" s="15"/>
      <c r="Q193" s="15"/>
    </row>
    <row r="194" spans="1:17">
      <c r="A194" s="14">
        <v>107.724</v>
      </c>
      <c r="B194" s="23">
        <v>57.6509</v>
      </c>
      <c r="C194" s="23">
        <v>71.122988000000007</v>
      </c>
      <c r="D194" s="23">
        <v>22.030356999999999</v>
      </c>
      <c r="E194" s="23">
        <f>(B194 - D194)/($L$7 - D194)</f>
        <v>0.64688374860839026</v>
      </c>
      <c r="F194" s="23">
        <f t="shared" si="4"/>
        <v>-0.43558867820108971</v>
      </c>
      <c r="G194" s="23">
        <f>(C194 - D194)/($L$7 - D194)</f>
        <v>0.89154242175164133</v>
      </c>
      <c r="H194" s="23">
        <f t="shared" si="5"/>
        <v>-0.11480225812048947</v>
      </c>
      <c r="I194" s="23"/>
      <c r="J194" s="15"/>
      <c r="K194" s="15"/>
      <c r="L194" s="15"/>
      <c r="M194" s="15"/>
      <c r="N194" s="15"/>
      <c r="O194" s="15"/>
      <c r="P194" s="15"/>
      <c r="Q194" s="15"/>
    </row>
    <row r="195" spans="1:17">
      <c r="A195" s="14">
        <v>108.288</v>
      </c>
      <c r="B195" s="23">
        <v>57.570048</v>
      </c>
      <c r="C195" s="23">
        <v>71.088194999999999</v>
      </c>
      <c r="D195" s="23">
        <v>22.027926999999998</v>
      </c>
      <c r="E195" s="23">
        <f>(B195 - D195)/($L$7 - D195)</f>
        <v>0.64543109000576915</v>
      </c>
      <c r="F195" s="23">
        <f t="shared" si="4"/>
        <v>-0.43783682883907543</v>
      </c>
      <c r="G195" s="23">
        <f>(C195 - D195)/($L$7 - D195)</f>
        <v>0.89091538040780272</v>
      </c>
      <c r="H195" s="23">
        <f t="shared" si="5"/>
        <v>-0.11550582750535225</v>
      </c>
      <c r="I195" s="23"/>
      <c r="J195" s="15"/>
      <c r="K195" s="15"/>
      <c r="L195" s="15"/>
      <c r="M195" s="15"/>
      <c r="N195" s="15"/>
      <c r="O195" s="15"/>
      <c r="P195" s="15"/>
      <c r="Q195" s="15"/>
    </row>
    <row r="196" spans="1:17">
      <c r="A196" s="14">
        <v>108.852</v>
      </c>
      <c r="B196" s="23">
        <v>57.498610999999997</v>
      </c>
      <c r="C196" s="23">
        <v>71.072213000000005</v>
      </c>
      <c r="D196" s="23">
        <v>22.031967999999999</v>
      </c>
      <c r="E196" s="23">
        <f>(B196 - D196)/($L$7 - D196)</f>
        <v>0.64410770543777518</v>
      </c>
      <c r="F196" s="23">
        <f t="shared" ref="F196:F259" si="6">LN(E196)</f>
        <v>-0.43988932239298545</v>
      </c>
      <c r="G196" s="23">
        <f>(C196 - D196)/($L$7 - D196)</f>
        <v>0.89061712666339277</v>
      </c>
      <c r="H196" s="23">
        <f t="shared" ref="H196:H259" si="7">LN(G196)</f>
        <v>-0.11584065580179093</v>
      </c>
      <c r="I196" s="23"/>
      <c r="J196" s="15"/>
      <c r="K196" s="15"/>
      <c r="L196" s="15"/>
      <c r="M196" s="15"/>
      <c r="N196" s="15"/>
      <c r="O196" s="15"/>
      <c r="P196" s="15"/>
      <c r="Q196" s="15"/>
    </row>
    <row r="197" spans="1:17">
      <c r="A197" s="14">
        <v>109.416</v>
      </c>
      <c r="B197" s="23">
        <v>57.409607999999999</v>
      </c>
      <c r="C197" s="23">
        <v>71.046722000000003</v>
      </c>
      <c r="D197" s="23">
        <v>22.031102000000001</v>
      </c>
      <c r="E197" s="23">
        <f>(B197 - D197)/($L$7 - D197)</f>
        <v>0.6424969495542685</v>
      </c>
      <c r="F197" s="23">
        <f t="shared" si="6"/>
        <v>-0.4423932099994905</v>
      </c>
      <c r="G197" s="23">
        <f>(C197 - D197)/($L$7 - D197)</f>
        <v>0.89015591360786106</v>
      </c>
      <c r="H197" s="23">
        <f t="shared" si="7"/>
        <v>-0.11635864776978928</v>
      </c>
      <c r="I197" s="23"/>
      <c r="J197" s="15"/>
      <c r="K197" s="15"/>
      <c r="L197" s="15"/>
      <c r="M197" s="15"/>
      <c r="N197" s="15"/>
      <c r="O197" s="15"/>
      <c r="P197" s="15"/>
      <c r="Q197" s="15"/>
    </row>
    <row r="198" spans="1:17">
      <c r="A198" s="14">
        <v>109.98</v>
      </c>
      <c r="B198" s="23">
        <v>57.326341999999997</v>
      </c>
      <c r="C198" s="23">
        <v>71.021670999999998</v>
      </c>
      <c r="D198" s="23">
        <v>22.024175</v>
      </c>
      <c r="E198" s="23">
        <f>(B198 - D198)/($L$7 - D198)</f>
        <v>0.64102994223222087</v>
      </c>
      <c r="F198" s="23">
        <f t="shared" si="6"/>
        <v>-0.44467911140169225</v>
      </c>
      <c r="G198" s="23">
        <f>(C198 - D198)/($L$7 - D198)</f>
        <v>0.8897148447120391</v>
      </c>
      <c r="H198" s="23">
        <f t="shared" si="7"/>
        <v>-0.1168542667946975</v>
      </c>
      <c r="I198" s="23"/>
      <c r="J198" s="15"/>
      <c r="K198" s="15"/>
      <c r="L198" s="15"/>
      <c r="M198" s="15"/>
      <c r="N198" s="15"/>
      <c r="O198" s="15"/>
      <c r="P198" s="15"/>
      <c r="Q198" s="15"/>
    </row>
    <row r="199" spans="1:17">
      <c r="A199" s="14">
        <v>110.544</v>
      </c>
      <c r="B199" s="23">
        <v>57.248154</v>
      </c>
      <c r="C199" s="23">
        <v>70.990217000000001</v>
      </c>
      <c r="D199" s="23">
        <v>22.025041000000002</v>
      </c>
      <c r="E199" s="23">
        <f>(B199 - D199)/($L$7 - D199)</f>
        <v>0.63960450803243751</v>
      </c>
      <c r="F199" s="23">
        <f t="shared" si="6"/>
        <v>-0.44690524984136415</v>
      </c>
      <c r="G199" s="23">
        <f>(C199 - D199)/($L$7 - D199)</f>
        <v>0.88914194796472756</v>
      </c>
      <c r="H199" s="23">
        <f t="shared" si="7"/>
        <v>-0.11749838471298904</v>
      </c>
      <c r="I199" s="23"/>
      <c r="J199" s="15"/>
      <c r="K199" s="15"/>
      <c r="L199" s="15"/>
      <c r="M199" s="15"/>
      <c r="N199" s="15"/>
      <c r="O199" s="15"/>
      <c r="P199" s="15"/>
      <c r="Q199" s="15"/>
    </row>
    <row r="200" spans="1:17">
      <c r="A200" s="14">
        <v>111.108</v>
      </c>
      <c r="B200" s="23">
        <v>57.169246000000001</v>
      </c>
      <c r="C200" s="23">
        <v>70.965047999999996</v>
      </c>
      <c r="D200" s="23">
        <v>22.032257000000001</v>
      </c>
      <c r="E200" s="23">
        <f>(B200 - D200)/($L$7 - D200)</f>
        <v>0.63812422691862258</v>
      </c>
      <c r="F200" s="23">
        <f t="shared" si="6"/>
        <v>-0.44922230155287712</v>
      </c>
      <c r="G200" s="23">
        <f>(C200 - D200)/($L$7 - D200)</f>
        <v>0.88867032482053387</v>
      </c>
      <c r="H200" s="23">
        <f t="shared" si="7"/>
        <v>-0.11802895046785167</v>
      </c>
      <c r="I200" s="23"/>
      <c r="J200" s="15"/>
      <c r="K200" s="15"/>
      <c r="L200" s="15"/>
      <c r="M200" s="15"/>
      <c r="N200" s="15"/>
      <c r="O200" s="15"/>
      <c r="P200" s="15"/>
      <c r="Q200" s="15"/>
    </row>
    <row r="201" spans="1:17">
      <c r="A201" s="14">
        <v>111.672</v>
      </c>
      <c r="B201" s="23">
        <v>57.096792000000001</v>
      </c>
      <c r="C201" s="23">
        <v>70.939437999999996</v>
      </c>
      <c r="D201" s="23">
        <v>22.024920000000002</v>
      </c>
      <c r="E201" s="23">
        <f>(B201 - D201)/($L$7 - D201)</f>
        <v>0.63685677494276138</v>
      </c>
      <c r="F201" s="23">
        <f t="shared" si="6"/>
        <v>-0.45121049179495926</v>
      </c>
      <c r="G201" s="23">
        <f>(C201 - D201)/($L$7 - D201)</f>
        <v>0.88822011500725273</v>
      </c>
      <c r="H201" s="23">
        <f t="shared" si="7"/>
        <v>-0.11853568944603952</v>
      </c>
      <c r="I201" s="23"/>
      <c r="J201" s="15"/>
      <c r="K201" s="15"/>
      <c r="L201" s="15"/>
      <c r="M201" s="15"/>
      <c r="N201" s="15"/>
      <c r="O201" s="15"/>
      <c r="P201" s="15"/>
      <c r="Q201" s="15"/>
    </row>
    <row r="202" spans="1:17">
      <c r="A202" s="14">
        <v>112.236</v>
      </c>
      <c r="B202" s="23">
        <v>57.018563999999998</v>
      </c>
      <c r="C202" s="23">
        <v>70.909931</v>
      </c>
      <c r="D202" s="23">
        <v>22.033580000000001</v>
      </c>
      <c r="E202" s="23">
        <f>(B202 - D202)/($L$7 - D202)</f>
        <v>0.63537892447234467</v>
      </c>
      <c r="F202" s="23">
        <f t="shared" si="6"/>
        <v>-0.4535337266103493</v>
      </c>
      <c r="G202" s="23">
        <f>(C202 - D202)/($L$7 - D202)</f>
        <v>0.88766664379531546</v>
      </c>
      <c r="H202" s="23">
        <f t="shared" si="7"/>
        <v>-0.11915900760201278</v>
      </c>
      <c r="I202" s="23"/>
      <c r="J202" s="15"/>
      <c r="K202" s="15"/>
      <c r="L202" s="15"/>
      <c r="M202" s="15"/>
      <c r="N202" s="15"/>
      <c r="O202" s="15"/>
      <c r="P202" s="15"/>
      <c r="Q202" s="15"/>
    </row>
    <row r="203" spans="1:17">
      <c r="A203" s="14">
        <v>112.8</v>
      </c>
      <c r="B203" s="23">
        <v>56.931652</v>
      </c>
      <c r="C203" s="23">
        <v>70.886548000000005</v>
      </c>
      <c r="D203" s="23">
        <v>22.035889000000001</v>
      </c>
      <c r="E203" s="23">
        <f>(B203 - D203)/($L$7 - D203)</f>
        <v>0.63378511716195729</v>
      </c>
      <c r="F203" s="23">
        <f t="shared" si="6"/>
        <v>-0.45604531391651931</v>
      </c>
      <c r="G203" s="23">
        <f>(C203 - D203)/($L$7 - D203)</f>
        <v>0.88723724532843207</v>
      </c>
      <c r="H203" s="23">
        <f t="shared" si="7"/>
        <v>-0.11964286306922099</v>
      </c>
      <c r="I203" s="23"/>
      <c r="J203" s="15"/>
      <c r="K203" s="15"/>
      <c r="L203" s="15"/>
      <c r="M203" s="15"/>
      <c r="N203" s="15"/>
      <c r="O203" s="15"/>
      <c r="P203" s="15"/>
      <c r="Q203" s="15"/>
    </row>
    <row r="204" spans="1:17">
      <c r="A204" s="14">
        <v>113.364</v>
      </c>
      <c r="B204" s="23">
        <v>56.853569999999998</v>
      </c>
      <c r="C204" s="23">
        <v>70.852586000000002</v>
      </c>
      <c r="D204" s="23">
        <v>22.043106000000002</v>
      </c>
      <c r="E204" s="23">
        <f>(B204 - D204)/($L$7 - D204)</f>
        <v>0.63231877887266019</v>
      </c>
      <c r="F204" s="23">
        <f t="shared" si="6"/>
        <v>-0.4583616150502503</v>
      </c>
      <c r="G204" s="23">
        <f>(C204 - D204)/($L$7 - D204)</f>
        <v>0.88660555604801861</v>
      </c>
      <c r="H204" s="23">
        <f t="shared" si="7"/>
        <v>-0.12035509000006991</v>
      </c>
      <c r="I204" s="23"/>
      <c r="J204" s="15"/>
      <c r="K204" s="15"/>
      <c r="L204" s="15"/>
      <c r="M204" s="15"/>
      <c r="N204" s="15"/>
      <c r="O204" s="15"/>
      <c r="P204" s="15"/>
      <c r="Q204" s="15"/>
    </row>
    <row r="205" spans="1:17">
      <c r="A205" s="14">
        <v>113.928</v>
      </c>
      <c r="B205" s="23">
        <v>56.783909999999999</v>
      </c>
      <c r="C205" s="23">
        <v>70.836996999999997</v>
      </c>
      <c r="D205" s="23">
        <v>22.051933999999999</v>
      </c>
      <c r="E205" s="23">
        <f>(B205 - D205)/($L$7 - D205)</f>
        <v>0.63099425884211935</v>
      </c>
      <c r="F205" s="23">
        <f t="shared" si="6"/>
        <v>-0.46045851498925794</v>
      </c>
      <c r="G205" s="23">
        <f>(C205 - D205)/($L$7 - D205)</f>
        <v>0.88630415586637212</v>
      </c>
      <c r="H205" s="23">
        <f t="shared" si="7"/>
        <v>-0.12069509624237836</v>
      </c>
      <c r="I205" s="23"/>
      <c r="J205" s="15"/>
      <c r="K205" s="15"/>
      <c r="L205" s="15"/>
      <c r="M205" s="15"/>
      <c r="N205" s="15"/>
      <c r="O205" s="15"/>
      <c r="P205" s="15"/>
      <c r="Q205" s="15"/>
    </row>
    <row r="206" spans="1:17">
      <c r="A206" s="14">
        <v>114.492</v>
      </c>
      <c r="B206" s="23">
        <v>56.704134000000003</v>
      </c>
      <c r="C206" s="23">
        <v>70.809042000000005</v>
      </c>
      <c r="D206" s="23">
        <v>22.050611</v>
      </c>
      <c r="E206" s="23">
        <f>(B206 - D206)/($L$7 - D206)</f>
        <v>0.62955382978249919</v>
      </c>
      <c r="F206" s="23">
        <f t="shared" si="6"/>
        <v>-0.46274391718783031</v>
      </c>
      <c r="G206" s="23">
        <f>(C206 - D206)/($L$7 - D206)</f>
        <v>0.88579902742459193</v>
      </c>
      <c r="H206" s="23">
        <f t="shared" si="7"/>
        <v>-0.12126518545639664</v>
      </c>
      <c r="I206" s="23"/>
      <c r="J206" s="15"/>
      <c r="K206" s="15"/>
      <c r="L206" s="15"/>
      <c r="M206" s="15"/>
      <c r="N206" s="15"/>
      <c r="O206" s="15"/>
      <c r="P206" s="15"/>
      <c r="Q206" s="15"/>
    </row>
    <row r="207" spans="1:17">
      <c r="A207" s="14">
        <v>115.056</v>
      </c>
      <c r="B207" s="23">
        <v>56.628566999999997</v>
      </c>
      <c r="C207" s="23">
        <v>70.776470000000003</v>
      </c>
      <c r="D207" s="23">
        <v>22.042697</v>
      </c>
      <c r="E207" s="23">
        <f>(B207 - D207)/($L$7 - D207)</f>
        <v>0.62823444731082012</v>
      </c>
      <c r="F207" s="23">
        <f t="shared" si="6"/>
        <v>-0.46484185843856429</v>
      </c>
      <c r="G207" s="23">
        <f>(C207 - D207)/($L$7 - D207)</f>
        <v>0.88522379069909085</v>
      </c>
      <c r="H207" s="23">
        <f t="shared" si="7"/>
        <v>-0.12191479509422087</v>
      </c>
      <c r="I207" s="23"/>
      <c r="J207" s="15"/>
      <c r="K207" s="15"/>
      <c r="L207" s="15"/>
      <c r="M207" s="15"/>
      <c r="N207" s="15"/>
      <c r="O207" s="15"/>
      <c r="P207" s="15"/>
      <c r="Q207" s="15"/>
    </row>
    <row r="208" spans="1:17">
      <c r="A208" s="14">
        <v>115.62</v>
      </c>
      <c r="B208" s="23">
        <v>56.547097000000001</v>
      </c>
      <c r="C208" s="23">
        <v>70.754756</v>
      </c>
      <c r="D208" s="23">
        <v>22.043562999999999</v>
      </c>
      <c r="E208" s="23">
        <f>(B208 - D208)/($L$7 - D208)</f>
        <v>0.62674871547383815</v>
      </c>
      <c r="F208" s="23">
        <f t="shared" si="6"/>
        <v>-0.46720959144908436</v>
      </c>
      <c r="G208" s="23">
        <f>(C208 - D208)/($L$7 - D208)</f>
        <v>0.88482755540195435</v>
      </c>
      <c r="H208" s="23">
        <f t="shared" si="7"/>
        <v>-0.12236250561361108</v>
      </c>
      <c r="I208" s="23"/>
      <c r="J208" s="15"/>
      <c r="K208" s="15"/>
      <c r="L208" s="15"/>
      <c r="M208" s="15"/>
      <c r="N208" s="15"/>
      <c r="O208" s="15"/>
      <c r="P208" s="15"/>
      <c r="Q208" s="15"/>
    </row>
    <row r="209" spans="1:17">
      <c r="A209" s="14">
        <v>116.184</v>
      </c>
      <c r="B209" s="23">
        <v>56.476298999999997</v>
      </c>
      <c r="C209" s="23">
        <v>70.729699999999994</v>
      </c>
      <c r="D209" s="23">
        <v>22.050201999999999</v>
      </c>
      <c r="E209" s="23">
        <f>(B209 - D209)/($L$7 - D209)</f>
        <v>0.62541751306531401</v>
      </c>
      <c r="F209" s="23">
        <f t="shared" si="6"/>
        <v>-0.46933583136787876</v>
      </c>
      <c r="G209" s="23">
        <f>(C209 - D209)/($L$7 - D209)</f>
        <v>0.88435847306268622</v>
      </c>
      <c r="H209" s="23">
        <f t="shared" si="7"/>
        <v>-0.12289278602812155</v>
      </c>
      <c r="I209" s="23"/>
      <c r="J209" s="15"/>
      <c r="K209" s="15"/>
      <c r="L209" s="15"/>
      <c r="M209" s="15"/>
      <c r="N209" s="15"/>
      <c r="O209" s="15"/>
      <c r="P209" s="15"/>
      <c r="Q209" s="15"/>
    </row>
    <row r="210" spans="1:17">
      <c r="A210" s="14">
        <v>116.748</v>
      </c>
      <c r="B210" s="23">
        <v>56.398907999999999</v>
      </c>
      <c r="C210" s="23">
        <v>70.709933000000007</v>
      </c>
      <c r="D210" s="23">
        <v>22.047025999999999</v>
      </c>
      <c r="E210" s="23">
        <f>(B210 - D210)/($L$7 - D210)</f>
        <v>0.62403324652449788</v>
      </c>
      <c r="F210" s="23">
        <f t="shared" si="6"/>
        <v>-0.47155163234532615</v>
      </c>
      <c r="G210" s="23">
        <f>(C210 - D210)/($L$7 - D210)</f>
        <v>0.88400605942142318</v>
      </c>
      <c r="H210" s="23">
        <f t="shared" si="7"/>
        <v>-0.12329136181886469</v>
      </c>
      <c r="I210" s="23"/>
      <c r="J210" s="15"/>
      <c r="K210" s="15"/>
      <c r="L210" s="15"/>
      <c r="M210" s="15"/>
      <c r="N210" s="15"/>
      <c r="O210" s="15"/>
      <c r="P210" s="15"/>
      <c r="Q210" s="15"/>
    </row>
    <row r="211" spans="1:17">
      <c r="A211" s="14">
        <v>117.312</v>
      </c>
      <c r="B211" s="23">
        <v>56.321640000000002</v>
      </c>
      <c r="C211" s="23">
        <v>70.683762999999999</v>
      </c>
      <c r="D211" s="23">
        <v>22.039978000000001</v>
      </c>
      <c r="E211" s="23">
        <f>(B211 - D211)/($L$7 - D211)</f>
        <v>0.62267791268720663</v>
      </c>
      <c r="F211" s="23">
        <f t="shared" si="6"/>
        <v>-0.47372588796373344</v>
      </c>
      <c r="G211" s="23">
        <f>(C211 - D211)/($L$7 - D211)</f>
        <v>0.88354556756919345</v>
      </c>
      <c r="H211" s="23">
        <f t="shared" si="7"/>
        <v>-0.12381241235636116</v>
      </c>
      <c r="I211" s="23"/>
      <c r="J211" s="15"/>
      <c r="K211" s="15"/>
      <c r="L211" s="15"/>
      <c r="M211" s="15"/>
      <c r="N211" s="15"/>
      <c r="O211" s="15"/>
      <c r="P211" s="15"/>
      <c r="Q211" s="15"/>
    </row>
    <row r="212" spans="1:17">
      <c r="A212" s="14">
        <v>117.876</v>
      </c>
      <c r="B212" s="23">
        <v>56.233690000000003</v>
      </c>
      <c r="C212" s="23">
        <v>70.658148999999995</v>
      </c>
      <c r="D212" s="23">
        <v>22.033628</v>
      </c>
      <c r="E212" s="23">
        <f>(B212 - D212)/($L$7 - D212)</f>
        <v>0.62112412438456621</v>
      </c>
      <c r="F212" s="23">
        <f t="shared" si="6"/>
        <v>-0.47622433878563508</v>
      </c>
      <c r="G212" s="23">
        <f>(C212 - D212)/($L$7 - D212)</f>
        <v>0.88309380929613357</v>
      </c>
      <c r="H212" s="23">
        <f t="shared" si="7"/>
        <v>-0.12432384472770161</v>
      </c>
      <c r="I212" s="23"/>
      <c r="J212" s="15"/>
      <c r="K212" s="15"/>
      <c r="L212" s="15"/>
      <c r="M212" s="15"/>
      <c r="N212" s="15"/>
      <c r="O212" s="15"/>
      <c r="P212" s="15"/>
      <c r="Q212" s="15"/>
    </row>
    <row r="213" spans="1:17">
      <c r="A213" s="14">
        <v>118.44</v>
      </c>
      <c r="B213" s="23">
        <v>56.165123999999999</v>
      </c>
      <c r="C213" s="23">
        <v>70.635760000000005</v>
      </c>
      <c r="D213" s="23">
        <v>22.040267</v>
      </c>
      <c r="E213" s="23">
        <f>(B213 - D213)/($L$7 - D213)</f>
        <v>0.61983302527427209</v>
      </c>
      <c r="F213" s="23">
        <f t="shared" si="6"/>
        <v>-0.47830515128830209</v>
      </c>
      <c r="G213" s="23">
        <f>(C213 - D213)/($L$7 - D213)</f>
        <v>0.88267304507341127</v>
      </c>
      <c r="H213" s="23">
        <f t="shared" si="7"/>
        <v>-0.12480042432782835</v>
      </c>
      <c r="I213" s="23"/>
      <c r="J213" s="15"/>
      <c r="K213" s="15"/>
      <c r="L213" s="15"/>
      <c r="M213" s="15"/>
      <c r="N213" s="15"/>
      <c r="O213" s="15"/>
      <c r="P213" s="15"/>
      <c r="Q213" s="15"/>
    </row>
    <row r="214" spans="1:17">
      <c r="A214" s="14">
        <v>119.004</v>
      </c>
      <c r="B214" s="23">
        <v>56.098241999999999</v>
      </c>
      <c r="C214" s="23">
        <v>70.605690999999993</v>
      </c>
      <c r="D214" s="23">
        <v>22.037092000000001</v>
      </c>
      <c r="E214" s="23">
        <f>(B214 - D214)/($L$7 - D214)</f>
        <v>0.61864019484582955</v>
      </c>
      <c r="F214" s="23">
        <f t="shared" si="6"/>
        <v>-0.48023144372306326</v>
      </c>
      <c r="G214" s="23">
        <f>(C214 - D214)/($L$7 - D214)</f>
        <v>0.88213367865585746</v>
      </c>
      <c r="H214" s="23">
        <f t="shared" si="7"/>
        <v>-0.12541167135799305</v>
      </c>
      <c r="I214" s="23"/>
      <c r="J214" s="15"/>
      <c r="K214" s="15"/>
      <c r="L214" s="15"/>
      <c r="M214" s="15"/>
      <c r="N214" s="15"/>
      <c r="O214" s="15"/>
      <c r="P214" s="15"/>
      <c r="Q214" s="15"/>
    </row>
    <row r="215" spans="1:17">
      <c r="A215" s="14">
        <v>119.568</v>
      </c>
      <c r="B215" s="23">
        <v>56.017740000000003</v>
      </c>
      <c r="C215" s="23">
        <v>70.578405000000004</v>
      </c>
      <c r="D215" s="23">
        <v>22.033339000000002</v>
      </c>
      <c r="E215" s="23">
        <f>(B215 - D215)/($L$7 - D215)</f>
        <v>0.61720415953355157</v>
      </c>
      <c r="F215" s="23">
        <f t="shared" si="6"/>
        <v>-0.48255541915493405</v>
      </c>
      <c r="G215" s="23">
        <f>(C215 - D215)/($L$7 - D215)</f>
        <v>0.8816461605437973</v>
      </c>
      <c r="H215" s="23">
        <f t="shared" si="7"/>
        <v>-0.12596448199074961</v>
      </c>
      <c r="I215" s="23"/>
      <c r="J215" s="15"/>
      <c r="K215" s="15"/>
      <c r="L215" s="15"/>
      <c r="M215" s="15"/>
      <c r="N215" s="15"/>
      <c r="O215" s="15"/>
      <c r="P215" s="15"/>
      <c r="Q215" s="15"/>
    </row>
    <row r="216" spans="1:17">
      <c r="A216" s="14">
        <v>120.13200000000001</v>
      </c>
      <c r="B216" s="23">
        <v>55.940170999999999</v>
      </c>
      <c r="C216" s="23">
        <v>70.554181999999997</v>
      </c>
      <c r="D216" s="23">
        <v>22.030332000000001</v>
      </c>
      <c r="E216" s="23">
        <f>(B216 - D216)/($L$7 - D216)</f>
        <v>0.61581637899194286</v>
      </c>
      <c r="F216" s="23">
        <f t="shared" si="6"/>
        <v>-0.48480644593713612</v>
      </c>
      <c r="G216" s="23">
        <f>(C216 - D216)/($L$7 - D216)</f>
        <v>0.88121272418156227</v>
      </c>
      <c r="H216" s="23">
        <f t="shared" si="7"/>
        <v>-0.12645622455134226</v>
      </c>
      <c r="I216" s="23"/>
      <c r="J216" s="15"/>
      <c r="K216" s="15"/>
      <c r="L216" s="15"/>
      <c r="M216" s="15"/>
      <c r="N216" s="15"/>
      <c r="O216" s="15"/>
      <c r="P216" s="15"/>
      <c r="Q216" s="15"/>
    </row>
    <row r="217" spans="1:17">
      <c r="A217" s="14">
        <v>120.696</v>
      </c>
      <c r="B217" s="23">
        <v>55.860911000000002</v>
      </c>
      <c r="C217" s="23">
        <v>70.530514999999994</v>
      </c>
      <c r="D217" s="23">
        <v>22.019074</v>
      </c>
      <c r="E217" s="23">
        <f>(B217 - D217)/($L$7 - D217)</f>
        <v>0.61445580980734449</v>
      </c>
      <c r="F217" s="23">
        <f t="shared" si="6"/>
        <v>-0.48701826499906448</v>
      </c>
      <c r="G217" s="23">
        <f>(C217 - D217)/($L$7 - D217)</f>
        <v>0.88080729082691955</v>
      </c>
      <c r="H217" s="23">
        <f t="shared" si="7"/>
        <v>-0.12691641610233989</v>
      </c>
      <c r="I217" s="23"/>
      <c r="J217" s="15"/>
      <c r="K217" s="15"/>
      <c r="L217" s="15"/>
      <c r="M217" s="15"/>
      <c r="N217" s="15"/>
      <c r="O217" s="15"/>
      <c r="P217" s="15"/>
      <c r="Q217" s="15"/>
    </row>
    <row r="218" spans="1:17">
      <c r="A218" s="14">
        <v>121.26</v>
      </c>
      <c r="B218" s="23">
        <v>55.794983999999999</v>
      </c>
      <c r="C218" s="23">
        <v>70.499609000000007</v>
      </c>
      <c r="D218" s="23">
        <v>22.015322000000001</v>
      </c>
      <c r="E218" s="23">
        <f>(B218 - D218)/($L$7 - D218)</f>
        <v>0.61328513810418994</v>
      </c>
      <c r="F218" s="23">
        <f t="shared" si="6"/>
        <v>-0.48892529931267198</v>
      </c>
      <c r="G218" s="23">
        <f>(C218 - D218)/($L$7 - D218)</f>
        <v>0.8802542976504083</v>
      </c>
      <c r="H218" s="23">
        <f t="shared" si="7"/>
        <v>-0.12754443865226672</v>
      </c>
      <c r="I218" s="23"/>
      <c r="J218" s="15"/>
      <c r="K218" s="15"/>
      <c r="L218" s="15"/>
      <c r="M218" s="15"/>
      <c r="N218" s="15"/>
      <c r="O218" s="15"/>
      <c r="P218" s="15"/>
      <c r="Q218" s="15"/>
    </row>
    <row r="219" spans="1:17">
      <c r="A219" s="14">
        <v>121.824</v>
      </c>
      <c r="B219" s="23">
        <v>55.707718999999997</v>
      </c>
      <c r="C219" s="23">
        <v>70.474710999999999</v>
      </c>
      <c r="D219" s="23">
        <v>22.023693000000002</v>
      </c>
      <c r="E219" s="23">
        <f>(B219 - D219)/($L$7 - D219)</f>
        <v>0.61164177989509017</v>
      </c>
      <c r="F219" s="23">
        <f t="shared" si="6"/>
        <v>-0.49160849480932328</v>
      </c>
      <c r="G219" s="23">
        <f>(C219 - D219)/($L$7 - D219)</f>
        <v>0.87978399278189168</v>
      </c>
      <c r="H219" s="23">
        <f t="shared" si="7"/>
        <v>-0.12807886438864632</v>
      </c>
      <c r="I219" s="23"/>
      <c r="J219" s="15"/>
      <c r="K219" s="15"/>
      <c r="L219" s="15"/>
      <c r="M219" s="15"/>
      <c r="N219" s="15"/>
      <c r="O219" s="15"/>
      <c r="P219" s="15"/>
      <c r="Q219" s="15"/>
    </row>
    <row r="220" spans="1:17">
      <c r="A220" s="14">
        <v>122.38800000000001</v>
      </c>
      <c r="B220" s="23">
        <v>55.625354000000002</v>
      </c>
      <c r="C220" s="23">
        <v>70.449651000000003</v>
      </c>
      <c r="D220" s="23">
        <v>22.01792</v>
      </c>
      <c r="E220" s="23">
        <f>(B220 - D220)/($L$7 - D220)</f>
        <v>0.61018704160079407</v>
      </c>
      <c r="F220" s="23">
        <f t="shared" si="6"/>
        <v>-0.49398974323972217</v>
      </c>
      <c r="G220" s="23">
        <f>(C220 - D220)/($L$7 - D220)</f>
        <v>0.87934159622229624</v>
      </c>
      <c r="H220" s="23">
        <f t="shared" si="7"/>
        <v>-0.12858183765182579</v>
      </c>
      <c r="I220" s="23"/>
      <c r="J220" s="15"/>
      <c r="K220" s="15"/>
      <c r="L220" s="15"/>
      <c r="M220" s="15"/>
      <c r="N220" s="15"/>
      <c r="O220" s="15"/>
      <c r="P220" s="15"/>
      <c r="Q220" s="15"/>
    </row>
    <row r="221" spans="1:17">
      <c r="A221" s="14">
        <v>122.952</v>
      </c>
      <c r="B221" s="23">
        <v>55.552824000000001</v>
      </c>
      <c r="C221" s="23">
        <v>70.422084999999996</v>
      </c>
      <c r="D221" s="23">
        <v>22.024559</v>
      </c>
      <c r="E221" s="23">
        <f>(B221 - D221)/($L$7 - D221)</f>
        <v>0.608823011947912</v>
      </c>
      <c r="F221" s="23">
        <f t="shared" si="6"/>
        <v>-0.49622767428582681</v>
      </c>
      <c r="G221" s="23">
        <f>(C221 - D221)/($L$7 - D221)</f>
        <v>0.87882649311401517</v>
      </c>
      <c r="H221" s="23">
        <f t="shared" si="7"/>
        <v>-0.12916779200527284</v>
      </c>
      <c r="I221" s="23"/>
      <c r="J221" s="15"/>
      <c r="K221" s="15"/>
      <c r="L221" s="15"/>
      <c r="M221" s="15"/>
      <c r="N221" s="15"/>
      <c r="O221" s="15"/>
      <c r="P221" s="15"/>
      <c r="Q221" s="15"/>
    </row>
    <row r="222" spans="1:17">
      <c r="A222" s="14">
        <v>123.51600000000001</v>
      </c>
      <c r="B222" s="23">
        <v>55.480727000000002</v>
      </c>
      <c r="C222" s="23">
        <v>70.396189000000007</v>
      </c>
      <c r="D222" s="23">
        <v>22.012315000000001</v>
      </c>
      <c r="E222" s="23">
        <f>(B222 - D222)/($L$7 - D222)</f>
        <v>0.60760108165022852</v>
      </c>
      <c r="F222" s="23">
        <f t="shared" si="6"/>
        <v>-0.49823672806093772</v>
      </c>
      <c r="G222" s="23">
        <f>(C222 - D222)/($L$7 - D222)</f>
        <v>0.87838329995544362</v>
      </c>
      <c r="H222" s="23">
        <f t="shared" si="7"/>
        <v>-0.12967222029803219</v>
      </c>
      <c r="I222" s="23"/>
      <c r="J222" s="15"/>
      <c r="K222" s="15"/>
      <c r="L222" s="15"/>
      <c r="M222" s="15"/>
      <c r="N222" s="15"/>
      <c r="O222" s="15"/>
      <c r="P222" s="15"/>
      <c r="Q222" s="15"/>
    </row>
    <row r="223" spans="1:17">
      <c r="A223" s="14">
        <v>124.08</v>
      </c>
      <c r="B223" s="23">
        <v>55.410158000000003</v>
      </c>
      <c r="C223" s="23">
        <v>70.363887000000005</v>
      </c>
      <c r="D223" s="23">
        <v>22.012315000000001</v>
      </c>
      <c r="E223" s="23">
        <f>(B223 - D223)/($L$7 - D223)</f>
        <v>0.60631993927840111</v>
      </c>
      <c r="F223" s="23">
        <f t="shared" si="6"/>
        <v>-0.50034747962614334</v>
      </c>
      <c r="G223" s="23">
        <f>(C223 - D223)/($L$7 - D223)</f>
        <v>0.87779687445848653</v>
      </c>
      <c r="H223" s="23">
        <f t="shared" si="7"/>
        <v>-0.1303400623876958</v>
      </c>
      <c r="I223" s="23"/>
      <c r="J223" s="15"/>
      <c r="K223" s="15"/>
      <c r="L223" s="15"/>
      <c r="M223" s="15"/>
      <c r="N223" s="15"/>
      <c r="O223" s="15"/>
      <c r="P223" s="15"/>
      <c r="Q223" s="15"/>
    </row>
    <row r="224" spans="1:17">
      <c r="A224" s="14">
        <v>124.64400000000001</v>
      </c>
      <c r="B224" s="23">
        <v>55.328620000000001</v>
      </c>
      <c r="C224" s="23">
        <v>70.338547000000005</v>
      </c>
      <c r="D224" s="23">
        <v>22.011737</v>
      </c>
      <c r="E224" s="23">
        <f>(B224 - D224)/($L$7 - D224)</f>
        <v>0.60484380707533403</v>
      </c>
      <c r="F224" s="23">
        <f t="shared" si="6"/>
        <v>-0.50278502440635364</v>
      </c>
      <c r="G224" s="23">
        <f>(C224 - D224)/($L$7 - D224)</f>
        <v>0.87733812746547524</v>
      </c>
      <c r="H224" s="23">
        <f t="shared" si="7"/>
        <v>-0.13086281078363696</v>
      </c>
      <c r="I224" s="23"/>
      <c r="J224" s="15"/>
      <c r="K224" s="15"/>
      <c r="L224" s="15"/>
      <c r="M224" s="15"/>
      <c r="N224" s="15"/>
      <c r="O224" s="15"/>
      <c r="P224" s="15"/>
      <c r="Q224" s="15"/>
    </row>
    <row r="225" spans="1:17">
      <c r="A225" s="14">
        <v>125.208</v>
      </c>
      <c r="B225" s="23">
        <v>55.263105000000003</v>
      </c>
      <c r="C225" s="23">
        <v>70.326572999999996</v>
      </c>
      <c r="D225" s="23">
        <v>22.008851</v>
      </c>
      <c r="E225" s="23">
        <f>(B225 - D225)/($L$7 - D225)</f>
        <v>0.60367519458319385</v>
      </c>
      <c r="F225" s="23">
        <f t="shared" si="6"/>
        <v>-0.50471898300323637</v>
      </c>
      <c r="G225" s="23">
        <f>(C225 - D225)/($L$7 - D225)</f>
        <v>0.87712718589828131</v>
      </c>
      <c r="H225" s="23">
        <f t="shared" si="7"/>
        <v>-0.13110327329560981</v>
      </c>
      <c r="I225" s="23"/>
      <c r="J225" s="15"/>
      <c r="K225" s="15"/>
      <c r="L225" s="15"/>
      <c r="M225" s="15"/>
      <c r="N225" s="15"/>
      <c r="O225" s="15"/>
      <c r="P225" s="15"/>
      <c r="Q225" s="15"/>
    </row>
    <row r="226" spans="1:17">
      <c r="A226" s="14">
        <v>125.77200000000001</v>
      </c>
      <c r="B226" s="23">
        <v>55.175933999999998</v>
      </c>
      <c r="C226" s="23">
        <v>70.298888000000005</v>
      </c>
      <c r="D226" s="23">
        <v>22.010583</v>
      </c>
      <c r="E226" s="23">
        <f>(B226 - D226)/($L$7 - D226)</f>
        <v>0.6020802400990346</v>
      </c>
      <c r="F226" s="23">
        <f t="shared" si="6"/>
        <v>-0.50736455335447816</v>
      </c>
      <c r="G226" s="23">
        <f>(C226 - D226)/($L$7 - D226)</f>
        <v>0.87662073193120782</v>
      </c>
      <c r="H226" s="23">
        <f t="shared" si="7"/>
        <v>-0.13168084088785426</v>
      </c>
      <c r="I226" s="23"/>
      <c r="J226" s="15"/>
      <c r="K226" s="15"/>
      <c r="L226" s="15"/>
      <c r="M226" s="15"/>
      <c r="N226" s="15"/>
      <c r="O226" s="15"/>
      <c r="P226" s="15"/>
      <c r="Q226" s="15"/>
    </row>
    <row r="227" spans="1:17">
      <c r="A227" s="14">
        <v>126.336</v>
      </c>
      <c r="B227" s="23">
        <v>55.111818</v>
      </c>
      <c r="C227" s="23">
        <v>70.280508999999995</v>
      </c>
      <c r="D227" s="23">
        <v>21.999782</v>
      </c>
      <c r="E227" s="23">
        <f>(B227 - D227)/($L$7 - D227)</f>
        <v>0.60099452215651239</v>
      </c>
      <c r="F227" s="23">
        <f t="shared" si="6"/>
        <v>-0.50916945903669952</v>
      </c>
      <c r="G227" s="23">
        <f>(C227 - D227)/($L$7 - D227)</f>
        <v>0.87631133442637066</v>
      </c>
      <c r="H227" s="23">
        <f t="shared" si="7"/>
        <v>-0.13203384659068559</v>
      </c>
      <c r="I227" s="23"/>
      <c r="J227" s="15"/>
      <c r="K227" s="15"/>
      <c r="L227" s="15"/>
      <c r="M227" s="15"/>
      <c r="N227" s="15"/>
      <c r="O227" s="15"/>
      <c r="P227" s="15"/>
      <c r="Q227" s="15"/>
    </row>
    <row r="228" spans="1:17">
      <c r="A228" s="14">
        <v>126.9</v>
      </c>
      <c r="B228" s="23">
        <v>55.045731000000004</v>
      </c>
      <c r="C228" s="23">
        <v>70.244585000000001</v>
      </c>
      <c r="D228" s="23">
        <v>22.003534999999999</v>
      </c>
      <c r="E228" s="23">
        <f>(B228 - D228)/($L$7 - D228)</f>
        <v>0.59976775791308201</v>
      </c>
      <c r="F228" s="23">
        <f t="shared" si="6"/>
        <v>-0.51121276884183886</v>
      </c>
      <c r="G228" s="23">
        <f>(C228 - D228)/($L$7 - D228)</f>
        <v>0.87565083137552013</v>
      </c>
      <c r="H228" s="23">
        <f t="shared" si="7"/>
        <v>-0.13278786182575969</v>
      </c>
      <c r="I228" s="23"/>
      <c r="J228" s="15"/>
      <c r="K228" s="15"/>
      <c r="L228" s="15"/>
      <c r="M228" s="15"/>
      <c r="N228" s="15"/>
      <c r="O228" s="15"/>
      <c r="P228" s="15"/>
      <c r="Q228" s="15"/>
    </row>
    <row r="229" spans="1:17">
      <c r="A229" s="14">
        <v>127.464</v>
      </c>
      <c r="B229" s="23">
        <v>54.968110000000003</v>
      </c>
      <c r="C229" s="23">
        <v>70.222307000000001</v>
      </c>
      <c r="D229" s="23">
        <v>22.002956999999999</v>
      </c>
      <c r="E229" s="23">
        <f>(B229 - D229)/($L$7 - D229)</f>
        <v>0.59836302865872426</v>
      </c>
      <c r="F229" s="23">
        <f t="shared" si="6"/>
        <v>-0.51355763788910747</v>
      </c>
      <c r="G229" s="23">
        <f>(C229 - D229)/($L$7 - D229)</f>
        <v>0.87524775953428935</v>
      </c>
      <c r="H229" s="23">
        <f t="shared" si="7"/>
        <v>-0.13324827895150737</v>
      </c>
      <c r="I229" s="23"/>
      <c r="J229" s="15"/>
      <c r="K229" s="15"/>
      <c r="L229" s="15"/>
      <c r="M229" s="15"/>
      <c r="N229" s="15"/>
      <c r="O229" s="15"/>
      <c r="P229" s="15"/>
      <c r="Q229" s="15"/>
    </row>
    <row r="230" spans="1:17">
      <c r="A230" s="14">
        <v>128.02799999999999</v>
      </c>
      <c r="B230" s="23">
        <v>54.903703</v>
      </c>
      <c r="C230" s="23">
        <v>70.191672999999994</v>
      </c>
      <c r="D230" s="23">
        <v>22.009018999999999</v>
      </c>
      <c r="E230" s="23">
        <f>(B230 - D230)/($L$7 - D230)</f>
        <v>0.59714962560382889</v>
      </c>
      <c r="F230" s="23">
        <f t="shared" si="6"/>
        <v>-0.515587567839632</v>
      </c>
      <c r="G230" s="23">
        <f>(C230 - D230)/($L$7 - D230)</f>
        <v>0.87467792050225601</v>
      </c>
      <c r="H230" s="23">
        <f t="shared" si="7"/>
        <v>-0.13389955124115469</v>
      </c>
      <c r="I230" s="23"/>
      <c r="J230" s="15"/>
      <c r="K230" s="15"/>
      <c r="L230" s="15"/>
      <c r="M230" s="15"/>
      <c r="N230" s="15"/>
      <c r="O230" s="15"/>
      <c r="P230" s="15"/>
      <c r="Q230" s="15"/>
    </row>
    <row r="231" spans="1:17">
      <c r="A231" s="14">
        <v>128.59200000000001</v>
      </c>
      <c r="B231" s="23">
        <v>54.825231000000002</v>
      </c>
      <c r="C231" s="23">
        <v>70.163267000000005</v>
      </c>
      <c r="D231" s="23">
        <v>22.011496999999999</v>
      </c>
      <c r="E231" s="23">
        <f>(B231 - D231)/($L$7 - D231)</f>
        <v>0.595706906993829</v>
      </c>
      <c r="F231" s="23">
        <f t="shared" si="6"/>
        <v>-0.51800649966260881</v>
      </c>
      <c r="G231" s="23">
        <f>(C231 - D231)/($L$7 - D231)</f>
        <v>0.87415659470446883</v>
      </c>
      <c r="H231" s="23">
        <f t="shared" si="7"/>
        <v>-0.13449574923324173</v>
      </c>
      <c r="I231" s="23"/>
      <c r="J231" s="15"/>
      <c r="K231" s="15"/>
      <c r="L231" s="15"/>
      <c r="M231" s="15"/>
      <c r="N231" s="15"/>
      <c r="O231" s="15"/>
      <c r="P231" s="15"/>
      <c r="Q231" s="15"/>
    </row>
    <row r="232" spans="1:17">
      <c r="A232" s="14">
        <v>129.15600000000001</v>
      </c>
      <c r="B232" s="23">
        <v>54.768005000000002</v>
      </c>
      <c r="C232" s="23">
        <v>70.140709000000001</v>
      </c>
      <c r="D232" s="23">
        <v>22.000816</v>
      </c>
      <c r="E232" s="23">
        <f>(B232 - D232)/($L$7 - D232)</f>
        <v>0.59474659570478805</v>
      </c>
      <c r="F232" s="23">
        <f t="shared" si="6"/>
        <v>-0.51961985372501351</v>
      </c>
      <c r="G232" s="23">
        <f>(C232 - D232)/($L$7 - D232)</f>
        <v>0.87377154870815299</v>
      </c>
      <c r="H232" s="23">
        <f t="shared" si="7"/>
        <v>-0.13493632341129963</v>
      </c>
      <c r="I232" s="23"/>
      <c r="J232" s="15"/>
      <c r="K232" s="15"/>
      <c r="L232" s="15"/>
      <c r="M232" s="15"/>
      <c r="N232" s="15"/>
      <c r="O232" s="15"/>
      <c r="P232" s="15"/>
      <c r="Q232" s="15"/>
    </row>
    <row r="233" spans="1:17">
      <c r="A233" s="14">
        <v>129.72</v>
      </c>
      <c r="B233" s="23">
        <v>54.701183999999998</v>
      </c>
      <c r="C233" s="23">
        <v>70.113973000000001</v>
      </c>
      <c r="D233" s="23">
        <v>22.000239000000001</v>
      </c>
      <c r="E233" s="23">
        <f>(B233 - D233)/($L$7 - D233)</f>
        <v>0.59353800630754761</v>
      </c>
      <c r="F233" s="23">
        <f t="shared" si="6"/>
        <v>-0.52165402939630068</v>
      </c>
      <c r="G233" s="23">
        <f>(C233 - D233)/($L$7 - D233)</f>
        <v>0.87328759931468858</v>
      </c>
      <c r="H233" s="23">
        <f t="shared" si="7"/>
        <v>-0.13549033946323522</v>
      </c>
      <c r="I233" s="23"/>
      <c r="J233" s="15"/>
      <c r="K233" s="15"/>
      <c r="L233" s="15"/>
      <c r="M233" s="15"/>
      <c r="N233" s="15"/>
      <c r="O233" s="15"/>
      <c r="P233" s="15"/>
      <c r="Q233" s="15"/>
    </row>
    <row r="234" spans="1:17">
      <c r="A234" s="14">
        <v>130.28399999999999</v>
      </c>
      <c r="B234" s="23">
        <v>54.634515999999998</v>
      </c>
      <c r="C234" s="23">
        <v>70.090462000000002</v>
      </c>
      <c r="D234" s="23">
        <v>21.997351999999999</v>
      </c>
      <c r="E234" s="23">
        <f>(B234 - D234)/($L$7 - D234)</f>
        <v>0.59234931086401688</v>
      </c>
      <c r="F234" s="23">
        <f t="shared" si="6"/>
        <v>-0.52365876597528127</v>
      </c>
      <c r="G234" s="23">
        <f>(C234 - D234)/($L$7 - D234)</f>
        <v>0.87286752506459697</v>
      </c>
      <c r="H234" s="23">
        <f t="shared" si="7"/>
        <v>-0.13597148143319024</v>
      </c>
      <c r="I234" s="23"/>
      <c r="J234" s="15"/>
      <c r="K234" s="15"/>
      <c r="L234" s="15"/>
      <c r="M234" s="15"/>
      <c r="N234" s="15"/>
      <c r="O234" s="15"/>
      <c r="P234" s="15"/>
      <c r="Q234" s="15"/>
    </row>
    <row r="235" spans="1:17">
      <c r="A235" s="14">
        <v>130.84800000000001</v>
      </c>
      <c r="B235" s="23">
        <v>54.572781999999997</v>
      </c>
      <c r="C235" s="23">
        <v>70.062331999999998</v>
      </c>
      <c r="D235" s="23">
        <v>22.002548000000001</v>
      </c>
      <c r="E235" s="23">
        <f>(B235 - D235)/($L$7 - D235)</f>
        <v>0.59119031475675576</v>
      </c>
      <c r="F235" s="23">
        <f t="shared" si="6"/>
        <v>-0.52561729182882599</v>
      </c>
      <c r="G235" s="23">
        <f>(C235 - D235)/($L$7 - D235)</f>
        <v>0.872344940171498</v>
      </c>
      <c r="H235" s="23">
        <f t="shared" si="7"/>
        <v>-0.13657035970059622</v>
      </c>
      <c r="I235" s="23"/>
      <c r="J235" s="15"/>
      <c r="K235" s="15"/>
      <c r="L235" s="15"/>
      <c r="M235" s="15"/>
      <c r="N235" s="15"/>
      <c r="O235" s="15"/>
      <c r="P235" s="15"/>
      <c r="Q235" s="15"/>
    </row>
    <row r="236" spans="1:17">
      <c r="A236" s="14">
        <v>131.41200000000001</v>
      </c>
      <c r="B236" s="23">
        <v>54.512985</v>
      </c>
      <c r="C236" s="23">
        <v>70.044786000000002</v>
      </c>
      <c r="D236" s="23">
        <v>21.997232</v>
      </c>
      <c r="E236" s="23">
        <f>(B236 - D236)/($L$7 - D236)</f>
        <v>0.59014447251525892</v>
      </c>
      <c r="F236" s="23">
        <f t="shared" si="6"/>
        <v>-0.527387903387881</v>
      </c>
      <c r="G236" s="23">
        <f>(C236 - D236)/($L$7 - D236)</f>
        <v>0.87203880565147673</v>
      </c>
      <c r="H236" s="23">
        <f t="shared" si="7"/>
        <v>-0.13692135416944198</v>
      </c>
      <c r="I236" s="23"/>
      <c r="J236" s="15"/>
      <c r="K236" s="15"/>
      <c r="L236" s="15"/>
      <c r="M236" s="15"/>
      <c r="N236" s="15"/>
      <c r="O236" s="15"/>
      <c r="P236" s="15"/>
      <c r="Q236" s="15"/>
    </row>
    <row r="237" spans="1:17">
      <c r="A237" s="14">
        <v>131.976</v>
      </c>
      <c r="B237" s="23">
        <v>54.445900000000002</v>
      </c>
      <c r="C237" s="23">
        <v>70.012756999999993</v>
      </c>
      <c r="D237" s="23">
        <v>21.984819000000002</v>
      </c>
      <c r="E237" s="23">
        <f>(B237 - D237)/($L$7 - D237)</f>
        <v>0.58901950335406039</v>
      </c>
      <c r="F237" s="23">
        <f t="shared" si="6"/>
        <v>-0.52929598322331162</v>
      </c>
      <c r="G237" s="23">
        <f>(C237 - D237)/($L$7 - D237)</f>
        <v>0.87148644827569366</v>
      </c>
      <c r="H237" s="23">
        <f t="shared" si="7"/>
        <v>-0.13755496402742151</v>
      </c>
      <c r="I237" s="23"/>
      <c r="J237" s="15"/>
      <c r="K237" s="15"/>
      <c r="L237" s="15"/>
      <c r="M237" s="15"/>
      <c r="N237" s="15"/>
      <c r="O237" s="15"/>
      <c r="P237" s="15"/>
      <c r="Q237" s="15"/>
    </row>
    <row r="238" spans="1:17">
      <c r="A238" s="14">
        <v>132.54</v>
      </c>
      <c r="B238" s="23">
        <v>54.381751999999999</v>
      </c>
      <c r="C238" s="23">
        <v>69.984904</v>
      </c>
      <c r="D238" s="23">
        <v>21.990593000000001</v>
      </c>
      <c r="E238" s="23">
        <f>(B238 - D238)/($L$7 - D238)</f>
        <v>0.58781232627922697</v>
      </c>
      <c r="F238" s="23">
        <f t="shared" si="6"/>
        <v>-0.5313475550245631</v>
      </c>
      <c r="G238" s="23">
        <f>(C238 - D238)/($L$7 - D238)</f>
        <v>0.87096752533858657</v>
      </c>
      <c r="H238" s="23">
        <f t="shared" si="7"/>
        <v>-0.13815058716617462</v>
      </c>
      <c r="I238" s="23"/>
      <c r="J238" s="15"/>
      <c r="K238" s="15"/>
      <c r="L238" s="15"/>
      <c r="M238" s="15"/>
      <c r="N238" s="15"/>
      <c r="O238" s="15"/>
      <c r="P238" s="15"/>
      <c r="Q238" s="15"/>
    </row>
    <row r="239" spans="1:17">
      <c r="A239" s="14">
        <v>133.10400000000001</v>
      </c>
      <c r="B239" s="23">
        <v>54.315631000000003</v>
      </c>
      <c r="C239" s="23">
        <v>69.957609000000005</v>
      </c>
      <c r="D239" s="23">
        <v>21.995958000000002</v>
      </c>
      <c r="E239" s="23">
        <f>(B239 - D239)/($L$7 - D239)</f>
        <v>0.58657215669156026</v>
      </c>
      <c r="F239" s="23">
        <f t="shared" si="6"/>
        <v>-0.53345958914396885</v>
      </c>
      <c r="G239" s="23">
        <f>(C239 - D239)/($L$7 - D239)</f>
        <v>0.8704595824827166</v>
      </c>
      <c r="H239" s="23">
        <f t="shared" si="7"/>
        <v>-0.13873395108418604</v>
      </c>
      <c r="I239" s="23"/>
      <c r="J239" s="15"/>
      <c r="K239" s="15"/>
      <c r="L239" s="15"/>
      <c r="M239" s="15"/>
      <c r="N239" s="15"/>
      <c r="O239" s="15"/>
      <c r="P239" s="15"/>
      <c r="Q239" s="15"/>
    </row>
    <row r="240" spans="1:17">
      <c r="A240" s="14">
        <v>133.66800000000001</v>
      </c>
      <c r="B240" s="23">
        <v>54.242190999999998</v>
      </c>
      <c r="C240" s="23">
        <v>69.942729999999997</v>
      </c>
      <c r="D240" s="23">
        <v>22.003174000000001</v>
      </c>
      <c r="E240" s="23">
        <f>(B240 - D240)/($L$7 - D240)</f>
        <v>0.58518496293074207</v>
      </c>
      <c r="F240" s="23">
        <f t="shared" si="6"/>
        <v>-0.53582730577337656</v>
      </c>
      <c r="G240" s="23">
        <f>(C240 - D240)/($L$7 - D240)</f>
        <v>0.87017253971410591</v>
      </c>
      <c r="H240" s="23">
        <f t="shared" si="7"/>
        <v>-0.13906376548615215</v>
      </c>
      <c r="I240" s="23"/>
      <c r="J240" s="15"/>
      <c r="K240" s="15"/>
      <c r="L240" s="15"/>
      <c r="M240" s="15"/>
      <c r="N240" s="15"/>
      <c r="O240" s="15"/>
      <c r="P240" s="15"/>
      <c r="Q240" s="15"/>
    </row>
    <row r="241" spans="1:17">
      <c r="A241" s="14">
        <v>134.232</v>
      </c>
      <c r="B241" s="23">
        <v>54.170436000000002</v>
      </c>
      <c r="C241" s="23">
        <v>69.919889999999995</v>
      </c>
      <c r="D241" s="23">
        <v>22.000288000000001</v>
      </c>
      <c r="E241" s="23">
        <f>(B241 - D241)/($L$7 - D241)</f>
        <v>0.58390430271783056</v>
      </c>
      <c r="F241" s="23">
        <f t="shared" si="6"/>
        <v>-0.53801817479047453</v>
      </c>
      <c r="G241" s="23">
        <f>(C241 - D241)/($L$7 - D241)</f>
        <v>0.8697647829387033</v>
      </c>
      <c r="H241" s="23">
        <f t="shared" si="7"/>
        <v>-0.13953246832683341</v>
      </c>
      <c r="I241" s="23"/>
      <c r="J241" s="15"/>
      <c r="K241" s="15"/>
      <c r="L241" s="15"/>
      <c r="M241" s="15"/>
      <c r="N241" s="15"/>
      <c r="O241" s="15"/>
      <c r="P241" s="15"/>
      <c r="Q241" s="15"/>
    </row>
    <row r="242" spans="1:17">
      <c r="A242" s="14">
        <v>134.79599999999999</v>
      </c>
      <c r="B242" s="23">
        <v>54.100929000000001</v>
      </c>
      <c r="C242" s="23">
        <v>69.892594000000003</v>
      </c>
      <c r="D242" s="23">
        <v>22.002020000000002</v>
      </c>
      <c r="E242" s="23">
        <f>(B242 - D242)/($L$7 - D242)</f>
        <v>0.58262959511166956</v>
      </c>
      <c r="F242" s="23">
        <f t="shared" si="6"/>
        <v>-0.54020363740907917</v>
      </c>
      <c r="G242" s="23">
        <f>(C242 - D242)/($L$7 - D242)</f>
        <v>0.86926523699872327</v>
      </c>
      <c r="H242" s="23">
        <f t="shared" si="7"/>
        <v>-0.14010697934503669</v>
      </c>
      <c r="I242" s="23"/>
      <c r="J242" s="15"/>
      <c r="K242" s="15"/>
      <c r="L242" s="15"/>
      <c r="M242" s="15"/>
      <c r="N242" s="15"/>
      <c r="O242" s="15"/>
      <c r="P242" s="15"/>
      <c r="Q242" s="15"/>
    </row>
    <row r="243" spans="1:17">
      <c r="A243" s="14">
        <v>135.36000000000001</v>
      </c>
      <c r="B243" s="23">
        <v>54.040705000000003</v>
      </c>
      <c r="C243" s="23">
        <v>69.862233000000003</v>
      </c>
      <c r="D243" s="23">
        <v>21.996991999999999</v>
      </c>
      <c r="E243" s="23">
        <f>(B243 - D243)/($L$7 - D243)</f>
        <v>0.58157465197498137</v>
      </c>
      <c r="F243" s="23">
        <f t="shared" si="6"/>
        <v>-0.54201593697432926</v>
      </c>
      <c r="G243" s="23">
        <f>(C243 - D243)/($L$7 - D243)</f>
        <v>0.86872613283840128</v>
      </c>
      <c r="H243" s="23">
        <f t="shared" si="7"/>
        <v>-0.14072735547229304</v>
      </c>
      <c r="I243" s="23"/>
      <c r="J243" s="15"/>
      <c r="K243" s="15"/>
      <c r="L243" s="15"/>
      <c r="M243" s="15"/>
      <c r="N243" s="15"/>
      <c r="O243" s="15"/>
      <c r="P243" s="15"/>
      <c r="Q243" s="15"/>
    </row>
    <row r="244" spans="1:17">
      <c r="A244" s="14">
        <v>135.92400000000001</v>
      </c>
      <c r="B244" s="23">
        <v>53.962902999999997</v>
      </c>
      <c r="C244" s="23">
        <v>69.832984999999994</v>
      </c>
      <c r="D244" s="23">
        <v>21.997281000000001</v>
      </c>
      <c r="E244" s="23">
        <f>(B244 - D244)/($L$7 - D244)</f>
        <v>0.5801603890383854</v>
      </c>
      <c r="F244" s="23">
        <f t="shared" si="6"/>
        <v>-0.54445068084502379</v>
      </c>
      <c r="G244" s="23">
        <f>(C244 - D244)/($L$7 - D244)</f>
        <v>0.86819460739931931</v>
      </c>
      <c r="H244" s="23">
        <f t="shared" si="7"/>
        <v>-0.14133938737836713</v>
      </c>
      <c r="I244" s="23"/>
      <c r="J244" s="15"/>
      <c r="K244" s="15"/>
      <c r="L244" s="15"/>
      <c r="M244" s="15"/>
      <c r="N244" s="15"/>
      <c r="O244" s="15"/>
      <c r="P244" s="15"/>
      <c r="Q244" s="15"/>
    </row>
    <row r="245" spans="1:17">
      <c r="A245" s="14">
        <v>136.488</v>
      </c>
      <c r="B245" s="23">
        <v>53.892541999999999</v>
      </c>
      <c r="C245" s="23">
        <v>69.808076999999997</v>
      </c>
      <c r="D245" s="23">
        <v>21.998146999999999</v>
      </c>
      <c r="E245" s="23">
        <f>(B245 - D245)/($L$7 - D245)</f>
        <v>0.5788767523423537</v>
      </c>
      <c r="F245" s="23">
        <f t="shared" si="6"/>
        <v>-0.54666568703425256</v>
      </c>
      <c r="G245" s="23">
        <f>(C245 - D245)/($L$7 - D245)</f>
        <v>0.86774046060805554</v>
      </c>
      <c r="H245" s="23">
        <f t="shared" si="7"/>
        <v>-0.14186261754981133</v>
      </c>
      <c r="I245" s="23"/>
      <c r="J245" s="15"/>
      <c r="K245" s="15"/>
      <c r="L245" s="15"/>
      <c r="M245" s="15"/>
      <c r="N245" s="15"/>
      <c r="O245" s="15"/>
      <c r="P245" s="15"/>
      <c r="Q245" s="15"/>
    </row>
    <row r="246" spans="1:17">
      <c r="A246" s="14">
        <v>137.05199999999999</v>
      </c>
      <c r="B246" s="23">
        <v>53.825273000000003</v>
      </c>
      <c r="C246" s="23">
        <v>69.786906999999999</v>
      </c>
      <c r="D246" s="23">
        <v>22.000744999999998</v>
      </c>
      <c r="E246" s="23">
        <f>(B246 - D246)/($L$7 - D246)</f>
        <v>0.57763591793226476</v>
      </c>
      <c r="F246" s="23">
        <f t="shared" si="6"/>
        <v>-0.54881150855113725</v>
      </c>
      <c r="G246" s="23">
        <f>(C246 - D246)/($L$7 - D246)</f>
        <v>0.86734997456458451</v>
      </c>
      <c r="H246" s="23">
        <f t="shared" si="7"/>
        <v>-0.14231272210015389</v>
      </c>
      <c r="I246" s="23"/>
      <c r="J246" s="15"/>
      <c r="K246" s="15"/>
      <c r="L246" s="15"/>
      <c r="M246" s="15"/>
      <c r="N246" s="15"/>
      <c r="O246" s="15"/>
      <c r="P246" s="15"/>
      <c r="Q246" s="15"/>
    </row>
    <row r="247" spans="1:17">
      <c r="A247" s="14">
        <v>137.61600000000001</v>
      </c>
      <c r="B247" s="23">
        <v>53.745052000000001</v>
      </c>
      <c r="C247" s="23">
        <v>69.766851000000003</v>
      </c>
      <c r="D247" s="23">
        <v>21.988909</v>
      </c>
      <c r="E247" s="23">
        <f>(B247 - D247)/($L$7 - D247)</f>
        <v>0.57627088471246213</v>
      </c>
      <c r="F247" s="23">
        <f t="shared" si="6"/>
        <v>-0.55117744287689319</v>
      </c>
      <c r="G247" s="23">
        <f>(C247 - D247)/($L$7 - D247)</f>
        <v>0.8670145145171031</v>
      </c>
      <c r="H247" s="23">
        <f t="shared" si="7"/>
        <v>-0.14269956126086844</v>
      </c>
      <c r="I247" s="23"/>
      <c r="J247" s="15"/>
      <c r="K247" s="15"/>
      <c r="L247" s="15"/>
      <c r="M247" s="15"/>
      <c r="N247" s="15"/>
      <c r="O247" s="15"/>
      <c r="P247" s="15"/>
      <c r="Q247" s="15"/>
    </row>
    <row r="248" spans="1:17">
      <c r="A248" s="14">
        <v>138.18</v>
      </c>
      <c r="B248" s="23">
        <v>53.676087000000003</v>
      </c>
      <c r="C248" s="23">
        <v>69.745123000000007</v>
      </c>
      <c r="D248" s="23">
        <v>21.991098999999998</v>
      </c>
      <c r="E248" s="23">
        <f>(B248 - D248)/($L$7 - D248)</f>
        <v>0.57500250389775998</v>
      </c>
      <c r="F248" s="23">
        <f t="shared" si="6"/>
        <v>-0.55338088358946791</v>
      </c>
      <c r="G248" s="23">
        <f>(C248 - D248)/($L$7 - D248)</f>
        <v>0.86661492095858528</v>
      </c>
      <c r="H248" s="23">
        <f t="shared" si="7"/>
        <v>-0.14316055200943026</v>
      </c>
      <c r="I248" s="23"/>
      <c r="J248" s="15"/>
      <c r="K248" s="15"/>
      <c r="L248" s="15"/>
      <c r="M248" s="15"/>
      <c r="N248" s="15"/>
      <c r="O248" s="15"/>
      <c r="P248" s="15"/>
      <c r="Q248" s="15"/>
    </row>
    <row r="249" spans="1:17">
      <c r="A249" s="14">
        <v>138.744</v>
      </c>
      <c r="B249" s="23">
        <v>53.600518000000001</v>
      </c>
      <c r="C249" s="23">
        <v>69.709070999999994</v>
      </c>
      <c r="D249" s="23">
        <v>21.991098999999998</v>
      </c>
      <c r="E249" s="23">
        <f>(B249 - D249)/($L$7 - D249)</f>
        <v>0.57363111741602768</v>
      </c>
      <c r="F249" s="23">
        <f t="shared" si="6"/>
        <v>-0.55576874183757596</v>
      </c>
      <c r="G249" s="23">
        <f>(C249 - D249)/($L$7 - D249)</f>
        <v>0.86596066821686013</v>
      </c>
      <c r="H249" s="23">
        <f t="shared" si="7"/>
        <v>-0.14391578921456069</v>
      </c>
      <c r="I249" s="23"/>
      <c r="J249" s="15"/>
      <c r="K249" s="15"/>
      <c r="L249" s="15"/>
      <c r="M249" s="15"/>
      <c r="N249" s="15"/>
      <c r="O249" s="15"/>
      <c r="P249" s="15"/>
      <c r="Q249" s="15"/>
    </row>
    <row r="250" spans="1:17">
      <c r="A250" s="14">
        <v>139.30799999999999</v>
      </c>
      <c r="B250" s="23">
        <v>53.529575000000001</v>
      </c>
      <c r="C250" s="23">
        <v>69.681330000000003</v>
      </c>
      <c r="D250" s="23">
        <v>21.993120000000001</v>
      </c>
      <c r="E250" s="23">
        <f>(B250 - D250)/($L$7 - D250)</f>
        <v>0.57232799583231608</v>
      </c>
      <c r="F250" s="23">
        <f t="shared" si="6"/>
        <v>-0.55804303265709121</v>
      </c>
      <c r="G250" s="23">
        <f>(C250 - D250)/($L$7 - D250)</f>
        <v>0.8654523044562431</v>
      </c>
      <c r="H250" s="23">
        <f t="shared" si="7"/>
        <v>-0.14450301338724381</v>
      </c>
      <c r="I250" s="23"/>
      <c r="J250" s="15"/>
      <c r="K250" s="15"/>
      <c r="L250" s="15"/>
      <c r="M250" s="15"/>
      <c r="N250" s="15"/>
      <c r="O250" s="15"/>
      <c r="P250" s="15"/>
      <c r="Q250" s="15"/>
    </row>
    <row r="251" spans="1:17">
      <c r="A251" s="14">
        <v>139.87200000000001</v>
      </c>
      <c r="B251" s="23">
        <v>53.462007</v>
      </c>
      <c r="C251" s="23">
        <v>69.663663999999997</v>
      </c>
      <c r="D251" s="23">
        <v>21.994731999999999</v>
      </c>
      <c r="E251" s="23">
        <f>(B251 - D251)/($L$7 - D251)</f>
        <v>0.57108921461881246</v>
      </c>
      <c r="F251" s="23">
        <f t="shared" si="6"/>
        <v>-0.5602098387657608</v>
      </c>
      <c r="G251" s="23">
        <f>(C251 - D251)/($L$7 - D251)</f>
        <v>0.86512775375680206</v>
      </c>
      <c r="H251" s="23">
        <f t="shared" si="7"/>
        <v>-0.14487809075128216</v>
      </c>
      <c r="I251" s="23"/>
      <c r="J251" s="15"/>
      <c r="K251" s="15"/>
      <c r="L251" s="15"/>
      <c r="M251" s="15"/>
      <c r="N251" s="15"/>
      <c r="O251" s="15"/>
      <c r="P251" s="15"/>
      <c r="Q251" s="15"/>
    </row>
    <row r="252" spans="1:17">
      <c r="A252" s="14">
        <v>140.43600000000001</v>
      </c>
      <c r="B252" s="23">
        <v>53.399222999999999</v>
      </c>
      <c r="C252" s="23">
        <v>69.638197000000005</v>
      </c>
      <c r="D252" s="23">
        <v>21.987514999999998</v>
      </c>
      <c r="E252" s="23">
        <f>(B252 - D252)/($L$7 - D252)</f>
        <v>0.5700060886260282</v>
      </c>
      <c r="F252" s="23">
        <f t="shared" si="6"/>
        <v>-0.56210823641054175</v>
      </c>
      <c r="G252" s="23">
        <f>(C252 - D252)/($L$7 - D252)</f>
        <v>0.86468328519998616</v>
      </c>
      <c r="H252" s="23">
        <f t="shared" si="7"/>
        <v>-0.1453919833749128</v>
      </c>
      <c r="I252" s="23"/>
      <c r="J252" s="15"/>
      <c r="K252" s="15"/>
      <c r="L252" s="15"/>
      <c r="M252" s="15"/>
      <c r="N252" s="15"/>
      <c r="O252" s="15"/>
      <c r="P252" s="15"/>
      <c r="Q252" s="15"/>
    </row>
    <row r="253" spans="1:17">
      <c r="A253" s="14">
        <v>141</v>
      </c>
      <c r="B253" s="23">
        <v>53.325454000000001</v>
      </c>
      <c r="C253" s="23">
        <v>69.615746999999999</v>
      </c>
      <c r="D253" s="23">
        <v>21.992591000000001</v>
      </c>
      <c r="E253" s="23">
        <f>(B253 - D253)/($L$7 - D253)</f>
        <v>0.56862772070897938</v>
      </c>
      <c r="F253" s="23">
        <f t="shared" si="6"/>
        <v>-0.56452932838769021</v>
      </c>
      <c r="G253" s="23">
        <f>(C253 - D253)/($L$7 - D253)</f>
        <v>0.86426339812126818</v>
      </c>
      <c r="H253" s="23">
        <f t="shared" si="7"/>
        <v>-0.1458776977014718</v>
      </c>
      <c r="I253" s="23"/>
      <c r="J253" s="15"/>
      <c r="K253" s="15"/>
      <c r="L253" s="15"/>
      <c r="M253" s="15"/>
      <c r="N253" s="15"/>
      <c r="O253" s="15"/>
      <c r="P253" s="15"/>
      <c r="Q253" s="15"/>
    </row>
    <row r="254" spans="1:17">
      <c r="A254" s="14">
        <v>141.56399999999999</v>
      </c>
      <c r="B254" s="23">
        <v>53.261538000000002</v>
      </c>
      <c r="C254" s="23">
        <v>69.587052999999997</v>
      </c>
      <c r="D254" s="23">
        <v>21.992303</v>
      </c>
      <c r="E254" s="23">
        <f>(B254 - D254)/($L$7 - D254)</f>
        <v>0.56747003600519419</v>
      </c>
      <c r="F254" s="23">
        <f t="shared" si="6"/>
        <v>-0.56656733101139511</v>
      </c>
      <c r="G254" s="23">
        <f>(C254 - D254)/($L$7 - D254)</f>
        <v>0.86374337255638689</v>
      </c>
      <c r="H254" s="23">
        <f t="shared" si="7"/>
        <v>-0.14647957680218388</v>
      </c>
      <c r="I254" s="23"/>
      <c r="J254" s="15"/>
      <c r="K254" s="15"/>
      <c r="L254" s="15"/>
      <c r="M254" s="15"/>
      <c r="N254" s="15"/>
      <c r="O254" s="15"/>
      <c r="P254" s="15"/>
      <c r="Q254" s="15"/>
    </row>
    <row r="255" spans="1:17">
      <c r="A255" s="14">
        <v>142.12799999999999</v>
      </c>
      <c r="B255" s="23">
        <v>53.182974999999999</v>
      </c>
      <c r="C255" s="23">
        <v>69.563372000000001</v>
      </c>
      <c r="D255" s="23">
        <v>21.998653000000001</v>
      </c>
      <c r="E255" s="23">
        <f>(B255 - D255)/($L$7 - D255)</f>
        <v>0.56599427045618278</v>
      </c>
      <c r="F255" s="23">
        <f t="shared" si="6"/>
        <v>-0.56917132369912571</v>
      </c>
      <c r="G255" s="23">
        <f>(C255 - D255)/($L$7 - D255)</f>
        <v>0.86329785941340453</v>
      </c>
      <c r="H255" s="23">
        <f t="shared" si="7"/>
        <v>-0.14699550328340225</v>
      </c>
      <c r="I255" s="23"/>
      <c r="J255" s="15"/>
      <c r="K255" s="15"/>
      <c r="L255" s="15"/>
      <c r="M255" s="15"/>
      <c r="N255" s="15"/>
      <c r="O255" s="15"/>
      <c r="P255" s="15"/>
      <c r="Q255" s="15"/>
    </row>
    <row r="256" spans="1:17">
      <c r="A256" s="14">
        <v>142.69200000000001</v>
      </c>
      <c r="B256" s="23">
        <v>53.123713000000002</v>
      </c>
      <c r="C256" s="23">
        <v>69.542640000000006</v>
      </c>
      <c r="D256" s="23">
        <v>21.998365</v>
      </c>
      <c r="E256" s="23">
        <f>(B256 - D256)/($L$7 - D256)</f>
        <v>0.56492094162746709</v>
      </c>
      <c r="F256" s="23">
        <f t="shared" si="6"/>
        <v>-0.57106948394936452</v>
      </c>
      <c r="G256" s="23">
        <f>(C256 - D256)/($L$7 - D256)</f>
        <v>0.86292229092491579</v>
      </c>
      <c r="H256" s="23">
        <f t="shared" si="7"/>
        <v>-0.14743063723122579</v>
      </c>
      <c r="I256" s="23"/>
      <c r="J256" s="15"/>
      <c r="K256" s="15"/>
      <c r="L256" s="15"/>
      <c r="M256" s="15"/>
      <c r="N256" s="15"/>
      <c r="O256" s="15"/>
      <c r="P256" s="15"/>
      <c r="Q256" s="15"/>
    </row>
    <row r="257" spans="1:17">
      <c r="A257" s="14">
        <v>143.256</v>
      </c>
      <c r="B257" s="23">
        <v>53.06035</v>
      </c>
      <c r="C257" s="23">
        <v>69.517566000000002</v>
      </c>
      <c r="D257" s="23">
        <v>21.989705000000001</v>
      </c>
      <c r="E257" s="23">
        <f>(B257 - D257)/($L$7 - D257)</f>
        <v>0.56383946634999882</v>
      </c>
      <c r="F257" s="23">
        <f t="shared" si="6"/>
        <v>-0.57298570213126854</v>
      </c>
      <c r="G257" s="23">
        <f>(C257 - D257)/($L$7 - D257)</f>
        <v>0.86248881486035855</v>
      </c>
      <c r="H257" s="23">
        <f t="shared" si="7"/>
        <v>-0.14793309843855623</v>
      </c>
      <c r="I257" s="23"/>
      <c r="J257" s="15"/>
      <c r="K257" s="15"/>
      <c r="L257" s="15"/>
      <c r="M257" s="15"/>
      <c r="N257" s="15"/>
      <c r="O257" s="15"/>
      <c r="P257" s="15"/>
      <c r="Q257" s="15"/>
    </row>
    <row r="258" spans="1:17">
      <c r="A258" s="14">
        <v>143.82</v>
      </c>
      <c r="B258" s="23">
        <v>52.976424999999999</v>
      </c>
      <c r="C258" s="23">
        <v>69.487755000000007</v>
      </c>
      <c r="D258" s="23">
        <v>21.993048999999999</v>
      </c>
      <c r="E258" s="23">
        <f>(B258 - D258)/($L$7 - D258)</f>
        <v>0.56228991626949065</v>
      </c>
      <c r="F258" s="23">
        <f t="shared" si="6"/>
        <v>-0.57573769685297671</v>
      </c>
      <c r="G258" s="23">
        <f>(C258 - D258)/($L$7 - D258)</f>
        <v>0.86193945617753465</v>
      </c>
      <c r="H258" s="23">
        <f t="shared" si="7"/>
        <v>-0.14857024723811516</v>
      </c>
      <c r="I258" s="23"/>
      <c r="J258" s="15"/>
      <c r="K258" s="15"/>
      <c r="L258" s="15"/>
      <c r="M258" s="15"/>
      <c r="N258" s="15"/>
      <c r="O258" s="15"/>
      <c r="P258" s="15"/>
      <c r="Q258" s="15"/>
    </row>
    <row r="259" spans="1:17">
      <c r="A259" s="14">
        <v>144.38399999999999</v>
      </c>
      <c r="B259" s="23">
        <v>52.913618999999997</v>
      </c>
      <c r="C259" s="23">
        <v>69.466581000000005</v>
      </c>
      <c r="D259" s="23">
        <v>21.999110999999999</v>
      </c>
      <c r="E259" s="23">
        <f>(B259 - D259)/($L$7 - D259)</f>
        <v>0.56110182077398429</v>
      </c>
      <c r="F259" s="23">
        <f t="shared" si="6"/>
        <v>-0.57785289122248384</v>
      </c>
      <c r="G259" s="23">
        <f>(C259 - D259)/($L$7 - D259)</f>
        <v>0.86153995543239703</v>
      </c>
      <c r="H259" s="23">
        <f t="shared" si="7"/>
        <v>-0.14903384517795895</v>
      </c>
      <c r="I259" s="23"/>
      <c r="J259" s="15"/>
      <c r="K259" s="15"/>
      <c r="L259" s="15"/>
      <c r="M259" s="15"/>
      <c r="N259" s="15"/>
      <c r="O259" s="15"/>
      <c r="P259" s="15"/>
      <c r="Q259" s="15"/>
    </row>
    <row r="260" spans="1:17">
      <c r="A260" s="14">
        <v>144.94800000000001</v>
      </c>
      <c r="B260" s="23">
        <v>52.841797999999997</v>
      </c>
      <c r="C260" s="23">
        <v>69.43526</v>
      </c>
      <c r="D260" s="23">
        <v>21.994204</v>
      </c>
      <c r="E260" s="23">
        <f>(B260 - D260)/($L$7 - D260)</f>
        <v>0.55983746351380814</v>
      </c>
      <c r="F260" s="23">
        <f t="shared" ref="F260:F323" si="8">LN(E260)</f>
        <v>-0.5801087811071467</v>
      </c>
      <c r="G260" s="23">
        <f>(C260 - D260)/($L$7 - D260)</f>
        <v>0.86098385687572687</v>
      </c>
      <c r="H260" s="23">
        <f t="shared" ref="H260:H323" si="9">LN(G260)</f>
        <v>-0.14967952400343174</v>
      </c>
      <c r="I260" s="23"/>
      <c r="J260" s="15"/>
      <c r="K260" s="15"/>
      <c r="L260" s="15"/>
      <c r="M260" s="15"/>
      <c r="N260" s="15"/>
      <c r="O260" s="15"/>
      <c r="P260" s="15"/>
      <c r="Q260" s="15"/>
    </row>
    <row r="261" spans="1:17">
      <c r="A261" s="14">
        <v>145.512</v>
      </c>
      <c r="B261" s="23">
        <v>52.776732000000003</v>
      </c>
      <c r="C261" s="23">
        <v>69.405563000000001</v>
      </c>
      <c r="D261" s="23">
        <v>21.988309999999998</v>
      </c>
      <c r="E261" s="23">
        <f>(B261 - D261)/($L$7 - D261)</f>
        <v>0.55870381765063226</v>
      </c>
      <c r="F261" s="23">
        <f t="shared" si="8"/>
        <v>-0.58213578944456368</v>
      </c>
      <c r="G261" s="23">
        <f>(C261 - D261)/($L$7 - D261)</f>
        <v>0.86045982719107506</v>
      </c>
      <c r="H261" s="23">
        <f t="shared" si="9"/>
        <v>-0.15028834984616929</v>
      </c>
      <c r="I261" s="23"/>
      <c r="J261" s="15"/>
      <c r="K261" s="15"/>
      <c r="L261" s="15"/>
      <c r="M261" s="15"/>
      <c r="N261" s="15"/>
      <c r="O261" s="15"/>
      <c r="P261" s="15"/>
      <c r="Q261" s="15"/>
    </row>
    <row r="262" spans="1:17">
      <c r="A262" s="14">
        <v>146.07599999999999</v>
      </c>
      <c r="B262" s="23">
        <v>52.709003000000003</v>
      </c>
      <c r="C262" s="23">
        <v>69.395416999999995</v>
      </c>
      <c r="D262" s="23">
        <v>22.007363000000002</v>
      </c>
      <c r="E262" s="23">
        <f>(B262 - D262)/($L$7 - D262)</f>
        <v>0.55732171518195595</v>
      </c>
      <c r="F262" s="23">
        <f t="shared" si="8"/>
        <v>-0.58461262018826998</v>
      </c>
      <c r="G262" s="23">
        <f>(C262 - D262)/($L$7 - D262)</f>
        <v>0.86022738636812701</v>
      </c>
      <c r="H262" s="23">
        <f t="shared" si="9"/>
        <v>-0.1505585219291955</v>
      </c>
      <c r="I262" s="23"/>
      <c r="J262" s="15"/>
      <c r="K262" s="15"/>
      <c r="L262" s="15"/>
      <c r="M262" s="15"/>
      <c r="N262" s="15"/>
      <c r="O262" s="15"/>
      <c r="P262" s="15"/>
      <c r="Q262" s="15"/>
    </row>
    <row r="263" spans="1:17">
      <c r="A263" s="14">
        <v>146.63999999999999</v>
      </c>
      <c r="B263" s="23">
        <v>52.637734000000002</v>
      </c>
      <c r="C263" s="23">
        <v>69.356014000000002</v>
      </c>
      <c r="D263" s="23">
        <v>22.003609999999998</v>
      </c>
      <c r="E263" s="23">
        <f>(B263 - D263)/($L$7 - D263)</f>
        <v>0.5560582256713803</v>
      </c>
      <c r="F263" s="23">
        <f t="shared" si="8"/>
        <v>-0.58688226778402552</v>
      </c>
      <c r="G263" s="23">
        <f>(C263 - D263)/($L$7 - D263)</f>
        <v>0.85952168077384472</v>
      </c>
      <c r="H263" s="23">
        <f t="shared" si="9"/>
        <v>-0.15137922960960892</v>
      </c>
      <c r="I263" s="23"/>
      <c r="J263" s="15"/>
      <c r="K263" s="15"/>
      <c r="L263" s="15"/>
      <c r="M263" s="15"/>
      <c r="N263" s="15"/>
      <c r="O263" s="15"/>
      <c r="P263" s="15"/>
      <c r="Q263" s="15"/>
    </row>
    <row r="264" spans="1:17">
      <c r="A264" s="14">
        <v>147.20400000000001</v>
      </c>
      <c r="B264" s="23">
        <v>52.571249999999999</v>
      </c>
      <c r="C264" s="23">
        <v>69.342917999999997</v>
      </c>
      <c r="D264" s="23">
        <v>22.011403999999999</v>
      </c>
      <c r="E264" s="23">
        <f>(B264 - D264)/($L$7 - D264)</f>
        <v>0.55478844934794058</v>
      </c>
      <c r="F264" s="23">
        <f t="shared" si="8"/>
        <v>-0.58916841024639999</v>
      </c>
      <c r="G264" s="23">
        <f>(C264 - D264)/($L$7 - D264)</f>
        <v>0.8592640570685578</v>
      </c>
      <c r="H264" s="23">
        <f t="shared" si="9"/>
        <v>-0.15167900369028006</v>
      </c>
      <c r="I264" s="23"/>
      <c r="J264" s="15"/>
      <c r="K264" s="15"/>
      <c r="L264" s="15"/>
      <c r="M264" s="15"/>
      <c r="N264" s="15"/>
      <c r="O264" s="15"/>
      <c r="P264" s="15"/>
      <c r="Q264" s="15"/>
    </row>
    <row r="265" spans="1:17">
      <c r="A265" s="14">
        <v>147.768</v>
      </c>
      <c r="B265" s="23">
        <v>52.490958999999997</v>
      </c>
      <c r="C265" s="23">
        <v>69.308645999999996</v>
      </c>
      <c r="D265" s="23">
        <v>22.011284</v>
      </c>
      <c r="E265" s="23">
        <f>(B265 - D265)/($L$7 - D265)</f>
        <v>0.5533318064504581</v>
      </c>
      <c r="F265" s="23">
        <f t="shared" si="8"/>
        <v>-0.59179744573034798</v>
      </c>
      <c r="G265" s="23">
        <f>(C265 - D265)/($L$7 - D265)</f>
        <v>0.85864218551547056</v>
      </c>
      <c r="H265" s="23">
        <f t="shared" si="9"/>
        <v>-0.15240299148988792</v>
      </c>
      <c r="I265" s="23"/>
      <c r="J265" s="15"/>
      <c r="K265" s="15"/>
      <c r="L265" s="15"/>
      <c r="M265" s="15"/>
      <c r="N265" s="15"/>
      <c r="O265" s="15"/>
      <c r="P265" s="15"/>
      <c r="Q265" s="15"/>
    </row>
    <row r="266" spans="1:17">
      <c r="A266" s="14">
        <v>148.33199999999999</v>
      </c>
      <c r="B266" s="23">
        <v>52.428006000000003</v>
      </c>
      <c r="C266" s="23">
        <v>69.299055999999993</v>
      </c>
      <c r="D266" s="23">
        <v>22.008398</v>
      </c>
      <c r="E266" s="23">
        <f>(B266 - D266)/($L$7 - D266)</f>
        <v>0.55221241071452565</v>
      </c>
      <c r="F266" s="23">
        <f t="shared" si="8"/>
        <v>-0.59382250470328313</v>
      </c>
      <c r="G266" s="23">
        <f>(C266 - D266)/($L$7 - D266)</f>
        <v>0.85847550232916092</v>
      </c>
      <c r="H266" s="23">
        <f t="shared" si="9"/>
        <v>-0.15259713448662379</v>
      </c>
      <c r="I266" s="23"/>
      <c r="J266" s="15"/>
      <c r="K266" s="15"/>
      <c r="L266" s="15"/>
      <c r="M266" s="15"/>
      <c r="N266" s="15"/>
      <c r="O266" s="15"/>
      <c r="P266" s="15"/>
      <c r="Q266" s="15"/>
    </row>
    <row r="267" spans="1:17">
      <c r="A267" s="14">
        <v>148.89599999999999</v>
      </c>
      <c r="B267" s="23">
        <v>52.358539999999998</v>
      </c>
      <c r="C267" s="23">
        <v>69.266013999999998</v>
      </c>
      <c r="D267" s="23">
        <v>22.005800000000001</v>
      </c>
      <c r="E267" s="23">
        <f>(B267 - D267)/($L$7 - D267)</f>
        <v>0.55097255939646883</v>
      </c>
      <c r="F267" s="23">
        <f t="shared" si="8"/>
        <v>-0.59607027252767064</v>
      </c>
      <c r="G267" s="23">
        <f>(C267 - D267)/($L$7 - D267)</f>
        <v>0.85788238772528702</v>
      </c>
      <c r="H267" s="23">
        <f t="shared" si="9"/>
        <v>-0.15328826613337396</v>
      </c>
      <c r="I267" s="23"/>
      <c r="J267" s="15"/>
      <c r="K267" s="15"/>
      <c r="L267" s="15"/>
      <c r="M267" s="15"/>
      <c r="N267" s="15"/>
      <c r="O267" s="15"/>
      <c r="P267" s="15"/>
      <c r="Q267" s="15"/>
    </row>
    <row r="268" spans="1:17">
      <c r="A268" s="14">
        <v>149.46</v>
      </c>
      <c r="B268" s="23">
        <v>52.275573999999999</v>
      </c>
      <c r="C268" s="23">
        <v>69.245394000000005</v>
      </c>
      <c r="D268" s="23">
        <v>21.999738000000001</v>
      </c>
      <c r="E268" s="23">
        <f>(B268 - D268)/($L$7 - D268)</f>
        <v>0.54951610521435457</v>
      </c>
      <c r="F268" s="23">
        <f t="shared" si="8"/>
        <v>-0.5987171967156284</v>
      </c>
      <c r="G268" s="23">
        <f>(C268 - D268)/($L$7 - D268)</f>
        <v>0.85752376493970983</v>
      </c>
      <c r="H268" s="23">
        <f t="shared" si="9"/>
        <v>-0.15370638611066878</v>
      </c>
      <c r="I268" s="23"/>
      <c r="J268" s="15"/>
      <c r="K268" s="15"/>
      <c r="L268" s="15"/>
      <c r="M268" s="15"/>
      <c r="N268" s="15"/>
      <c r="O268" s="15"/>
      <c r="P268" s="15"/>
      <c r="Q268" s="15"/>
    </row>
    <row r="269" spans="1:17">
      <c r="A269" s="14">
        <v>150.024</v>
      </c>
      <c r="B269" s="23">
        <v>52.212173999999997</v>
      </c>
      <c r="C269" s="23">
        <v>69.213628</v>
      </c>
      <c r="D269" s="23">
        <v>22.002047000000001</v>
      </c>
      <c r="E269" s="23">
        <f>(B269 - D269)/($L$7 - D269)</f>
        <v>0.54834644655117581</v>
      </c>
      <c r="F269" s="23">
        <f t="shared" si="8"/>
        <v>-0.60084799005373057</v>
      </c>
      <c r="G269" s="23">
        <f>(C269 - D269)/($L$7 - D269)</f>
        <v>0.85694120641773563</v>
      </c>
      <c r="H269" s="23">
        <f t="shared" si="9"/>
        <v>-0.15438596668434851</v>
      </c>
      <c r="I269" s="23"/>
      <c r="J269" s="15"/>
      <c r="K269" s="15"/>
      <c r="L269" s="15"/>
      <c r="M269" s="15"/>
      <c r="N269" s="15"/>
      <c r="O269" s="15"/>
      <c r="P269" s="15"/>
      <c r="Q269" s="15"/>
    </row>
    <row r="270" spans="1:17">
      <c r="A270" s="14">
        <v>150.58799999999999</v>
      </c>
      <c r="B270" s="23">
        <v>52.144261</v>
      </c>
      <c r="C270" s="23">
        <v>69.184531000000007</v>
      </c>
      <c r="D270" s="23">
        <v>22.009433000000001</v>
      </c>
      <c r="E270" s="23">
        <f>(B270 - D270)/($L$7 - D270)</f>
        <v>0.54705302839374825</v>
      </c>
      <c r="F270" s="23">
        <f t="shared" si="8"/>
        <v>-0.60320953721185455</v>
      </c>
      <c r="G270" s="23">
        <f>(C270 - D270)/($L$7 - D270)</f>
        <v>0.85639381202613329</v>
      </c>
      <c r="H270" s="23">
        <f t="shared" si="9"/>
        <v>-0.15502494785771467</v>
      </c>
      <c r="I270" s="23"/>
      <c r="J270" s="15"/>
      <c r="K270" s="15"/>
      <c r="L270" s="15"/>
      <c r="M270" s="15"/>
      <c r="N270" s="15"/>
      <c r="O270" s="15"/>
      <c r="P270" s="15"/>
      <c r="Q270" s="15"/>
    </row>
    <row r="271" spans="1:17">
      <c r="A271" s="14">
        <v>151.15199999999999</v>
      </c>
      <c r="B271" s="23">
        <v>52.076909999999998</v>
      </c>
      <c r="C271" s="23">
        <v>69.161959999999993</v>
      </c>
      <c r="D271" s="23">
        <v>22.002793</v>
      </c>
      <c r="E271" s="23">
        <f>(B271 - D271)/($L$7 - D271)</f>
        <v>0.54588510976460936</v>
      </c>
      <c r="F271" s="23">
        <f t="shared" si="8"/>
        <v>-0.60534674705551872</v>
      </c>
      <c r="G271" s="23">
        <f>(C271 - D271)/($L$7 - D271)</f>
        <v>0.85600142654903366</v>
      </c>
      <c r="H271" s="23">
        <f t="shared" si="9"/>
        <v>-0.15548323631253869</v>
      </c>
      <c r="I271" s="23"/>
      <c r="J271" s="15"/>
      <c r="K271" s="15"/>
      <c r="L271" s="15"/>
      <c r="M271" s="15"/>
      <c r="N271" s="15"/>
      <c r="O271" s="15"/>
      <c r="P271" s="15"/>
      <c r="Q271" s="15"/>
    </row>
    <row r="272" spans="1:17">
      <c r="A272" s="14">
        <v>151.71600000000001</v>
      </c>
      <c r="B272" s="23">
        <v>52.010837000000002</v>
      </c>
      <c r="C272" s="23">
        <v>69.142173999999997</v>
      </c>
      <c r="D272" s="23">
        <v>21.992978999999998</v>
      </c>
      <c r="E272" s="23">
        <f>(B272 - D272)/($L$7 - D272)</f>
        <v>0.54476689109748366</v>
      </c>
      <c r="F272" s="23">
        <f t="shared" si="8"/>
        <v>-0.60739729857527391</v>
      </c>
      <c r="G272" s="23">
        <f>(C272 - D272)/($L$7 - D272)</f>
        <v>0.85566799529463489</v>
      </c>
      <c r="H272" s="23">
        <f t="shared" si="9"/>
        <v>-0.15587283404018537</v>
      </c>
      <c r="I272" s="23"/>
      <c r="J272" s="15"/>
      <c r="K272" s="15"/>
      <c r="L272" s="15"/>
      <c r="M272" s="15"/>
      <c r="N272" s="15"/>
      <c r="O272" s="15"/>
      <c r="P272" s="15"/>
      <c r="Q272" s="15"/>
    </row>
    <row r="273" spans="1:17">
      <c r="A273" s="14">
        <v>152.28</v>
      </c>
      <c r="B273" s="23">
        <v>51.937278999999997</v>
      </c>
      <c r="C273" s="23">
        <v>69.117536000000001</v>
      </c>
      <c r="D273" s="23">
        <v>21.987086000000001</v>
      </c>
      <c r="E273" s="23">
        <f>(B273 - D273)/($L$7 - D273)</f>
        <v>0.54348077687309126</v>
      </c>
      <c r="F273" s="23">
        <f t="shared" si="8"/>
        <v>-0.60976094218512222</v>
      </c>
      <c r="G273" s="23">
        <f>(C273 - D273)/($L$7 - D273)</f>
        <v>0.85523634456640674</v>
      </c>
      <c r="H273" s="23">
        <f t="shared" si="9"/>
        <v>-0.1563774218506549</v>
      </c>
      <c r="I273" s="23"/>
      <c r="J273" s="15"/>
      <c r="K273" s="15"/>
      <c r="L273" s="15"/>
      <c r="M273" s="15"/>
      <c r="N273" s="15"/>
      <c r="O273" s="15"/>
      <c r="P273" s="15"/>
      <c r="Q273" s="15"/>
    </row>
    <row r="274" spans="1:17">
      <c r="A274" s="14">
        <v>152.84399999999999</v>
      </c>
      <c r="B274" s="23">
        <v>51.875554000000001</v>
      </c>
      <c r="C274" s="23">
        <v>69.097192000000007</v>
      </c>
      <c r="D274" s="23">
        <v>21.984776</v>
      </c>
      <c r="E274" s="23">
        <f>(B274 - D274)/($L$7 - D274)</f>
        <v>0.54237988793768732</v>
      </c>
      <c r="F274" s="23">
        <f t="shared" si="8"/>
        <v>-0.61178862280432356</v>
      </c>
      <c r="G274" s="23">
        <f>(C274 - D274)/($L$7 - D274)</f>
        <v>0.8548732626013853</v>
      </c>
      <c r="H274" s="23">
        <f t="shared" si="9"/>
        <v>-0.1568020519082316</v>
      </c>
      <c r="I274" s="23"/>
      <c r="J274" s="15"/>
      <c r="K274" s="15"/>
      <c r="L274" s="15"/>
      <c r="M274" s="15"/>
      <c r="N274" s="15"/>
      <c r="O274" s="15"/>
      <c r="P274" s="15"/>
      <c r="Q274" s="15"/>
    </row>
    <row r="275" spans="1:17">
      <c r="A275" s="14">
        <v>153.40799999999999</v>
      </c>
      <c r="B275" s="23">
        <v>51.803116000000003</v>
      </c>
      <c r="C275" s="23">
        <v>69.069603000000001</v>
      </c>
      <c r="D275" s="23">
        <v>21.987663000000001</v>
      </c>
      <c r="E275" s="23">
        <f>(B275 - D275)/($L$7 - D275)</f>
        <v>0.54104142913482067</v>
      </c>
      <c r="F275" s="23">
        <f t="shared" si="8"/>
        <v>-0.61425942426023084</v>
      </c>
      <c r="G275" s="23">
        <f>(C275 - D275)/($L$7 - D275)</f>
        <v>0.85436502018063853</v>
      </c>
      <c r="H275" s="23">
        <f t="shared" si="9"/>
        <v>-0.15739675241411852</v>
      </c>
      <c r="I275" s="23"/>
      <c r="J275" s="15"/>
      <c r="K275" s="15"/>
      <c r="L275" s="15"/>
      <c r="M275" s="15"/>
      <c r="N275" s="15"/>
      <c r="O275" s="15"/>
      <c r="P275" s="15"/>
      <c r="Q275" s="15"/>
    </row>
    <row r="276" spans="1:17">
      <c r="A276" s="14">
        <v>153.97200000000001</v>
      </c>
      <c r="B276" s="23">
        <v>51.732365000000001</v>
      </c>
      <c r="C276" s="23">
        <v>69.038391000000004</v>
      </c>
      <c r="D276" s="23">
        <v>21.978306</v>
      </c>
      <c r="E276" s="23">
        <f>(B276 - D276)/($L$7 - D276)</f>
        <v>0.5398356909897658</v>
      </c>
      <c r="F276" s="23">
        <f t="shared" si="8"/>
        <v>-0.61649046167001298</v>
      </c>
      <c r="G276" s="23">
        <f>(C276 - D276)/($L$7 - D276)</f>
        <v>0.85382345662526626</v>
      </c>
      <c r="H276" s="23">
        <f t="shared" si="9"/>
        <v>-0.15803083182733393</v>
      </c>
      <c r="I276" s="23"/>
      <c r="J276" s="15"/>
      <c r="K276" s="15"/>
      <c r="L276" s="15"/>
      <c r="M276" s="15"/>
      <c r="N276" s="15"/>
      <c r="O276" s="15"/>
      <c r="P276" s="15"/>
      <c r="Q276" s="15"/>
    </row>
    <row r="277" spans="1:17">
      <c r="A277" s="14">
        <v>154.536</v>
      </c>
      <c r="B277" s="23">
        <v>51.671194999999997</v>
      </c>
      <c r="C277" s="23">
        <v>69.019718999999995</v>
      </c>
      <c r="D277" s="23">
        <v>21.969068</v>
      </c>
      <c r="E277" s="23">
        <f>(B277 - D277)/($L$7 - D277)</f>
        <v>0.53880316767453129</v>
      </c>
      <c r="F277" s="23">
        <f t="shared" si="8"/>
        <v>-0.61840495533453288</v>
      </c>
      <c r="G277" s="23">
        <f>(C277 - D277)/($L$7 - D277)</f>
        <v>0.85350923857907057</v>
      </c>
      <c r="H277" s="23">
        <f t="shared" si="9"/>
        <v>-0.15839891246050625</v>
      </c>
      <c r="I277" s="23"/>
      <c r="J277" s="15"/>
      <c r="K277" s="15"/>
      <c r="L277" s="15"/>
      <c r="M277" s="15"/>
      <c r="N277" s="15"/>
      <c r="O277" s="15"/>
      <c r="P277" s="15"/>
      <c r="Q277" s="15"/>
    </row>
    <row r="278" spans="1:17">
      <c r="A278" s="14">
        <v>155.1</v>
      </c>
      <c r="B278" s="23">
        <v>51.601002000000001</v>
      </c>
      <c r="C278" s="23">
        <v>68.990618999999995</v>
      </c>
      <c r="D278" s="23">
        <v>21.977150999999999</v>
      </c>
      <c r="E278" s="23">
        <f>(B278 - D278)/($L$7 - D278)</f>
        <v>0.53746203034995721</v>
      </c>
      <c r="F278" s="23">
        <f t="shared" si="8"/>
        <v>-0.62089716268490891</v>
      </c>
      <c r="G278" s="23">
        <f>(C278 - D278)/($L$7 - D278)</f>
        <v>0.85295979800440991</v>
      </c>
      <c r="H278" s="23">
        <f t="shared" si="9"/>
        <v>-0.15904286272490387</v>
      </c>
      <c r="I278" s="23"/>
      <c r="J278" s="15"/>
      <c r="K278" s="15"/>
      <c r="L278" s="15"/>
      <c r="M278" s="15"/>
      <c r="N278" s="15"/>
      <c r="O278" s="15"/>
      <c r="P278" s="15"/>
      <c r="Q278" s="15"/>
    </row>
    <row r="279" spans="1:17">
      <c r="A279" s="14">
        <v>155.66399999999999</v>
      </c>
      <c r="B279" s="23">
        <v>51.541235999999998</v>
      </c>
      <c r="C279" s="23">
        <v>68.961913999999993</v>
      </c>
      <c r="D279" s="23">
        <v>21.972821</v>
      </c>
      <c r="E279" s="23">
        <f>(B279 - D279)/($L$7 - D279)</f>
        <v>0.536414121563906</v>
      </c>
      <c r="F279" s="23">
        <f t="shared" si="8"/>
        <v>-0.62284880136651666</v>
      </c>
      <c r="G279" s="23">
        <f>(C279 - D279)/($L$7 - D279)</f>
        <v>0.85245059786531285</v>
      </c>
      <c r="H279" s="23">
        <f t="shared" si="9"/>
        <v>-0.15964002122172308</v>
      </c>
      <c r="I279" s="23"/>
      <c r="J279" s="15"/>
      <c r="K279" s="15"/>
      <c r="L279" s="15"/>
      <c r="M279" s="15"/>
      <c r="N279" s="15"/>
      <c r="O279" s="15"/>
      <c r="P279" s="15"/>
      <c r="Q279" s="15"/>
    </row>
    <row r="280" spans="1:17">
      <c r="A280" s="14">
        <v>156.22800000000001</v>
      </c>
      <c r="B280" s="23">
        <v>51.476266000000003</v>
      </c>
      <c r="C280" s="23">
        <v>68.948141000000007</v>
      </c>
      <c r="D280" s="23">
        <v>21.974433999999999</v>
      </c>
      <c r="E280" s="23">
        <f>(B280 - D280)/($L$7 - D280)</f>
        <v>0.53522187070307037</v>
      </c>
      <c r="F280" s="23">
        <f t="shared" si="8"/>
        <v>-0.62507390646069239</v>
      </c>
      <c r="G280" s="23">
        <f>(C280 - D280)/($L$7 - D280)</f>
        <v>0.85219641052792616</v>
      </c>
      <c r="H280" s="23">
        <f t="shared" si="9"/>
        <v>-0.15993824993185379</v>
      </c>
      <c r="I280" s="23"/>
      <c r="J280" s="15"/>
      <c r="K280" s="15"/>
      <c r="L280" s="15"/>
      <c r="M280" s="15"/>
      <c r="N280" s="15"/>
      <c r="O280" s="15"/>
      <c r="P280" s="15"/>
      <c r="Q280" s="15"/>
    </row>
    <row r="281" spans="1:17">
      <c r="A281" s="14">
        <v>156.792</v>
      </c>
      <c r="B281" s="23">
        <v>51.410856000000003</v>
      </c>
      <c r="C281" s="23">
        <v>68.921943999999996</v>
      </c>
      <c r="D281" s="23">
        <v>21.980785000000001</v>
      </c>
      <c r="E281" s="23">
        <f>(B281 - D281)/($L$7 - D281)</f>
        <v>0.53398150875303896</v>
      </c>
      <c r="F281" s="23">
        <f t="shared" si="8"/>
        <v>-0.62739406842479628</v>
      </c>
      <c r="G281" s="23">
        <f>(C281 - D281)/($L$7 - D281)</f>
        <v>0.85170405825511919</v>
      </c>
      <c r="H281" s="23">
        <f t="shared" si="9"/>
        <v>-0.16051616195844265</v>
      </c>
      <c r="I281" s="23"/>
      <c r="J281" s="15"/>
      <c r="K281" s="15"/>
      <c r="L281" s="15"/>
      <c r="M281" s="15"/>
      <c r="N281" s="15"/>
      <c r="O281" s="15"/>
      <c r="P281" s="15"/>
      <c r="Q281" s="15"/>
    </row>
    <row r="282" spans="1:17">
      <c r="A282" s="14">
        <v>157.35599999999999</v>
      </c>
      <c r="B282" s="23">
        <v>51.354621000000002</v>
      </c>
      <c r="C282" s="23">
        <v>68.898532000000003</v>
      </c>
      <c r="D282" s="23">
        <v>21.970103999999999</v>
      </c>
      <c r="E282" s="23">
        <f>(B282 - D282)/($L$7 - D282)</f>
        <v>0.53305166965556627</v>
      </c>
      <c r="F282" s="23">
        <f t="shared" si="8"/>
        <v>-0.62913691832235419</v>
      </c>
      <c r="G282" s="23">
        <f>(C282 - D282)/($L$7 - D282)</f>
        <v>0.85130808512901635</v>
      </c>
      <c r="H282" s="23">
        <f t="shared" si="9"/>
        <v>-0.16098118874615744</v>
      </c>
      <c r="I282" s="23"/>
      <c r="J282" s="15"/>
      <c r="K282" s="15"/>
      <c r="L282" s="15"/>
      <c r="M282" s="15"/>
      <c r="N282" s="15"/>
      <c r="O282" s="15"/>
      <c r="P282" s="15"/>
      <c r="Q282" s="15"/>
    </row>
    <row r="283" spans="1:17">
      <c r="A283" s="14">
        <v>157.91999999999999</v>
      </c>
      <c r="B283" s="23">
        <v>51.284820000000003</v>
      </c>
      <c r="C283" s="23">
        <v>68.867594999999994</v>
      </c>
      <c r="D283" s="23">
        <v>21.96866</v>
      </c>
      <c r="E283" s="23">
        <f>(B283 - D283)/($L$7 - D283)</f>
        <v>0.53179770479278898</v>
      </c>
      <c r="F283" s="23">
        <f t="shared" si="8"/>
        <v>-0.63149211610432709</v>
      </c>
      <c r="G283" s="23">
        <f>(C283 - D283)/($L$7 - D283)</f>
        <v>0.85075078012352889</v>
      </c>
      <c r="H283" s="23">
        <f t="shared" si="9"/>
        <v>-0.16163604861825834</v>
      </c>
      <c r="I283" s="23"/>
      <c r="J283" s="15"/>
      <c r="K283" s="15"/>
      <c r="L283" s="15"/>
      <c r="M283" s="15"/>
      <c r="N283" s="15"/>
      <c r="O283" s="15"/>
      <c r="P283" s="15"/>
      <c r="Q283" s="15"/>
    </row>
    <row r="284" spans="1:17">
      <c r="A284" s="14">
        <v>158.48400000000001</v>
      </c>
      <c r="B284" s="23">
        <v>51.217300999999999</v>
      </c>
      <c r="C284" s="23">
        <v>68.842951999999997</v>
      </c>
      <c r="D284" s="23">
        <v>21.968540999999998</v>
      </c>
      <c r="E284" s="23">
        <f>(B284 - D284)/($L$7 - D284)</f>
        <v>0.53057391756744865</v>
      </c>
      <c r="F284" s="23">
        <f t="shared" si="8"/>
        <v>-0.63379599497475247</v>
      </c>
      <c r="G284" s="23">
        <f>(C284 - D284)/($L$7 - D284)</f>
        <v>0.85030407709375377</v>
      </c>
      <c r="H284" s="23">
        <f t="shared" si="9"/>
        <v>-0.1621612557133125</v>
      </c>
      <c r="I284" s="23"/>
      <c r="J284" s="15"/>
      <c r="K284" s="15"/>
      <c r="L284" s="15"/>
      <c r="M284" s="15"/>
      <c r="N284" s="15"/>
      <c r="O284" s="15"/>
      <c r="P284" s="15"/>
      <c r="Q284" s="15"/>
    </row>
    <row r="285" spans="1:17">
      <c r="A285" s="14">
        <v>159.048</v>
      </c>
      <c r="B285" s="23">
        <v>51.153697000000001</v>
      </c>
      <c r="C285" s="23">
        <v>68.829015999999996</v>
      </c>
      <c r="D285" s="23">
        <v>21.962768000000001</v>
      </c>
      <c r="E285" s="23">
        <f>(B285 - D285)/($L$7 - D285)</f>
        <v>0.52946941307743844</v>
      </c>
      <c r="F285" s="23">
        <f t="shared" si="8"/>
        <v>-0.6358798812797366</v>
      </c>
      <c r="G285" s="23">
        <f>(C285 - D285)/($L$7 - D285)</f>
        <v>0.85006697874198078</v>
      </c>
      <c r="H285" s="23">
        <f t="shared" si="9"/>
        <v>-0.16244013408223781</v>
      </c>
      <c r="I285" s="23"/>
      <c r="J285" s="15"/>
      <c r="K285" s="15"/>
      <c r="L285" s="15"/>
      <c r="M285" s="15"/>
      <c r="N285" s="15"/>
      <c r="O285" s="15"/>
      <c r="P285" s="15"/>
      <c r="Q285" s="15"/>
    </row>
    <row r="286" spans="1:17">
      <c r="A286" s="14">
        <v>159.61199999999999</v>
      </c>
      <c r="B286" s="23">
        <v>51.093066</v>
      </c>
      <c r="C286" s="23">
        <v>68.796126999999998</v>
      </c>
      <c r="D286" s="23">
        <v>21.957283</v>
      </c>
      <c r="E286" s="23">
        <f>(B286 - D286)/($L$7 - D286)</f>
        <v>0.52841659574902589</v>
      </c>
      <c r="F286" s="23">
        <f t="shared" si="8"/>
        <v>-0.63787029927791938</v>
      </c>
      <c r="G286" s="23">
        <f>(C286 - D286)/($L$7 - D286)</f>
        <v>0.84948540752447543</v>
      </c>
      <c r="H286" s="23">
        <f t="shared" si="9"/>
        <v>-0.16312451574049613</v>
      </c>
      <c r="I286" s="23"/>
      <c r="J286" s="15"/>
      <c r="K286" s="15"/>
      <c r="L286" s="15"/>
      <c r="M286" s="15"/>
      <c r="N286" s="15"/>
      <c r="O286" s="15"/>
      <c r="P286" s="15"/>
      <c r="Q286" s="15"/>
    </row>
    <row r="287" spans="1:17">
      <c r="A287" s="14">
        <v>160.17599999999999</v>
      </c>
      <c r="B287" s="23">
        <v>51.028357</v>
      </c>
      <c r="C287" s="23">
        <v>68.772713999999993</v>
      </c>
      <c r="D287" s="23">
        <v>21.959472999999999</v>
      </c>
      <c r="E287" s="23">
        <f>(B287 - D287)/($L$7 - D287)</f>
        <v>0.5272242330483693</v>
      </c>
      <c r="F287" s="23">
        <f t="shared" si="8"/>
        <v>-0.64012933128047955</v>
      </c>
      <c r="G287" s="23">
        <f>(C287 - D287)/($L$7 - D287)</f>
        <v>0.84905478596059858</v>
      </c>
      <c r="H287" s="23">
        <f t="shared" si="9"/>
        <v>-0.16363156476383342</v>
      </c>
      <c r="I287" s="23"/>
      <c r="J287" s="15"/>
      <c r="K287" s="15"/>
      <c r="L287" s="15"/>
      <c r="M287" s="15"/>
      <c r="N287" s="15"/>
      <c r="O287" s="15"/>
      <c r="P287" s="15"/>
      <c r="Q287" s="15"/>
    </row>
    <row r="288" spans="1:17">
      <c r="A288" s="14">
        <v>160.74</v>
      </c>
      <c r="B288" s="23">
        <v>50.954621000000003</v>
      </c>
      <c r="C288" s="23">
        <v>68.748463999999998</v>
      </c>
      <c r="D288" s="23">
        <v>21.959184</v>
      </c>
      <c r="E288" s="23">
        <f>(B288 - D288)/($L$7 - D288)</f>
        <v>0.525889363541448</v>
      </c>
      <c r="F288" s="23">
        <f t="shared" si="8"/>
        <v>-0.64266442384056732</v>
      </c>
      <c r="G288" s="23">
        <f>(C288 - D288)/($L$7 - D288)</f>
        <v>0.84861575563639891</v>
      </c>
      <c r="H288" s="23">
        <f t="shared" si="9"/>
        <v>-0.16414877976312747</v>
      </c>
      <c r="I288" s="23"/>
      <c r="J288" s="15"/>
      <c r="K288" s="15"/>
      <c r="L288" s="15"/>
      <c r="M288" s="15"/>
      <c r="N288" s="15"/>
      <c r="O288" s="15"/>
      <c r="P288" s="15"/>
      <c r="Q288" s="15"/>
    </row>
    <row r="289" spans="1:17">
      <c r="A289" s="14">
        <v>161.304</v>
      </c>
      <c r="B289" s="23">
        <v>50.895955999999998</v>
      </c>
      <c r="C289" s="23">
        <v>68.723377999999997</v>
      </c>
      <c r="D289" s="23">
        <v>21.948214</v>
      </c>
      <c r="E289" s="23">
        <f>(B289 - D289)/($L$7 - D289)</f>
        <v>0.52491988136719459</v>
      </c>
      <c r="F289" s="23">
        <f t="shared" si="8"/>
        <v>-0.64450963495576341</v>
      </c>
      <c r="G289" s="23">
        <f>(C289 - D289)/($L$7 - D289)</f>
        <v>0.84819097592520576</v>
      </c>
      <c r="H289" s="23">
        <f t="shared" si="9"/>
        <v>-0.16464946108665796</v>
      </c>
      <c r="I289" s="23"/>
      <c r="J289" s="15"/>
      <c r="K289" s="15"/>
      <c r="L289" s="15"/>
      <c r="M289" s="15"/>
      <c r="N289" s="15"/>
      <c r="O289" s="15"/>
      <c r="P289" s="15"/>
      <c r="Q289" s="15"/>
    </row>
    <row r="290" spans="1:17">
      <c r="A290" s="14">
        <v>161.86799999999999</v>
      </c>
      <c r="B290" s="23">
        <v>50.826695999999998</v>
      </c>
      <c r="C290" s="23">
        <v>68.691322999999997</v>
      </c>
      <c r="D290" s="23">
        <v>21.950811999999999</v>
      </c>
      <c r="E290" s="23">
        <f>(B290 - D290)/($L$7 - D290)</f>
        <v>0.52364152324949775</v>
      </c>
      <c r="F290" s="23">
        <f t="shared" si="8"/>
        <v>-0.64694794471125505</v>
      </c>
      <c r="G290" s="23">
        <f>(C290 - D290)/($L$7 - D290)</f>
        <v>0.84760253149305853</v>
      </c>
      <c r="H290" s="23">
        <f t="shared" si="9"/>
        <v>-0.16534346593240293</v>
      </c>
      <c r="I290" s="23"/>
      <c r="J290" s="15"/>
      <c r="K290" s="15"/>
      <c r="L290" s="15"/>
      <c r="M290" s="15"/>
      <c r="N290" s="15"/>
      <c r="O290" s="15"/>
      <c r="P290" s="15"/>
      <c r="Q290" s="15"/>
    </row>
    <row r="291" spans="1:17">
      <c r="A291" s="14">
        <v>162.43199999999999</v>
      </c>
      <c r="B291" s="23">
        <v>50.769872999999997</v>
      </c>
      <c r="C291" s="23">
        <v>68.677826999999994</v>
      </c>
      <c r="D291" s="23">
        <v>21.953579999999999</v>
      </c>
      <c r="E291" s="23">
        <f>(B291 - D291)/($L$7 - D291)</f>
        <v>0.52258711869944452</v>
      </c>
      <c r="F291" s="23">
        <f t="shared" si="8"/>
        <v>-0.64896357468879451</v>
      </c>
      <c r="G291" s="23">
        <f>(C291 - D291)/($L$7 - D291)</f>
        <v>0.84735012977315161</v>
      </c>
      <c r="H291" s="23">
        <f t="shared" si="9"/>
        <v>-0.16564129339099881</v>
      </c>
      <c r="I291" s="23"/>
      <c r="J291" s="15"/>
      <c r="K291" s="15"/>
      <c r="L291" s="15"/>
      <c r="M291" s="15"/>
      <c r="N291" s="15"/>
      <c r="O291" s="15"/>
      <c r="P291" s="15"/>
      <c r="Q291" s="15"/>
    </row>
    <row r="292" spans="1:17">
      <c r="A292" s="14">
        <v>162.99600000000001</v>
      </c>
      <c r="B292" s="23">
        <v>50.703865999999998</v>
      </c>
      <c r="C292" s="23">
        <v>68.645608999999993</v>
      </c>
      <c r="D292" s="23">
        <v>21.954277000000001</v>
      </c>
      <c r="E292" s="23">
        <f>(B292 - D292)/($L$7 - D292)</f>
        <v>0.52138402361121761</v>
      </c>
      <c r="F292" s="23">
        <f t="shared" si="8"/>
        <v>-0.65126841928088741</v>
      </c>
      <c r="G292" s="23">
        <f>(C292 - D292)/($L$7 - D292)</f>
        <v>0.84676391533552686</v>
      </c>
      <c r="H292" s="23">
        <f t="shared" si="9"/>
        <v>-0.1663333536011298</v>
      </c>
      <c r="I292" s="23"/>
      <c r="J292" s="15"/>
      <c r="K292" s="15"/>
      <c r="L292" s="15"/>
      <c r="M292" s="15"/>
      <c r="N292" s="15"/>
      <c r="O292" s="15"/>
      <c r="P292" s="15"/>
      <c r="Q292" s="15"/>
    </row>
    <row r="293" spans="1:17">
      <c r="A293" s="14">
        <v>163.56</v>
      </c>
      <c r="B293" s="23">
        <v>50.642651000000001</v>
      </c>
      <c r="C293" s="23">
        <v>68.628489000000002</v>
      </c>
      <c r="D293" s="23">
        <v>21.949826999999999</v>
      </c>
      <c r="E293" s="23">
        <f>(B293 - D293)/($L$7 - D293)</f>
        <v>0.52031257970412348</v>
      </c>
      <c r="F293" s="23">
        <f t="shared" si="8"/>
        <v>-0.65332553318818332</v>
      </c>
      <c r="G293" s="23">
        <f>(C293 - D293)/($L$7 - D293)</f>
        <v>0.84646582861125275</v>
      </c>
      <c r="H293" s="23">
        <f t="shared" si="9"/>
        <v>-0.16668544607814803</v>
      </c>
      <c r="I293" s="23"/>
      <c r="J293" s="15"/>
      <c r="K293" s="15"/>
      <c r="L293" s="15"/>
      <c r="M293" s="15"/>
      <c r="N293" s="15"/>
      <c r="O293" s="15"/>
      <c r="P293" s="15"/>
      <c r="Q293" s="15"/>
    </row>
    <row r="294" spans="1:17">
      <c r="A294" s="14">
        <v>164.124</v>
      </c>
      <c r="B294" s="23">
        <v>50.581560000000003</v>
      </c>
      <c r="C294" s="23">
        <v>68.593086999999997</v>
      </c>
      <c r="D294" s="23">
        <v>21.950693000000001</v>
      </c>
      <c r="E294" s="23">
        <f>(B294 - D294)/($L$7 - D294)</f>
        <v>0.51919721158738374</v>
      </c>
      <c r="F294" s="23">
        <f t="shared" si="8"/>
        <v>-0.65547148420108581</v>
      </c>
      <c r="G294" s="23">
        <f>(C294 - D294)/($L$7 - D294)</f>
        <v>0.84582143134401466</v>
      </c>
      <c r="H294" s="23">
        <f t="shared" si="9"/>
        <v>-0.16744701571662698</v>
      </c>
      <c r="I294" s="23"/>
      <c r="J294" s="15"/>
      <c r="K294" s="15"/>
      <c r="L294" s="15"/>
      <c r="M294" s="15"/>
      <c r="N294" s="15"/>
      <c r="O294" s="15"/>
      <c r="P294" s="15"/>
      <c r="Q294" s="15"/>
    </row>
    <row r="295" spans="1:17">
      <c r="A295" s="14">
        <v>164.68799999999999</v>
      </c>
      <c r="B295" s="23">
        <v>50.519367000000003</v>
      </c>
      <c r="C295" s="23">
        <v>68.577196999999998</v>
      </c>
      <c r="D295" s="23">
        <v>21.952883</v>
      </c>
      <c r="E295" s="23">
        <f>(B295 - D295)/($L$7 - D295)</f>
        <v>0.51805025263453364</v>
      </c>
      <c r="F295" s="23">
        <f t="shared" si="8"/>
        <v>-0.65768302862011219</v>
      </c>
      <c r="G295" s="23">
        <f>(C295 - D295)/($L$7 - D295)</f>
        <v>0.84552714455905109</v>
      </c>
      <c r="H295" s="23">
        <f t="shared" si="9"/>
        <v>-0.16779500641721479</v>
      </c>
      <c r="I295" s="23"/>
      <c r="J295" s="15"/>
      <c r="K295" s="15"/>
      <c r="L295" s="15"/>
      <c r="M295" s="15"/>
      <c r="N295" s="15"/>
      <c r="O295" s="15"/>
      <c r="P295" s="15"/>
      <c r="Q295" s="15"/>
    </row>
    <row r="296" spans="1:17">
      <c r="A296" s="14">
        <v>165.25200000000001</v>
      </c>
      <c r="B296" s="23">
        <v>50.444884000000002</v>
      </c>
      <c r="C296" s="23">
        <v>68.553944000000001</v>
      </c>
      <c r="D296" s="23">
        <v>21.951150999999999</v>
      </c>
      <c r="E296" s="23">
        <f>(B296 - D296)/($L$7 - D296)</f>
        <v>0.51671469089993149</v>
      </c>
      <c r="F296" s="23">
        <f t="shared" si="8"/>
        <v>-0.66026441192765029</v>
      </c>
      <c r="G296" s="23">
        <f>(C296 - D296)/($L$7 - D296)</f>
        <v>0.84511031882233512</v>
      </c>
      <c r="H296" s="23">
        <f t="shared" si="9"/>
        <v>-0.16828810532717045</v>
      </c>
      <c r="I296" s="23"/>
      <c r="J296" s="15"/>
      <c r="K296" s="15"/>
      <c r="L296" s="15"/>
      <c r="M296" s="15"/>
      <c r="N296" s="15"/>
      <c r="O296" s="15"/>
      <c r="P296" s="15"/>
      <c r="Q296" s="15"/>
    </row>
    <row r="297" spans="1:17">
      <c r="A297" s="14">
        <v>165.816</v>
      </c>
      <c r="B297" s="23">
        <v>50.393814999999996</v>
      </c>
      <c r="C297" s="23">
        <v>68.531920999999997</v>
      </c>
      <c r="D297" s="23">
        <v>21.942202000000002</v>
      </c>
      <c r="E297" s="23">
        <f>(B297 - D297)/($L$7 - D297)</f>
        <v>0.51586715598198629</v>
      </c>
      <c r="F297" s="23">
        <f t="shared" si="8"/>
        <v>-0.66190599629373725</v>
      </c>
      <c r="G297" s="23">
        <f>(C297 - D297)/($L$7 - D297)</f>
        <v>0.84473614337893299</v>
      </c>
      <c r="H297" s="23">
        <f t="shared" si="9"/>
        <v>-0.16873095674342267</v>
      </c>
      <c r="I297" s="23"/>
      <c r="J297" s="15"/>
      <c r="K297" s="15"/>
      <c r="L297" s="15"/>
      <c r="M297" s="15"/>
      <c r="N297" s="15"/>
      <c r="O297" s="15"/>
      <c r="P297" s="15"/>
      <c r="Q297" s="15"/>
    </row>
    <row r="298" spans="1:17">
      <c r="A298" s="14">
        <v>166.38</v>
      </c>
      <c r="B298" s="23">
        <v>50.331049999999998</v>
      </c>
      <c r="C298" s="23">
        <v>68.508619999999993</v>
      </c>
      <c r="D298" s="23">
        <v>21.947686999999998</v>
      </c>
      <c r="E298" s="23">
        <f>(B298 - D298)/($L$7 - D298)</f>
        <v>0.5146808742858856</v>
      </c>
      <c r="F298" s="23">
        <f t="shared" si="8"/>
        <v>-0.66420823196879242</v>
      </c>
      <c r="G298" s="23">
        <f>(C298 - D298)/($L$7 - D298)</f>
        <v>0.84429817932450557</v>
      </c>
      <c r="H298" s="23">
        <f t="shared" si="9"/>
        <v>-0.16924955374095679</v>
      </c>
      <c r="I298" s="23"/>
      <c r="J298" s="15"/>
      <c r="K298" s="15"/>
      <c r="L298" s="15"/>
      <c r="M298" s="15"/>
      <c r="N298" s="15"/>
      <c r="O298" s="15"/>
      <c r="P298" s="15"/>
      <c r="Q298" s="15"/>
    </row>
    <row r="299" spans="1:17">
      <c r="A299" s="14">
        <v>166.94399999999999</v>
      </c>
      <c r="B299" s="23">
        <v>50.265148000000003</v>
      </c>
      <c r="C299" s="23">
        <v>68.480348000000006</v>
      </c>
      <c r="D299" s="23">
        <v>21.937583</v>
      </c>
      <c r="E299" s="23">
        <f>(B299 - D299)/($L$7 - D299)</f>
        <v>0.5135749825821837</v>
      </c>
      <c r="F299" s="23">
        <f t="shared" si="8"/>
        <v>-0.66635923771840733</v>
      </c>
      <c r="G299" s="23">
        <f>(C299 - D299)/($L$7 - D299)</f>
        <v>0.843814133837542</v>
      </c>
      <c r="H299" s="23">
        <f t="shared" si="9"/>
        <v>-0.16982302920992334</v>
      </c>
      <c r="I299" s="23"/>
      <c r="J299" s="15"/>
      <c r="K299" s="15"/>
      <c r="L299" s="15"/>
      <c r="M299" s="15"/>
      <c r="N299" s="15"/>
      <c r="O299" s="15"/>
      <c r="P299" s="15"/>
      <c r="Q299" s="15"/>
    </row>
    <row r="300" spans="1:17">
      <c r="A300" s="14">
        <v>167.50800000000001</v>
      </c>
      <c r="B300" s="23">
        <v>50.210842</v>
      </c>
      <c r="C300" s="23">
        <v>68.461112</v>
      </c>
      <c r="D300" s="23">
        <v>21.946124999999999</v>
      </c>
      <c r="E300" s="23">
        <f>(B300 - D300)/($L$7 - D300)</f>
        <v>0.51251492749804028</v>
      </c>
      <c r="F300" s="23">
        <f t="shared" si="8"/>
        <v>-0.66842544156830708</v>
      </c>
      <c r="G300" s="23">
        <f>(C300 - D300)/($L$7 - D300)</f>
        <v>0.84344114218009991</v>
      </c>
      <c r="H300" s="23">
        <f t="shared" si="9"/>
        <v>-0.17026515752188617</v>
      </c>
      <c r="I300" s="23"/>
      <c r="J300" s="15"/>
      <c r="K300" s="15"/>
      <c r="L300" s="15"/>
      <c r="M300" s="15"/>
      <c r="N300" s="15"/>
      <c r="O300" s="15"/>
      <c r="P300" s="15"/>
      <c r="Q300" s="15"/>
    </row>
    <row r="301" spans="1:17">
      <c r="A301" s="14">
        <v>168.072</v>
      </c>
      <c r="B301" s="23">
        <v>50.144807999999998</v>
      </c>
      <c r="C301" s="23">
        <v>68.439807999999999</v>
      </c>
      <c r="D301" s="23">
        <v>21.940928</v>
      </c>
      <c r="E301" s="23">
        <f>(B301 - D301)/($L$7 - D301)</f>
        <v>0.5113636013379057</v>
      </c>
      <c r="F301" s="23">
        <f t="shared" si="8"/>
        <v>-0.67067439320265121</v>
      </c>
      <c r="G301" s="23">
        <f>(C301 - D301)/($L$7 - D301)</f>
        <v>0.84306963208534147</v>
      </c>
      <c r="H301" s="23">
        <f t="shared" si="9"/>
        <v>-0.17070572405301834</v>
      </c>
      <c r="I301" s="23"/>
      <c r="J301" s="15"/>
      <c r="K301" s="15"/>
      <c r="L301" s="15"/>
      <c r="M301" s="15"/>
      <c r="N301" s="15"/>
      <c r="O301" s="15"/>
      <c r="P301" s="15"/>
      <c r="Q301" s="15"/>
    </row>
    <row r="302" spans="1:17">
      <c r="A302" s="14">
        <v>168.636</v>
      </c>
      <c r="B302" s="23">
        <v>50.091752999999997</v>
      </c>
      <c r="C302" s="23">
        <v>68.411372</v>
      </c>
      <c r="D302" s="23">
        <v>21.940062000000001</v>
      </c>
      <c r="E302" s="23">
        <f>(B302 - D302)/($L$7 - D302)</f>
        <v>0.51040935018113631</v>
      </c>
      <c r="F302" s="23">
        <f t="shared" si="8"/>
        <v>-0.67254222779894546</v>
      </c>
      <c r="G302" s="23">
        <f>(C302 - D302)/($L$7 - D302)</f>
        <v>0.84255653200960989</v>
      </c>
      <c r="H302" s="23">
        <f t="shared" si="9"/>
        <v>-0.17131451869860292</v>
      </c>
      <c r="I302" s="23"/>
      <c r="J302" s="15"/>
      <c r="K302" s="15"/>
      <c r="L302" s="15"/>
      <c r="M302" s="15"/>
      <c r="N302" s="15"/>
      <c r="O302" s="15"/>
      <c r="P302" s="15"/>
      <c r="Q302" s="15"/>
    </row>
    <row r="303" spans="1:17">
      <c r="A303" s="14">
        <v>169.2</v>
      </c>
      <c r="B303" s="23">
        <v>50.021197999999998</v>
      </c>
      <c r="C303" s="23">
        <v>68.386002000000005</v>
      </c>
      <c r="D303" s="23">
        <v>21.935442999999999</v>
      </c>
      <c r="E303" s="23">
        <f>(B303 - D303)/($L$7 - D303)</f>
        <v>0.50917124468835906</v>
      </c>
      <c r="F303" s="23">
        <f t="shared" si="8"/>
        <v>-0.67497088544028383</v>
      </c>
      <c r="G303" s="23">
        <f>(C303 - D303)/($L$7 - D303)</f>
        <v>0.84210977922794172</v>
      </c>
      <c r="H303" s="23">
        <f t="shared" si="9"/>
        <v>-0.17184489410785836</v>
      </c>
      <c r="I303" s="23"/>
      <c r="J303" s="15"/>
      <c r="K303" s="15"/>
      <c r="L303" s="15"/>
      <c r="M303" s="15"/>
      <c r="N303" s="15"/>
      <c r="O303" s="15"/>
      <c r="P303" s="15"/>
      <c r="Q303" s="15"/>
    </row>
    <row r="304" spans="1:17">
      <c r="A304" s="14">
        <v>169.76400000000001</v>
      </c>
      <c r="B304" s="23">
        <v>49.959105999999998</v>
      </c>
      <c r="C304" s="23">
        <v>68.360910000000004</v>
      </c>
      <c r="D304" s="23">
        <v>21.943407000000001</v>
      </c>
      <c r="E304" s="23">
        <f>(B304 - D304)/($L$7 - D304)</f>
        <v>0.50797452970646695</v>
      </c>
      <c r="F304" s="23">
        <f t="shared" si="8"/>
        <v>-0.67732397103372199</v>
      </c>
      <c r="G304" s="23">
        <f>(C304 - D304)/($L$7 - D304)</f>
        <v>0.84163201698353207</v>
      </c>
      <c r="H304" s="23">
        <f t="shared" si="9"/>
        <v>-0.1724123947285674</v>
      </c>
      <c r="I304" s="23"/>
      <c r="J304" s="15"/>
      <c r="K304" s="15"/>
      <c r="L304" s="15"/>
      <c r="M304" s="15"/>
      <c r="N304" s="15"/>
      <c r="O304" s="15"/>
      <c r="P304" s="15"/>
      <c r="Q304" s="15"/>
    </row>
    <row r="305" spans="1:17">
      <c r="A305" s="14">
        <v>170.328</v>
      </c>
      <c r="B305" s="23">
        <v>49.898705999999997</v>
      </c>
      <c r="C305" s="23">
        <v>68.329404999999994</v>
      </c>
      <c r="D305" s="23">
        <v>21.939654999999998</v>
      </c>
      <c r="E305" s="23">
        <f>(B305 - D305)/($L$7 - D305)</f>
        <v>0.50691291504382396</v>
      </c>
      <c r="F305" s="23">
        <f t="shared" si="8"/>
        <v>-0.67941605534384342</v>
      </c>
      <c r="G305" s="23">
        <f>(C305 - D305)/($L$7 - D305)</f>
        <v>0.84107158718134711</v>
      </c>
      <c r="H305" s="23">
        <f t="shared" si="9"/>
        <v>-0.17307850113200007</v>
      </c>
      <c r="I305" s="23"/>
      <c r="J305" s="15"/>
      <c r="K305" s="15"/>
      <c r="L305" s="15"/>
      <c r="M305" s="15"/>
      <c r="N305" s="15"/>
      <c r="O305" s="15"/>
      <c r="P305" s="15"/>
      <c r="Q305" s="15"/>
    </row>
    <row r="306" spans="1:17">
      <c r="A306" s="14">
        <v>170.892</v>
      </c>
      <c r="B306" s="23">
        <v>49.834789000000001</v>
      </c>
      <c r="C306" s="23">
        <v>68.318973999999997</v>
      </c>
      <c r="D306" s="23">
        <v>21.939654999999998</v>
      </c>
      <c r="E306" s="23">
        <f>(B306 - D306)/($L$7 - D306)</f>
        <v>0.50575406480992824</v>
      </c>
      <c r="F306" s="23">
        <f t="shared" si="8"/>
        <v>-0.68170476577443351</v>
      </c>
      <c r="G306" s="23">
        <f>(C306 - D306)/($L$7 - D306)</f>
        <v>0.84088246743558681</v>
      </c>
      <c r="H306" s="23">
        <f t="shared" si="9"/>
        <v>-0.1733033821221058</v>
      </c>
      <c r="I306" s="23"/>
      <c r="J306" s="15"/>
      <c r="K306" s="15"/>
      <c r="L306" s="15"/>
      <c r="M306" s="15"/>
      <c r="N306" s="15"/>
      <c r="O306" s="15"/>
      <c r="P306" s="15"/>
      <c r="Q306" s="15"/>
    </row>
    <row r="307" spans="1:17">
      <c r="A307" s="14">
        <v>171.45599999999999</v>
      </c>
      <c r="B307" s="23">
        <v>49.770994999999999</v>
      </c>
      <c r="C307" s="23">
        <v>68.286748000000003</v>
      </c>
      <c r="D307" s="23">
        <v>21.933302999999999</v>
      </c>
      <c r="E307" s="23">
        <f>(B307 - D307)/($L$7 - D307)</f>
        <v>0.50465449121814787</v>
      </c>
      <c r="F307" s="23">
        <f t="shared" si="8"/>
        <v>-0.6838812596674998</v>
      </c>
      <c r="G307" s="23">
        <f>(C307 - D307)/($L$7 - D307)</f>
        <v>0.84031658237627616</v>
      </c>
      <c r="H307" s="23">
        <f t="shared" si="9"/>
        <v>-0.17397657436634958</v>
      </c>
      <c r="I307" s="23"/>
      <c r="J307" s="15"/>
      <c r="K307" s="15"/>
      <c r="L307" s="15"/>
      <c r="M307" s="15"/>
      <c r="N307" s="15"/>
      <c r="O307" s="15"/>
      <c r="P307" s="15"/>
      <c r="Q307" s="15"/>
    </row>
    <row r="308" spans="1:17">
      <c r="A308" s="14">
        <v>172.02</v>
      </c>
      <c r="B308" s="23">
        <v>49.718207999999997</v>
      </c>
      <c r="C308" s="23">
        <v>68.272970000000001</v>
      </c>
      <c r="D308" s="23">
        <v>21.929839000000001</v>
      </c>
      <c r="E308" s="23">
        <f>(B308 - D308)/($L$7 - D308)</f>
        <v>0.50372870853146268</v>
      </c>
      <c r="F308" s="23">
        <f t="shared" si="8"/>
        <v>-0.68571743255698026</v>
      </c>
      <c r="G308" s="23">
        <f>(C308 - D308)/($L$7 - D308)</f>
        <v>0.84007685114352681</v>
      </c>
      <c r="H308" s="23">
        <f t="shared" si="9"/>
        <v>-0.17426190187310331</v>
      </c>
      <c r="I308" s="23"/>
      <c r="J308" s="15"/>
      <c r="K308" s="15"/>
      <c r="L308" s="15"/>
      <c r="M308" s="15"/>
      <c r="N308" s="15"/>
      <c r="O308" s="15"/>
      <c r="P308" s="15"/>
      <c r="Q308" s="15"/>
    </row>
    <row r="309" spans="1:17">
      <c r="A309" s="14">
        <v>172.584</v>
      </c>
      <c r="B309" s="23">
        <v>49.654409000000001</v>
      </c>
      <c r="C309" s="23">
        <v>68.241742000000002</v>
      </c>
      <c r="D309" s="23">
        <v>21.934051</v>
      </c>
      <c r="E309" s="23">
        <f>(B309 - D309)/($L$7 - D309)</f>
        <v>0.50253422087852251</v>
      </c>
      <c r="F309" s="23">
        <f t="shared" si="8"/>
        <v>-0.6880915401169001</v>
      </c>
      <c r="G309" s="23">
        <f>(C309 - D309)/($L$7 - D309)</f>
        <v>0.83949851648266494</v>
      </c>
      <c r="H309" s="23">
        <f t="shared" si="9"/>
        <v>-0.17495056961003988</v>
      </c>
      <c r="I309" s="23"/>
      <c r="J309" s="15"/>
      <c r="K309" s="15"/>
      <c r="L309" s="15"/>
      <c r="M309" s="15"/>
      <c r="N309" s="15"/>
      <c r="O309" s="15"/>
      <c r="P309" s="15"/>
      <c r="Q309" s="15"/>
    </row>
    <row r="310" spans="1:17">
      <c r="A310" s="14">
        <v>173.148</v>
      </c>
      <c r="B310" s="23">
        <v>49.608548999999996</v>
      </c>
      <c r="C310" s="23">
        <v>68.222109000000003</v>
      </c>
      <c r="D310" s="23">
        <v>21.931452</v>
      </c>
      <c r="E310" s="23">
        <f>(B310 - D310)/($L$7 - D310)</f>
        <v>0.50172631533608647</v>
      </c>
      <c r="F310" s="23">
        <f t="shared" si="8"/>
        <v>-0.68970049653326881</v>
      </c>
      <c r="G310" s="23">
        <f>(C310 - D310)/($L$7 - D310)</f>
        <v>0.83915017427935545</v>
      </c>
      <c r="H310" s="23">
        <f t="shared" si="9"/>
        <v>-0.1753655965423892</v>
      </c>
      <c r="I310" s="23"/>
      <c r="J310" s="15"/>
      <c r="K310" s="15"/>
      <c r="L310" s="15"/>
      <c r="M310" s="15"/>
      <c r="N310" s="15"/>
      <c r="O310" s="15"/>
      <c r="P310" s="15"/>
      <c r="Q310" s="15"/>
    </row>
    <row r="311" spans="1:17">
      <c r="A311" s="14">
        <v>173.71199999999999</v>
      </c>
      <c r="B311" s="23">
        <v>49.553497</v>
      </c>
      <c r="C311" s="23">
        <v>68.200477000000006</v>
      </c>
      <c r="D311" s="23">
        <v>21.927122000000001</v>
      </c>
      <c r="E311" s="23">
        <f>(B311 - D311)/($L$7 - D311)</f>
        <v>0.50076752738685915</v>
      </c>
      <c r="F311" s="23">
        <f t="shared" si="8"/>
        <v>-0.69161330277846178</v>
      </c>
      <c r="G311" s="23">
        <f>(C311 - D311)/($L$7 - D311)</f>
        <v>0.83877068805604649</v>
      </c>
      <c r="H311" s="23">
        <f t="shared" si="9"/>
        <v>-0.17581792565790072</v>
      </c>
      <c r="I311" s="23"/>
      <c r="J311" s="15"/>
      <c r="K311" s="15"/>
      <c r="L311" s="15"/>
      <c r="M311" s="15"/>
      <c r="N311" s="15"/>
      <c r="O311" s="15"/>
      <c r="P311" s="15"/>
      <c r="Q311" s="15"/>
    </row>
    <row r="312" spans="1:17">
      <c r="A312" s="14">
        <v>174.27600000000001</v>
      </c>
      <c r="B312" s="23">
        <v>49.498004999999999</v>
      </c>
      <c r="C312" s="23">
        <v>68.176382000000004</v>
      </c>
      <c r="D312" s="23">
        <v>21.921925999999999</v>
      </c>
      <c r="E312" s="23">
        <f>(B312 - D312)/($L$7 - D312)</f>
        <v>0.49980876605805058</v>
      </c>
      <c r="F312" s="23">
        <f t="shared" si="8"/>
        <v>-0.69352972160333992</v>
      </c>
      <c r="G312" s="23">
        <f>(C312 - D312)/($L$7 - D312)</f>
        <v>0.83834915681980737</v>
      </c>
      <c r="H312" s="23">
        <f t="shared" si="9"/>
        <v>-0.17632061036037264</v>
      </c>
      <c r="I312" s="23"/>
      <c r="J312" s="15"/>
      <c r="K312" s="15"/>
      <c r="L312" s="15"/>
      <c r="M312" s="15"/>
      <c r="N312" s="15"/>
      <c r="O312" s="15"/>
      <c r="P312" s="15"/>
      <c r="Q312" s="15"/>
    </row>
    <row r="313" spans="1:17">
      <c r="A313" s="14">
        <v>174.84</v>
      </c>
      <c r="B313" s="23">
        <v>49.444516</v>
      </c>
      <c r="C313" s="23">
        <v>68.156306000000001</v>
      </c>
      <c r="D313" s="23">
        <v>21.930586000000002</v>
      </c>
      <c r="E313" s="23">
        <f>(B313 - D313)/($L$7 - D313)</f>
        <v>0.4987606182225558</v>
      </c>
      <c r="F313" s="23">
        <f t="shared" si="8"/>
        <v>-0.69562902133540083</v>
      </c>
      <c r="G313" s="23">
        <f>(C313 - D313)/($L$7 - D313)</f>
        <v>0.83795985106390691</v>
      </c>
      <c r="H313" s="23">
        <f t="shared" si="9"/>
        <v>-0.17678509007272716</v>
      </c>
      <c r="I313" s="23"/>
      <c r="J313" s="15"/>
      <c r="K313" s="15"/>
      <c r="L313" s="15"/>
      <c r="M313" s="15"/>
      <c r="N313" s="15"/>
      <c r="O313" s="15"/>
      <c r="P313" s="15"/>
      <c r="Q313" s="15"/>
    </row>
    <row r="314" spans="1:17">
      <c r="A314" s="14">
        <v>175.404</v>
      </c>
      <c r="B314" s="23">
        <v>49.386634000000001</v>
      </c>
      <c r="C314" s="23">
        <v>68.121172000000001</v>
      </c>
      <c r="D314" s="23">
        <v>21.92539</v>
      </c>
      <c r="E314" s="23">
        <f>(B314 - D314)/($L$7 - D314)</f>
        <v>0.49775866490425308</v>
      </c>
      <c r="F314" s="23">
        <f t="shared" si="8"/>
        <v>-0.69763992804419206</v>
      </c>
      <c r="G314" s="23">
        <f>(C314 - D314)/($L$7 - D314)</f>
        <v>0.83733827835796248</v>
      </c>
      <c r="H314" s="23">
        <f t="shared" si="9"/>
        <v>-0.17752713439731588</v>
      </c>
      <c r="I314" s="23"/>
      <c r="J314" s="15"/>
      <c r="K314" s="15"/>
      <c r="L314" s="15"/>
      <c r="M314" s="15"/>
      <c r="N314" s="15"/>
      <c r="O314" s="15"/>
      <c r="P314" s="15"/>
      <c r="Q314" s="15"/>
    </row>
    <row r="315" spans="1:17">
      <c r="A315" s="14">
        <v>175.96799999999999</v>
      </c>
      <c r="B315" s="23">
        <v>49.327902999999999</v>
      </c>
      <c r="C315" s="23">
        <v>68.100817000000006</v>
      </c>
      <c r="D315" s="23">
        <v>21.935952</v>
      </c>
      <c r="E315" s="23">
        <f>(B315 - D315)/($L$7 - D315)</f>
        <v>0.49659774100561294</v>
      </c>
      <c r="F315" s="23">
        <f t="shared" si="8"/>
        <v>-0.69997495483985717</v>
      </c>
      <c r="G315" s="23">
        <f>(C315 - D315)/($L$7 - D315)</f>
        <v>0.83693810903900534</v>
      </c>
      <c r="H315" s="23">
        <f t="shared" si="9"/>
        <v>-0.17800515502711084</v>
      </c>
      <c r="I315" s="23"/>
      <c r="J315" s="15"/>
      <c r="K315" s="15"/>
      <c r="L315" s="15"/>
      <c r="M315" s="15"/>
      <c r="N315" s="15"/>
      <c r="O315" s="15"/>
      <c r="P315" s="15"/>
      <c r="Q315" s="15"/>
    </row>
    <row r="316" spans="1:17">
      <c r="A316" s="14">
        <v>176.53200000000001</v>
      </c>
      <c r="B316" s="23">
        <v>49.275381000000003</v>
      </c>
      <c r="C316" s="23">
        <v>68.084528000000006</v>
      </c>
      <c r="D316" s="23">
        <v>21.932199000000001</v>
      </c>
      <c r="E316" s="23">
        <f>(B316 - D316)/($L$7 - D316)</f>
        <v>0.49567986592169133</v>
      </c>
      <c r="F316" s="23">
        <f t="shared" si="8"/>
        <v>-0.70182499224735262</v>
      </c>
      <c r="G316" s="23">
        <f>(C316 - D316)/($L$7 - D316)</f>
        <v>0.83665391433571223</v>
      </c>
      <c r="H316" s="23">
        <f t="shared" si="9"/>
        <v>-0.17834477747040106</v>
      </c>
      <c r="I316" s="23"/>
      <c r="J316" s="15"/>
      <c r="K316" s="15"/>
      <c r="L316" s="15"/>
      <c r="M316" s="15"/>
      <c r="N316" s="15"/>
      <c r="O316" s="15"/>
      <c r="P316" s="15"/>
      <c r="Q316" s="15"/>
    </row>
    <row r="317" spans="1:17">
      <c r="A317" s="14">
        <v>177.096</v>
      </c>
      <c r="B317" s="23">
        <v>49.206352000000003</v>
      </c>
      <c r="C317" s="23">
        <v>68.052459999999996</v>
      </c>
      <c r="D317" s="23">
        <v>21.924982</v>
      </c>
      <c r="E317" s="23">
        <f>(B317 - D317)/($L$7 - D317)</f>
        <v>0.49449463699644836</v>
      </c>
      <c r="F317" s="23">
        <f t="shared" si="8"/>
        <v>-0.70421897328364436</v>
      </c>
      <c r="G317" s="23">
        <f>(C317 - D317)/($L$7 - D317)</f>
        <v>0.83609402640599262</v>
      </c>
      <c r="H317" s="23">
        <f t="shared" si="9"/>
        <v>-0.17901420044440844</v>
      </c>
      <c r="I317" s="23"/>
      <c r="J317" s="15"/>
      <c r="K317" s="15"/>
      <c r="L317" s="15"/>
      <c r="M317" s="15"/>
      <c r="N317" s="15"/>
      <c r="O317" s="15"/>
      <c r="P317" s="15"/>
      <c r="Q317" s="15"/>
    </row>
    <row r="318" spans="1:17">
      <c r="A318" s="14">
        <v>177.66</v>
      </c>
      <c r="B318" s="23">
        <v>49.147331000000001</v>
      </c>
      <c r="C318" s="23">
        <v>68.030430999999993</v>
      </c>
      <c r="D318" s="23">
        <v>21.932081</v>
      </c>
      <c r="E318" s="23">
        <f>(B318 - D318)/($L$7 - D318)</f>
        <v>0.49335964681465994</v>
      </c>
      <c r="F318" s="23">
        <f t="shared" si="8"/>
        <v>-0.70651686417668969</v>
      </c>
      <c r="G318" s="23">
        <f>(C318 - D318)/($L$7 - D318)</f>
        <v>0.83567359016502052</v>
      </c>
      <c r="H318" s="23">
        <f t="shared" si="9"/>
        <v>-0.17951718452624923</v>
      </c>
      <c r="I318" s="23"/>
      <c r="J318" s="15"/>
      <c r="K318" s="15"/>
      <c r="L318" s="15"/>
      <c r="M318" s="15"/>
      <c r="N318" s="15"/>
      <c r="O318" s="15"/>
      <c r="P318" s="15"/>
      <c r="Q318" s="15"/>
    </row>
    <row r="319" spans="1:17">
      <c r="A319" s="14">
        <v>178.22399999999999</v>
      </c>
      <c r="B319" s="23">
        <v>49.086328999999999</v>
      </c>
      <c r="C319" s="23">
        <v>68.005891000000005</v>
      </c>
      <c r="D319" s="23">
        <v>21.929770999999999</v>
      </c>
      <c r="E319" s="23">
        <f>(B319 - D319)/($L$7 - D319)</f>
        <v>0.49227506037976876</v>
      </c>
      <c r="F319" s="23">
        <f t="shared" si="8"/>
        <v>-0.70871765289636035</v>
      </c>
      <c r="G319" s="23">
        <f>(C319 - D319)/($L$7 - D319)</f>
        <v>0.83523562724942801</v>
      </c>
      <c r="H319" s="23">
        <f t="shared" si="9"/>
        <v>-0.18004140561624934</v>
      </c>
      <c r="I319" s="23"/>
      <c r="J319" s="15"/>
      <c r="K319" s="15"/>
      <c r="L319" s="15"/>
      <c r="M319" s="15"/>
      <c r="N319" s="15"/>
      <c r="O319" s="15"/>
      <c r="P319" s="15"/>
      <c r="Q319" s="15"/>
    </row>
    <row r="320" spans="1:17">
      <c r="A320" s="14">
        <v>178.78800000000001</v>
      </c>
      <c r="B320" s="23">
        <v>49.018546999999998</v>
      </c>
      <c r="C320" s="23">
        <v>67.983861000000005</v>
      </c>
      <c r="D320" s="23">
        <v>21.926017999999999</v>
      </c>
      <c r="E320" s="23">
        <f>(B320 - D320)/($L$7 - D320)</f>
        <v>0.49108097841896037</v>
      </c>
      <c r="F320" s="23">
        <f t="shared" si="8"/>
        <v>-0.71114623928946674</v>
      </c>
      <c r="G320" s="23">
        <f>(C320 - D320)/($L$7 - D320)</f>
        <v>0.83484751845451077</v>
      </c>
      <c r="H320" s="23">
        <f t="shared" si="9"/>
        <v>-0.18050618343632635</v>
      </c>
      <c r="I320" s="23"/>
      <c r="J320" s="15"/>
      <c r="K320" s="15"/>
      <c r="L320" s="15"/>
      <c r="M320" s="15"/>
      <c r="N320" s="15"/>
      <c r="O320" s="15"/>
      <c r="P320" s="15"/>
      <c r="Q320" s="15"/>
    </row>
    <row r="321" spans="1:17">
      <c r="A321" s="14">
        <v>179.352</v>
      </c>
      <c r="B321" s="23">
        <v>48.962059000000004</v>
      </c>
      <c r="C321" s="23">
        <v>67.960320999999993</v>
      </c>
      <c r="D321" s="23">
        <v>21.921976999999998</v>
      </c>
      <c r="E321" s="23">
        <f>(B321 - D321)/($L$7 - D321)</f>
        <v>0.49009442245782742</v>
      </c>
      <c r="F321" s="23">
        <f t="shared" si="8"/>
        <v>-0.71315720754798639</v>
      </c>
      <c r="G321" s="23">
        <f>(C321 - D321)/($L$7 - D321)</f>
        <v>0.83443295821346908</v>
      </c>
      <c r="H321" s="23">
        <f t="shared" si="9"/>
        <v>-0.1810028767785884</v>
      </c>
      <c r="I321" s="23"/>
      <c r="J321" s="15"/>
      <c r="K321" s="15"/>
      <c r="L321" s="15"/>
      <c r="M321" s="15"/>
      <c r="N321" s="15"/>
      <c r="O321" s="15"/>
      <c r="P321" s="15"/>
      <c r="Q321" s="15"/>
    </row>
    <row r="322" spans="1:17">
      <c r="A322" s="14">
        <v>179.916</v>
      </c>
      <c r="B322" s="23">
        <v>48.905569</v>
      </c>
      <c r="C322" s="23">
        <v>67.936616999999998</v>
      </c>
      <c r="D322" s="23">
        <v>21.924285999999999</v>
      </c>
      <c r="E322" s="23">
        <f>(B322 - D322)/($L$7 - D322)</f>
        <v>0.48904917266167491</v>
      </c>
      <c r="F322" s="23">
        <f t="shared" si="8"/>
        <v>-0.71529223697250333</v>
      </c>
      <c r="G322" s="23">
        <f>(C322 - D322)/($L$7 - D322)</f>
        <v>0.83399638215073524</v>
      </c>
      <c r="H322" s="23">
        <f t="shared" si="9"/>
        <v>-0.18152621458155793</v>
      </c>
      <c r="I322" s="23"/>
      <c r="J322" s="15"/>
      <c r="K322" s="15"/>
      <c r="L322" s="15"/>
      <c r="M322" s="15"/>
      <c r="N322" s="15"/>
      <c r="O322" s="15"/>
      <c r="P322" s="15"/>
      <c r="Q322" s="15"/>
    </row>
    <row r="323" spans="1:17">
      <c r="A323" s="14">
        <v>180.48</v>
      </c>
      <c r="B323" s="23">
        <v>48.853313999999997</v>
      </c>
      <c r="C323" s="23">
        <v>67.902315000000002</v>
      </c>
      <c r="D323" s="23">
        <v>21.915047999999999</v>
      </c>
      <c r="E323" s="23">
        <f>(B323 - D323)/($L$7 - D323)</f>
        <v>0.48818772435835517</v>
      </c>
      <c r="F323" s="23">
        <f t="shared" si="8"/>
        <v>-0.71705526603757697</v>
      </c>
      <c r="G323" s="23">
        <f>(C323 - D323)/($L$7 - D323)</f>
        <v>0.83340253697806999</v>
      </c>
      <c r="H323" s="23">
        <f t="shared" si="9"/>
        <v>-0.18223851586826376</v>
      </c>
      <c r="I323" s="23"/>
      <c r="J323" s="15"/>
      <c r="K323" s="15"/>
      <c r="L323" s="15"/>
      <c r="M323" s="15"/>
      <c r="N323" s="15"/>
      <c r="O323" s="15"/>
      <c r="P323" s="15"/>
      <c r="Q323" s="15"/>
    </row>
    <row r="324" spans="1:17">
      <c r="A324" s="14">
        <v>181.04400000000001</v>
      </c>
      <c r="B324" s="23">
        <v>48.796819999999997</v>
      </c>
      <c r="C324" s="23">
        <v>67.883071999999999</v>
      </c>
      <c r="D324" s="23">
        <v>21.927631000000002</v>
      </c>
      <c r="E324" s="23">
        <f>(B324 - D324)/($L$7 - D324)</f>
        <v>0.48704694271841481</v>
      </c>
      <c r="F324" s="23">
        <f t="shared" ref="F324:F387" si="10">LN(E324)</f>
        <v>-0.7193947689259993</v>
      </c>
      <c r="G324" s="23">
        <f>(C324 - D324)/($L$7 - D324)</f>
        <v>0.83301572817573666</v>
      </c>
      <c r="H324" s="23">
        <f t="shared" ref="H324:H387" si="11">LN(G324)</f>
        <v>-0.1827027556301157</v>
      </c>
      <c r="I324" s="23"/>
      <c r="J324" s="15"/>
      <c r="K324" s="15"/>
      <c r="L324" s="15"/>
      <c r="M324" s="15"/>
      <c r="N324" s="15"/>
      <c r="O324" s="15"/>
      <c r="P324" s="15"/>
      <c r="Q324" s="15"/>
    </row>
    <row r="325" spans="1:17">
      <c r="A325" s="14">
        <v>181.608</v>
      </c>
      <c r="B325" s="23">
        <v>48.743713</v>
      </c>
      <c r="C325" s="23">
        <v>67.854231999999996</v>
      </c>
      <c r="D325" s="23">
        <v>21.927053999999998</v>
      </c>
      <c r="E325" s="23">
        <f>(B325 - D325)/($L$7 - D325)</f>
        <v>0.48608966857895425</v>
      </c>
      <c r="F325" s="23">
        <f t="shared" si="10"/>
        <v>-0.72136216885139737</v>
      </c>
      <c r="G325" s="23">
        <f>(C325 - D325)/($L$7 - D325)</f>
        <v>0.83249470908313516</v>
      </c>
      <c r="H325" s="23">
        <f t="shared" si="11"/>
        <v>-0.18332841260342764</v>
      </c>
      <c r="I325" s="23"/>
      <c r="J325" s="15"/>
      <c r="K325" s="15"/>
      <c r="L325" s="15"/>
      <c r="M325" s="15"/>
      <c r="N325" s="15"/>
      <c r="O325" s="15"/>
      <c r="P325" s="15"/>
      <c r="Q325" s="15"/>
    </row>
    <row r="326" spans="1:17">
      <c r="A326" s="14">
        <v>182.172</v>
      </c>
      <c r="B326" s="23">
        <v>48.680872000000001</v>
      </c>
      <c r="C326" s="23">
        <v>67.831362999999996</v>
      </c>
      <c r="D326" s="23">
        <v>21.930517999999999</v>
      </c>
      <c r="E326" s="23">
        <f>(B326 - D326)/($L$7 - D326)</f>
        <v>0.48491824513473014</v>
      </c>
      <c r="F326" s="23">
        <f t="shared" si="10"/>
        <v>-0.72377496898613747</v>
      </c>
      <c r="G326" s="23">
        <f>(C326 - D326)/($L$7 - D326)</f>
        <v>0.83206963196080497</v>
      </c>
      <c r="H326" s="23">
        <f t="shared" si="11"/>
        <v>-0.18383914940234741</v>
      </c>
      <c r="I326" s="23"/>
      <c r="J326" s="15"/>
      <c r="K326" s="15"/>
      <c r="L326" s="15"/>
      <c r="M326" s="15"/>
      <c r="N326" s="15"/>
      <c r="O326" s="15"/>
      <c r="P326" s="15"/>
      <c r="Q326" s="15"/>
    </row>
    <row r="327" spans="1:17">
      <c r="A327" s="14">
        <v>182.73599999999999</v>
      </c>
      <c r="B327" s="23">
        <v>48.641604000000001</v>
      </c>
      <c r="C327" s="23">
        <v>67.818813000000006</v>
      </c>
      <c r="D327" s="23">
        <v>21.928090000000001</v>
      </c>
      <c r="E327" s="23">
        <f>(B327 - D327)/($L$7 - D327)</f>
        <v>0.48422911367312138</v>
      </c>
      <c r="F327" s="23">
        <f t="shared" si="10"/>
        <v>-0.72519710891458511</v>
      </c>
      <c r="G327" s="23">
        <f>(C327 - D327)/($L$7 - D327)</f>
        <v>0.83184953219216051</v>
      </c>
      <c r="H327" s="23">
        <f t="shared" si="11"/>
        <v>-0.18410370524697009</v>
      </c>
      <c r="I327" s="23"/>
      <c r="J327" s="15"/>
      <c r="K327" s="15"/>
      <c r="L327" s="15"/>
      <c r="M327" s="15"/>
      <c r="N327" s="15"/>
      <c r="O327" s="15"/>
      <c r="P327" s="15"/>
      <c r="Q327" s="15"/>
    </row>
    <row r="328" spans="1:17">
      <c r="A328" s="14">
        <v>183.3</v>
      </c>
      <c r="B328" s="23">
        <v>48.580863000000001</v>
      </c>
      <c r="C328" s="23">
        <v>67.776978</v>
      </c>
      <c r="D328" s="23">
        <v>21.928498000000001</v>
      </c>
      <c r="E328" s="23">
        <f>(B328 - D328)/($L$7 - D328)</f>
        <v>0.48312425426010719</v>
      </c>
      <c r="F328" s="23">
        <f t="shared" si="10"/>
        <v>-0.72748140321709931</v>
      </c>
      <c r="G328" s="23">
        <f>(C328 - D328)/($L$7 - D328)</f>
        <v>0.83108995051506451</v>
      </c>
      <c r="H328" s="23">
        <f t="shared" si="11"/>
        <v>-0.18501724628417685</v>
      </c>
      <c r="I328" s="23"/>
      <c r="J328" s="15"/>
      <c r="K328" s="15"/>
      <c r="L328" s="15"/>
      <c r="M328" s="15"/>
      <c r="N328" s="15"/>
      <c r="O328" s="15"/>
      <c r="P328" s="15"/>
      <c r="Q328" s="15"/>
    </row>
    <row r="329" spans="1:17">
      <c r="A329" s="14">
        <v>183.864</v>
      </c>
      <c r="B329" s="23">
        <v>48.528030000000001</v>
      </c>
      <c r="C329" s="23">
        <v>67.759964999999994</v>
      </c>
      <c r="D329" s="23">
        <v>21.929822000000001</v>
      </c>
      <c r="E329" s="23">
        <f>(B329 - D329)/($L$7 - D329)</f>
        <v>0.48215412844914796</v>
      </c>
      <c r="F329" s="23">
        <f t="shared" si="10"/>
        <v>-0.72949144747991146</v>
      </c>
      <c r="G329" s="23">
        <f>(C329 - D329)/($L$7 - D329)</f>
        <v>0.83077749654656485</v>
      </c>
      <c r="H329" s="23">
        <f t="shared" si="11"/>
        <v>-0.18539327383406812</v>
      </c>
      <c r="I329" s="23"/>
      <c r="J329" s="15"/>
      <c r="K329" s="15"/>
      <c r="L329" s="15"/>
      <c r="M329" s="15"/>
      <c r="N329" s="15"/>
      <c r="O329" s="15"/>
      <c r="P329" s="15"/>
      <c r="Q329" s="15"/>
    </row>
    <row r="330" spans="1:17">
      <c r="A330" s="14">
        <v>184.428</v>
      </c>
      <c r="B330" s="23">
        <v>48.461067999999997</v>
      </c>
      <c r="C330" s="23">
        <v>67.727891</v>
      </c>
      <c r="D330" s="23">
        <v>21.929245000000002</v>
      </c>
      <c r="E330" s="23">
        <f>(B330 - D330)/($L$7 - D330)</f>
        <v>0.48094571612582476</v>
      </c>
      <c r="F330" s="23">
        <f t="shared" si="10"/>
        <v>-0.73200087153239246</v>
      </c>
      <c r="G330" s="23">
        <f>(C330 - D330)/($L$7 - D330)</f>
        <v>0.83019785704371474</v>
      </c>
      <c r="H330" s="23">
        <f t="shared" si="11"/>
        <v>-0.18609122461958391</v>
      </c>
      <c r="I330" s="23"/>
      <c r="J330" s="15"/>
      <c r="K330" s="15"/>
      <c r="L330" s="15"/>
      <c r="M330" s="15"/>
      <c r="N330" s="15"/>
      <c r="O330" s="15"/>
      <c r="P330" s="15"/>
      <c r="Q330" s="15"/>
    </row>
    <row r="331" spans="1:17">
      <c r="A331" s="14">
        <v>184.99199999999999</v>
      </c>
      <c r="B331" s="23">
        <v>48.403709999999997</v>
      </c>
      <c r="C331" s="23">
        <v>67.714224999999999</v>
      </c>
      <c r="D331" s="23">
        <v>21.924047999999999</v>
      </c>
      <c r="E331" s="23">
        <f>(B331 - D331)/($L$7 - D331)</f>
        <v>0.47995497210878624</v>
      </c>
      <c r="F331" s="23">
        <f t="shared" si="10"/>
        <v>-0.73406298758715138</v>
      </c>
      <c r="G331" s="23">
        <f>(C331 - D331)/($L$7 - D331)</f>
        <v>0.82996615005476237</v>
      </c>
      <c r="H331" s="23">
        <f t="shared" si="11"/>
        <v>-0.18637036208969668</v>
      </c>
      <c r="I331" s="23"/>
      <c r="J331" s="15"/>
      <c r="K331" s="15"/>
      <c r="L331" s="15"/>
      <c r="M331" s="15"/>
      <c r="N331" s="15"/>
      <c r="O331" s="15"/>
      <c r="P331" s="15"/>
      <c r="Q331" s="15"/>
    </row>
    <row r="332" spans="1:17">
      <c r="A332" s="14">
        <v>185.55600000000001</v>
      </c>
      <c r="B332" s="23">
        <v>48.355955999999999</v>
      </c>
      <c r="C332" s="23">
        <v>67.687332999999995</v>
      </c>
      <c r="D332" s="23">
        <v>21.931146999999999</v>
      </c>
      <c r="E332" s="23">
        <f>(B332 - D332)/($L$7 - D332)</f>
        <v>0.47902237542831116</v>
      </c>
      <c r="F332" s="23">
        <f t="shared" si="10"/>
        <v>-0.73600796986826134</v>
      </c>
      <c r="G332" s="23">
        <f>(C332 - D332)/($L$7 - D332)</f>
        <v>0.82945677708624632</v>
      </c>
      <c r="H332" s="23">
        <f t="shared" si="11"/>
        <v>-0.18698427789884109</v>
      </c>
      <c r="I332" s="23"/>
      <c r="J332" s="15"/>
      <c r="K332" s="15"/>
      <c r="L332" s="15"/>
      <c r="M332" s="15"/>
      <c r="N332" s="15"/>
      <c r="O332" s="15"/>
      <c r="P332" s="15"/>
      <c r="Q332" s="15"/>
    </row>
    <row r="333" spans="1:17">
      <c r="A333" s="14">
        <v>186.12</v>
      </c>
      <c r="B333" s="23">
        <v>48.297620000000002</v>
      </c>
      <c r="C333" s="23">
        <v>67.660836000000003</v>
      </c>
      <c r="D333" s="23">
        <v>21.932302</v>
      </c>
      <c r="E333" s="23">
        <f>(B333 - D333)/($L$7 - D333)</f>
        <v>0.4779539445399556</v>
      </c>
      <c r="F333" s="23">
        <f t="shared" si="10"/>
        <v>-0.73824090146749366</v>
      </c>
      <c r="G333" s="23">
        <f>(C333 - D333)/($L$7 - D333)</f>
        <v>0.82897286516056712</v>
      </c>
      <c r="H333" s="23">
        <f t="shared" si="11"/>
        <v>-0.1875678563963373</v>
      </c>
      <c r="I333" s="23"/>
      <c r="J333" s="15"/>
      <c r="K333" s="15"/>
      <c r="L333" s="15"/>
      <c r="M333" s="15"/>
      <c r="N333" s="15"/>
      <c r="O333" s="15"/>
      <c r="P333" s="15"/>
      <c r="Q333" s="15"/>
    </row>
    <row r="334" spans="1:17">
      <c r="A334" s="14">
        <v>186.684</v>
      </c>
      <c r="B334" s="23">
        <v>48.235011</v>
      </c>
      <c r="C334" s="23">
        <v>67.633223000000001</v>
      </c>
      <c r="D334" s="23">
        <v>21.915268999999999</v>
      </c>
      <c r="E334" s="23">
        <f>(B334 - D334)/($L$7 - D334)</f>
        <v>0.47698045649470622</v>
      </c>
      <c r="F334" s="23">
        <f t="shared" si="10"/>
        <v>-0.74027976064237055</v>
      </c>
      <c r="G334" s="23">
        <f>(C334 - D334)/($L$7 - D334)</f>
        <v>0.82852524044209785</v>
      </c>
      <c r="H334" s="23">
        <f t="shared" si="11"/>
        <v>-0.18810797735073037</v>
      </c>
      <c r="I334" s="23"/>
      <c r="J334" s="15"/>
      <c r="K334" s="15"/>
      <c r="L334" s="15"/>
      <c r="M334" s="15"/>
      <c r="N334" s="15"/>
      <c r="O334" s="15"/>
      <c r="P334" s="15"/>
      <c r="Q334" s="15"/>
    </row>
    <row r="335" spans="1:17">
      <c r="A335" s="14">
        <v>187.24799999999999</v>
      </c>
      <c r="B335" s="23">
        <v>48.175539000000001</v>
      </c>
      <c r="C335" s="23">
        <v>67.612860999999995</v>
      </c>
      <c r="D335" s="23">
        <v>21.929414999999999</v>
      </c>
      <c r="E335" s="23">
        <f>(B335 - D335)/($L$7 - D335)</f>
        <v>0.47576828029830315</v>
      </c>
      <c r="F335" s="23">
        <f t="shared" si="10"/>
        <v>-0.74282434937527486</v>
      </c>
      <c r="G335" s="23">
        <f>(C335 - D335)/($L$7 - D335)</f>
        <v>0.82811216397211229</v>
      </c>
      <c r="H335" s="23">
        <f t="shared" si="11"/>
        <v>-0.18860667003682538</v>
      </c>
      <c r="I335" s="23"/>
      <c r="J335" s="15"/>
      <c r="K335" s="15"/>
      <c r="L335" s="15"/>
      <c r="M335" s="15"/>
      <c r="N335" s="15"/>
      <c r="O335" s="15"/>
      <c r="P335" s="15"/>
      <c r="Q335" s="15"/>
    </row>
    <row r="336" spans="1:17">
      <c r="A336" s="14">
        <v>187.81200000000001</v>
      </c>
      <c r="B336" s="23">
        <v>48.124668999999997</v>
      </c>
      <c r="C336" s="23">
        <v>67.601031000000006</v>
      </c>
      <c r="D336" s="23">
        <v>21.931723999999999</v>
      </c>
      <c r="E336" s="23">
        <f>(B336 - D336)/($L$7 - D336)</f>
        <v>0.47482416893994073</v>
      </c>
      <c r="F336" s="23">
        <f t="shared" si="10"/>
        <v>-0.74481071413032074</v>
      </c>
      <c r="G336" s="23">
        <f>(C336 - D336)/($L$7 - D336)</f>
        <v>0.82789051564602689</v>
      </c>
      <c r="H336" s="23">
        <f t="shared" si="11"/>
        <v>-0.18887436082034523</v>
      </c>
      <c r="I336" s="23"/>
      <c r="J336" s="15"/>
      <c r="K336" s="15"/>
      <c r="L336" s="15"/>
      <c r="M336" s="15"/>
      <c r="N336" s="15"/>
      <c r="O336" s="15"/>
      <c r="P336" s="15"/>
      <c r="Q336" s="15"/>
    </row>
    <row r="337" spans="1:17">
      <c r="A337" s="14">
        <v>188.376</v>
      </c>
      <c r="B337" s="23">
        <v>48.068427</v>
      </c>
      <c r="C337" s="23">
        <v>67.571464000000006</v>
      </c>
      <c r="D337" s="23">
        <v>21.927682999999998</v>
      </c>
      <c r="E337" s="23">
        <f>(B337 - D337)/($L$7 - D337)</f>
        <v>0.47384316089129508</v>
      </c>
      <c r="F337" s="23">
        <f t="shared" si="10"/>
        <v>-0.74687889623689452</v>
      </c>
      <c r="G337" s="23">
        <f>(C337 - D337)/($L$7 - D337)</f>
        <v>0.82736717302575769</v>
      </c>
      <c r="H337" s="23">
        <f t="shared" si="11"/>
        <v>-0.18950670059594538</v>
      </c>
      <c r="I337" s="23"/>
      <c r="J337" s="15"/>
      <c r="K337" s="15"/>
      <c r="L337" s="15"/>
      <c r="M337" s="15"/>
      <c r="N337" s="15"/>
      <c r="O337" s="15"/>
      <c r="P337" s="15"/>
      <c r="Q337" s="15"/>
    </row>
    <row r="338" spans="1:17">
      <c r="A338" s="14">
        <v>188.94</v>
      </c>
      <c r="B338" s="23">
        <v>48.016421999999999</v>
      </c>
      <c r="C338" s="23">
        <v>67.544965000000005</v>
      </c>
      <c r="D338" s="23">
        <v>21.921502</v>
      </c>
      <c r="E338" s="23">
        <f>(B338 - D338)/($L$7 - D338)</f>
        <v>0.47295953628907578</v>
      </c>
      <c r="F338" s="23">
        <f t="shared" si="10"/>
        <v>-0.74874544110711028</v>
      </c>
      <c r="G338" s="23">
        <f>(C338 - D338)/($L$7 - D338)</f>
        <v>0.82690622942633318</v>
      </c>
      <c r="H338" s="23">
        <f t="shared" si="11"/>
        <v>-0.19006397681240436</v>
      </c>
      <c r="I338" s="23"/>
      <c r="J338" s="15"/>
      <c r="K338" s="15"/>
      <c r="L338" s="15"/>
      <c r="M338" s="15"/>
      <c r="N338" s="15"/>
      <c r="O338" s="15"/>
      <c r="P338" s="15"/>
      <c r="Q338" s="15"/>
    </row>
    <row r="339" spans="1:17">
      <c r="A339" s="14">
        <v>189.50399999999999</v>
      </c>
      <c r="B339" s="23">
        <v>47.962719999999997</v>
      </c>
      <c r="C339" s="23">
        <v>67.525439000000006</v>
      </c>
      <c r="D339" s="23">
        <v>21.926409</v>
      </c>
      <c r="E339" s="23">
        <f>(B339 - D339)/($L$7 - D339)</f>
        <v>0.47193924563526213</v>
      </c>
      <c r="F339" s="23">
        <f t="shared" si="10"/>
        <v>-0.75090501855575409</v>
      </c>
      <c r="G339" s="23">
        <f>(C339 - D339)/($L$7 - D339)</f>
        <v>0.82653690147961789</v>
      </c>
      <c r="H339" s="23">
        <f t="shared" si="11"/>
        <v>-0.19051071482952056</v>
      </c>
      <c r="I339" s="23"/>
      <c r="J339" s="15"/>
      <c r="K339" s="15"/>
      <c r="L339" s="15"/>
      <c r="M339" s="15"/>
      <c r="N339" s="15"/>
      <c r="O339" s="15"/>
      <c r="P339" s="15"/>
      <c r="Q339" s="15"/>
    </row>
    <row r="340" spans="1:17">
      <c r="A340" s="14">
        <v>190.06800000000001</v>
      </c>
      <c r="B340" s="23">
        <v>47.912972000000003</v>
      </c>
      <c r="C340" s="23">
        <v>67.503681</v>
      </c>
      <c r="D340" s="23">
        <v>21.922367999999999</v>
      </c>
      <c r="E340" s="23">
        <f>(B340 - D340)/($L$7 - D340)</f>
        <v>0.47107624627765082</v>
      </c>
      <c r="F340" s="23">
        <f t="shared" si="10"/>
        <v>-0.75273531637362057</v>
      </c>
      <c r="G340" s="23">
        <f>(C340 - D340)/($L$7 - D340)</f>
        <v>0.82615524550513264</v>
      </c>
      <c r="H340" s="23">
        <f t="shared" si="11"/>
        <v>-0.19097257456784625</v>
      </c>
      <c r="I340" s="23"/>
      <c r="J340" s="15"/>
      <c r="K340" s="15"/>
      <c r="L340" s="15"/>
      <c r="M340" s="15"/>
      <c r="N340" s="15"/>
      <c r="O340" s="15"/>
      <c r="P340" s="15"/>
      <c r="Q340" s="15"/>
    </row>
    <row r="341" spans="1:17">
      <c r="A341" s="14">
        <v>190.63200000000001</v>
      </c>
      <c r="B341" s="23">
        <v>47.856596000000003</v>
      </c>
      <c r="C341" s="23">
        <v>67.479297000000003</v>
      </c>
      <c r="D341" s="23">
        <v>21.927564</v>
      </c>
      <c r="E341" s="23">
        <f>(B341 - D341)/($L$7 - D341)</f>
        <v>0.47000452548054372</v>
      </c>
      <c r="F341" s="23">
        <f t="shared" si="10"/>
        <v>-0.75501295564238036</v>
      </c>
      <c r="G341" s="23">
        <f>(C341 - D341)/($L$7 - D341)</f>
        <v>0.82569687343057863</v>
      </c>
      <c r="H341" s="23">
        <f t="shared" si="11"/>
        <v>-0.19152755413419426</v>
      </c>
      <c r="I341" s="23"/>
      <c r="J341" s="15"/>
      <c r="K341" s="15"/>
      <c r="L341" s="15"/>
      <c r="M341" s="15"/>
      <c r="N341" s="15"/>
      <c r="O341" s="15"/>
      <c r="P341" s="15"/>
      <c r="Q341" s="15"/>
    </row>
    <row r="342" spans="1:17">
      <c r="A342" s="14">
        <v>191.196</v>
      </c>
      <c r="B342" s="23">
        <v>47.813628999999999</v>
      </c>
      <c r="C342" s="23">
        <v>67.460329000000002</v>
      </c>
      <c r="D342" s="23">
        <v>21.926867999999999</v>
      </c>
      <c r="E342" s="23">
        <f>(B342 - D342)/($L$7 - D342)</f>
        <v>0.46923237717706023</v>
      </c>
      <c r="F342" s="23">
        <f t="shared" si="10"/>
        <v>-0.75665715951735846</v>
      </c>
      <c r="G342" s="23">
        <f>(C342 - D342)/($L$7 - D342)</f>
        <v>0.8253552519038192</v>
      </c>
      <c r="H342" s="23">
        <f t="shared" si="11"/>
        <v>-0.19194137696436739</v>
      </c>
      <c r="I342" s="23"/>
      <c r="J342" s="15"/>
      <c r="K342" s="15"/>
      <c r="L342" s="15"/>
      <c r="M342" s="15"/>
      <c r="N342" s="15"/>
      <c r="O342" s="15"/>
      <c r="P342" s="15"/>
      <c r="Q342" s="15"/>
    </row>
    <row r="343" spans="1:17">
      <c r="A343" s="14">
        <v>191.76</v>
      </c>
      <c r="B343" s="23">
        <v>47.750024000000003</v>
      </c>
      <c r="C343" s="23">
        <v>67.434106999999997</v>
      </c>
      <c r="D343" s="23">
        <v>21.910820000000001</v>
      </c>
      <c r="E343" s="23">
        <f>(B343 - D343)/($L$7 - D343)</f>
        <v>0.46823413718298412</v>
      </c>
      <c r="F343" s="23">
        <f t="shared" si="10"/>
        <v>-0.75878681504333756</v>
      </c>
      <c r="G343" s="23">
        <f>(C343 - D343)/($L$7 - D343)</f>
        <v>0.82493086900735613</v>
      </c>
      <c r="H343" s="23">
        <f t="shared" si="11"/>
        <v>-0.1924556913010638</v>
      </c>
      <c r="I343" s="23"/>
      <c r="J343" s="15"/>
      <c r="K343" s="15"/>
      <c r="L343" s="15"/>
      <c r="M343" s="15"/>
      <c r="N343" s="15"/>
      <c r="O343" s="15"/>
      <c r="P343" s="15"/>
      <c r="Q343" s="15"/>
    </row>
    <row r="344" spans="1:17">
      <c r="A344" s="14">
        <v>192.32400000000001</v>
      </c>
      <c r="B344" s="23">
        <v>47.709440999999998</v>
      </c>
      <c r="C344" s="23">
        <v>67.406490000000005</v>
      </c>
      <c r="D344" s="23">
        <v>21.909547</v>
      </c>
      <c r="E344" s="23">
        <f>(B344 - D344)/($L$7 - D344)</f>
        <v>0.46751101314601068</v>
      </c>
      <c r="F344" s="23">
        <f t="shared" si="10"/>
        <v>-0.76033237299929601</v>
      </c>
      <c r="G344" s="23">
        <f>(C344 - D344)/($L$7 - D344)</f>
        <v>0.82443446926473041</v>
      </c>
      <c r="H344" s="23">
        <f t="shared" si="11"/>
        <v>-0.19305761950471287</v>
      </c>
      <c r="I344" s="23"/>
      <c r="J344" s="15"/>
      <c r="K344" s="15"/>
      <c r="L344" s="15"/>
      <c r="M344" s="15"/>
      <c r="N344" s="15"/>
      <c r="O344" s="15"/>
      <c r="P344" s="15"/>
      <c r="Q344" s="15"/>
    </row>
    <row r="345" spans="1:17">
      <c r="A345" s="14">
        <v>192.88800000000001</v>
      </c>
      <c r="B345" s="23">
        <v>47.659967000000002</v>
      </c>
      <c r="C345" s="23">
        <v>67.381825000000006</v>
      </c>
      <c r="D345" s="23">
        <v>21.919073999999998</v>
      </c>
      <c r="E345" s="23">
        <f>(B345 - D345)/($L$7 - D345)</f>
        <v>0.46652241462754757</v>
      </c>
      <c r="F345" s="23">
        <f t="shared" si="10"/>
        <v>-0.76244921134410581</v>
      </c>
      <c r="G345" s="23">
        <f>(C345 - D345)/($L$7 - D345)</f>
        <v>0.82395713202844034</v>
      </c>
      <c r="H345" s="23">
        <f t="shared" si="11"/>
        <v>-0.19363677466330262</v>
      </c>
      <c r="I345" s="23"/>
      <c r="J345" s="15"/>
      <c r="K345" s="15"/>
      <c r="L345" s="15"/>
      <c r="M345" s="15"/>
      <c r="N345" s="15"/>
      <c r="O345" s="15"/>
      <c r="P345" s="15"/>
      <c r="Q345" s="15"/>
    </row>
    <row r="346" spans="1:17">
      <c r="A346" s="14">
        <v>193.452</v>
      </c>
      <c r="B346" s="23">
        <v>47.608387</v>
      </c>
      <c r="C346" s="23">
        <v>67.366760999999997</v>
      </c>
      <c r="D346" s="23">
        <v>21.921382999999999</v>
      </c>
      <c r="E346" s="23">
        <f>(B346 - D346)/($L$7 - D346)</f>
        <v>0.46556522485861634</v>
      </c>
      <c r="F346" s="23">
        <f t="shared" si="10"/>
        <v>-0.7645030742318043</v>
      </c>
      <c r="G346" s="23">
        <f>(C346 - D346)/($L$7 - D346)</f>
        <v>0.82367673658457075</v>
      </c>
      <c r="H346" s="23">
        <f t="shared" si="11"/>
        <v>-0.19397713601653518</v>
      </c>
      <c r="I346" s="23"/>
      <c r="J346" s="15"/>
      <c r="K346" s="15"/>
      <c r="L346" s="15"/>
      <c r="M346" s="15"/>
      <c r="N346" s="15"/>
      <c r="O346" s="15"/>
      <c r="P346" s="15"/>
      <c r="Q346" s="15"/>
    </row>
    <row r="347" spans="1:17">
      <c r="A347" s="14">
        <v>194.01599999999999</v>
      </c>
      <c r="B347" s="23">
        <v>47.558061000000002</v>
      </c>
      <c r="C347" s="23">
        <v>67.341094999999996</v>
      </c>
      <c r="D347" s="23">
        <v>21.915897999999999</v>
      </c>
      <c r="E347" s="23">
        <f>(B347 - D347)/($L$7 - D347)</f>
        <v>0.46470630429301668</v>
      </c>
      <c r="F347" s="23">
        <f t="shared" si="10"/>
        <v>-0.76634967661133813</v>
      </c>
      <c r="G347" s="23">
        <f>(C347 - D347)/($L$7 - D347)</f>
        <v>0.82322912539212167</v>
      </c>
      <c r="H347" s="23">
        <f t="shared" si="11"/>
        <v>-0.19452071438832313</v>
      </c>
      <c r="I347" s="23"/>
      <c r="J347" s="15"/>
      <c r="K347" s="15"/>
      <c r="L347" s="15"/>
      <c r="M347" s="15"/>
      <c r="N347" s="15"/>
      <c r="O347" s="15"/>
      <c r="P347" s="15"/>
      <c r="Q347" s="15"/>
    </row>
    <row r="348" spans="1:17">
      <c r="A348" s="14">
        <v>194.58</v>
      </c>
      <c r="B348" s="23">
        <v>47.490768000000003</v>
      </c>
      <c r="C348" s="23">
        <v>67.317661000000001</v>
      </c>
      <c r="D348" s="23">
        <v>21.911856</v>
      </c>
      <c r="E348" s="23">
        <f>(B348 - D348)/($L$7 - D348)</f>
        <v>0.4635260684703153</v>
      </c>
      <c r="F348" s="23">
        <f t="shared" si="10"/>
        <v>-0.76889265290338404</v>
      </c>
      <c r="G348" s="23">
        <f>(C348 - D348)/($L$7 - D348)</f>
        <v>0.8228174160566244</v>
      </c>
      <c r="H348" s="23">
        <f t="shared" si="11"/>
        <v>-0.19502095461083888</v>
      </c>
      <c r="I348" s="23"/>
      <c r="J348" s="15"/>
      <c r="K348" s="15"/>
      <c r="L348" s="15"/>
      <c r="M348" s="15"/>
      <c r="N348" s="15"/>
      <c r="O348" s="15"/>
      <c r="P348" s="15"/>
      <c r="Q348" s="15"/>
    </row>
    <row r="349" spans="1:17">
      <c r="A349" s="14">
        <v>195.14400000000001</v>
      </c>
      <c r="B349" s="23">
        <v>47.446249999999999</v>
      </c>
      <c r="C349" s="23">
        <v>67.295063999999996</v>
      </c>
      <c r="D349" s="23">
        <v>21.922537999999999</v>
      </c>
      <c r="E349" s="23">
        <f>(B349 - D349)/($L$7 - D349)</f>
        <v>0.4626153161979828</v>
      </c>
      <c r="F349" s="23">
        <f t="shared" si="10"/>
        <v>-0.77085942078783154</v>
      </c>
      <c r="G349" s="23">
        <f>(C349 - D349)/($L$7 - D349)</f>
        <v>0.82237354277431085</v>
      </c>
      <c r="H349" s="23">
        <f t="shared" si="11"/>
        <v>-0.19556055554980725</v>
      </c>
      <c r="I349" s="23"/>
      <c r="J349" s="15"/>
      <c r="K349" s="15"/>
      <c r="L349" s="15"/>
      <c r="M349" s="15"/>
      <c r="N349" s="15"/>
      <c r="O349" s="15"/>
      <c r="P349" s="15"/>
      <c r="Q349" s="15"/>
    </row>
    <row r="350" spans="1:17">
      <c r="A350" s="14">
        <v>195.708</v>
      </c>
      <c r="B350" s="23">
        <v>47.39152</v>
      </c>
      <c r="C350" s="23">
        <v>67.262144000000006</v>
      </c>
      <c r="D350" s="23">
        <v>21.915779000000001</v>
      </c>
      <c r="E350" s="23">
        <f>(B350 - D350)/($L$7 - D350)</f>
        <v>0.46168928564237743</v>
      </c>
      <c r="F350" s="23">
        <f t="shared" si="10"/>
        <v>-0.77286315605776845</v>
      </c>
      <c r="G350" s="23">
        <f>(C350 - D350)/($L$7 - D350)</f>
        <v>0.8217987010987633</v>
      </c>
      <c r="H350" s="23">
        <f t="shared" si="11"/>
        <v>-0.19625980309046115</v>
      </c>
      <c r="I350" s="23"/>
      <c r="J350" s="15"/>
      <c r="K350" s="15"/>
      <c r="L350" s="15"/>
      <c r="M350" s="15"/>
      <c r="N350" s="15"/>
      <c r="O350" s="15"/>
      <c r="P350" s="15"/>
      <c r="Q350" s="15"/>
    </row>
    <row r="351" spans="1:17">
      <c r="A351" s="14">
        <v>196.27199999999999</v>
      </c>
      <c r="B351" s="23">
        <v>47.329183</v>
      </c>
      <c r="C351" s="23">
        <v>67.237476999999998</v>
      </c>
      <c r="D351" s="23">
        <v>21.915490999999999</v>
      </c>
      <c r="E351" s="23">
        <f>(B351 - D351)/($L$7 - D351)</f>
        <v>0.46056238621833634</v>
      </c>
      <c r="F351" s="23">
        <f t="shared" si="10"/>
        <v>-0.7753069575042939</v>
      </c>
      <c r="G351" s="23">
        <f>(C351 - D351)/($L$7 - D351)</f>
        <v>0.82135260080723538</v>
      </c>
      <c r="H351" s="23">
        <f t="shared" si="11"/>
        <v>-0.19680278449694602</v>
      </c>
      <c r="I351" s="23"/>
      <c r="J351" s="15"/>
      <c r="K351" s="15"/>
      <c r="L351" s="15"/>
      <c r="M351" s="15"/>
      <c r="N351" s="15"/>
      <c r="O351" s="15"/>
      <c r="P351" s="15"/>
      <c r="Q351" s="15"/>
    </row>
    <row r="352" spans="1:17">
      <c r="A352" s="14">
        <v>196.83600000000001</v>
      </c>
      <c r="B352" s="23">
        <v>47.277558999999997</v>
      </c>
      <c r="C352" s="23">
        <v>67.212483000000006</v>
      </c>
      <c r="D352" s="23">
        <v>21.919243999999999</v>
      </c>
      <c r="E352" s="23">
        <f>(B352 - D352)/($L$7 - D352)</f>
        <v>0.45959006916456446</v>
      </c>
      <c r="F352" s="23">
        <f t="shared" si="10"/>
        <v>-0.77742034080285338</v>
      </c>
      <c r="G352" s="23">
        <f>(C352 - D352)/($L$7 - D352)</f>
        <v>0.82088746214790509</v>
      </c>
      <c r="H352" s="23">
        <f t="shared" si="11"/>
        <v>-0.19736925304470676</v>
      </c>
      <c r="I352" s="23"/>
      <c r="J352" s="15"/>
      <c r="K352" s="15"/>
      <c r="L352" s="15"/>
      <c r="M352" s="15"/>
      <c r="N352" s="15"/>
      <c r="O352" s="15"/>
      <c r="P352" s="15"/>
      <c r="Q352" s="15"/>
    </row>
    <row r="353" spans="1:17">
      <c r="A353" s="14">
        <v>197.4</v>
      </c>
      <c r="B353" s="23">
        <v>47.234164999999997</v>
      </c>
      <c r="C353" s="23">
        <v>67.191278999999994</v>
      </c>
      <c r="D353" s="23">
        <v>21.913181000000002</v>
      </c>
      <c r="E353" s="23">
        <f>(B353 - D353)/($L$7 - D353)</f>
        <v>0.45886306595782445</v>
      </c>
      <c r="F353" s="23">
        <f t="shared" si="10"/>
        <v>-0.77900344467778071</v>
      </c>
      <c r="G353" s="23">
        <f>(C353 - D353)/($L$7 - D353)</f>
        <v>0.82052288603866419</v>
      </c>
      <c r="H353" s="23">
        <f t="shared" si="11"/>
        <v>-0.19781347604554134</v>
      </c>
      <c r="I353" s="23"/>
      <c r="J353" s="15"/>
      <c r="K353" s="15"/>
      <c r="L353" s="15"/>
      <c r="M353" s="15"/>
      <c r="N353" s="15"/>
      <c r="O353" s="15"/>
      <c r="P353" s="15"/>
      <c r="Q353" s="15"/>
    </row>
    <row r="354" spans="1:17">
      <c r="A354" s="14">
        <v>197.964</v>
      </c>
      <c r="B354" s="23">
        <v>47.170659000000001</v>
      </c>
      <c r="C354" s="23">
        <v>67.167727999999997</v>
      </c>
      <c r="D354" s="23">
        <v>21.907865999999999</v>
      </c>
      <c r="E354" s="23">
        <f>(B354 - D354)/($L$7 - D354)</f>
        <v>0.45776444661563565</v>
      </c>
      <c r="F354" s="23">
        <f t="shared" si="10"/>
        <v>-0.78140053586952141</v>
      </c>
      <c r="G354" s="23">
        <f>(C354 - D354)/($L$7 - D354)</f>
        <v>0.82011342460550718</v>
      </c>
      <c r="H354" s="23">
        <f t="shared" si="11"/>
        <v>-0.19831262559989649</v>
      </c>
      <c r="I354" s="23"/>
      <c r="J354" s="15"/>
      <c r="K354" s="15"/>
      <c r="L354" s="15"/>
      <c r="M354" s="15"/>
      <c r="N354" s="15"/>
      <c r="O354" s="15"/>
      <c r="P354" s="15"/>
      <c r="Q354" s="15"/>
    </row>
    <row r="355" spans="1:17">
      <c r="A355" s="14">
        <v>198.52799999999999</v>
      </c>
      <c r="B355" s="23">
        <v>47.119059999999998</v>
      </c>
      <c r="C355" s="23">
        <v>67.136758</v>
      </c>
      <c r="D355" s="23">
        <v>21.918548000000001</v>
      </c>
      <c r="E355" s="23">
        <f>(B355 - D355)/($L$7 - D355)</f>
        <v>0.45672431147399734</v>
      </c>
      <c r="F355" s="23">
        <f t="shared" si="10"/>
        <v>-0.78367532728924605</v>
      </c>
      <c r="G355" s="23">
        <f>(C355 - D355)/($L$7 - D355)</f>
        <v>0.81951731093148517</v>
      </c>
      <c r="H355" s="23">
        <f t="shared" si="11"/>
        <v>-0.19903975724895231</v>
      </c>
      <c r="I355" s="23"/>
      <c r="J355" s="15"/>
      <c r="K355" s="15"/>
      <c r="L355" s="15"/>
      <c r="M355" s="15"/>
      <c r="N355" s="15"/>
      <c r="O355" s="15"/>
      <c r="P355" s="15"/>
      <c r="Q355" s="15"/>
    </row>
    <row r="356" spans="1:17">
      <c r="A356" s="14">
        <v>199.09200000000001</v>
      </c>
      <c r="B356" s="23">
        <v>47.063341999999999</v>
      </c>
      <c r="C356" s="23">
        <v>67.130340000000004</v>
      </c>
      <c r="D356" s="23">
        <v>21.918955</v>
      </c>
      <c r="E356" s="23">
        <f>(B356 - D356)/($L$7 - D356)</f>
        <v>0.4557104851906249</v>
      </c>
      <c r="F356" s="23">
        <f t="shared" si="10"/>
        <v>-0.78589757200042831</v>
      </c>
      <c r="G356" s="23">
        <f>(C356 - D356)/($L$7 - D356)</f>
        <v>0.81939966142305021</v>
      </c>
      <c r="H356" s="23">
        <f t="shared" si="11"/>
        <v>-0.19918332707051323</v>
      </c>
      <c r="I356" s="23"/>
      <c r="J356" s="15"/>
      <c r="K356" s="15"/>
      <c r="L356" s="15"/>
      <c r="M356" s="15"/>
      <c r="N356" s="15"/>
      <c r="O356" s="15"/>
      <c r="P356" s="15"/>
      <c r="Q356" s="15"/>
    </row>
    <row r="357" spans="1:17">
      <c r="A357" s="14">
        <v>199.65600000000001</v>
      </c>
      <c r="B357" s="23">
        <v>47.010167000000003</v>
      </c>
      <c r="C357" s="23">
        <v>67.089045999999996</v>
      </c>
      <c r="D357" s="23">
        <v>21.915084</v>
      </c>
      <c r="E357" s="23">
        <f>(B357 - D357)/($L$7 - D357)</f>
        <v>0.45478500565294361</v>
      </c>
      <c r="F357" s="23">
        <f t="shared" si="10"/>
        <v>-0.78793048675007638</v>
      </c>
      <c r="G357" s="23">
        <f>(C357 - D357)/($L$7 - D357)</f>
        <v>0.81866398144751518</v>
      </c>
      <c r="H357" s="23">
        <f t="shared" si="11"/>
        <v>-0.20008155837941308</v>
      </c>
      <c r="I357" s="23"/>
      <c r="J357" s="15"/>
      <c r="K357" s="15"/>
      <c r="L357" s="15"/>
      <c r="M357" s="15"/>
      <c r="N357" s="15"/>
      <c r="O357" s="15"/>
      <c r="P357" s="15"/>
      <c r="Q357" s="15"/>
    </row>
    <row r="358" spans="1:17">
      <c r="A358" s="14">
        <v>200.22</v>
      </c>
      <c r="B358" s="23">
        <v>46.952182000000001</v>
      </c>
      <c r="C358" s="23">
        <v>67.068562999999997</v>
      </c>
      <c r="D358" s="23">
        <v>21.922588999999999</v>
      </c>
      <c r="E358" s="23">
        <f>(B358 - D358)/($L$7 - D358)</f>
        <v>0.45365986669070524</v>
      </c>
      <c r="F358" s="23">
        <f t="shared" si="10"/>
        <v>-0.79040755403682061</v>
      </c>
      <c r="G358" s="23">
        <f>(C358 - D358)/($L$7 - D358)</f>
        <v>0.81826806158861798</v>
      </c>
      <c r="H358" s="23">
        <f t="shared" si="11"/>
        <v>-0.20056529240893728</v>
      </c>
      <c r="I358" s="23"/>
      <c r="J358" s="15"/>
      <c r="K358" s="15"/>
      <c r="L358" s="15"/>
      <c r="M358" s="15"/>
      <c r="N358" s="15"/>
      <c r="O358" s="15"/>
      <c r="P358" s="15"/>
      <c r="Q358" s="15"/>
    </row>
    <row r="359" spans="1:17">
      <c r="A359" s="14">
        <v>200.78399999999999</v>
      </c>
      <c r="B359" s="23">
        <v>46.895043000000001</v>
      </c>
      <c r="C359" s="23">
        <v>67.044286999999997</v>
      </c>
      <c r="D359" s="23">
        <v>21.932694000000001</v>
      </c>
      <c r="E359" s="23">
        <f>(B359 - D359)/($L$7 - D359)</f>
        <v>0.45252395413898266</v>
      </c>
      <c r="F359" s="23">
        <f t="shared" si="10"/>
        <v>-0.79291457991956826</v>
      </c>
      <c r="G359" s="23">
        <f>(C359 - D359)/($L$7 - D359)</f>
        <v>0.81779468918844345</v>
      </c>
      <c r="H359" s="23">
        <f t="shared" si="11"/>
        <v>-0.20114396509512764</v>
      </c>
      <c r="I359" s="23"/>
      <c r="J359" s="15"/>
      <c r="K359" s="15"/>
      <c r="L359" s="15"/>
      <c r="M359" s="15"/>
      <c r="N359" s="15"/>
      <c r="O359" s="15"/>
      <c r="P359" s="15"/>
      <c r="Q359" s="15"/>
    </row>
    <row r="360" spans="1:17">
      <c r="A360" s="14">
        <v>201.34800000000001</v>
      </c>
      <c r="B360" s="23">
        <v>46.840164000000001</v>
      </c>
      <c r="C360" s="23">
        <v>67.026150999999999</v>
      </c>
      <c r="D360" s="23">
        <v>21.937483</v>
      </c>
      <c r="E360" s="23">
        <f>(B360 - D360)/($L$7 - D360)</f>
        <v>0.45148147304103659</v>
      </c>
      <c r="F360" s="23">
        <f t="shared" si="10"/>
        <v>-0.79522094120614595</v>
      </c>
      <c r="G360" s="23">
        <f>(C360 - D360)/($L$7 - D360)</f>
        <v>0.81745006676583321</v>
      </c>
      <c r="H360" s="23">
        <f t="shared" si="11"/>
        <v>-0.20156545848497945</v>
      </c>
      <c r="I360" s="23"/>
      <c r="J360" s="15"/>
      <c r="K360" s="15"/>
      <c r="L360" s="15"/>
      <c r="M360" s="15"/>
      <c r="N360" s="15"/>
      <c r="O360" s="15"/>
      <c r="P360" s="15"/>
      <c r="Q360" s="15"/>
    </row>
    <row r="361" spans="1:17">
      <c r="A361" s="14">
        <v>201.91200000000001</v>
      </c>
      <c r="B361" s="23">
        <v>46.784309</v>
      </c>
      <c r="C361" s="23">
        <v>66.999364</v>
      </c>
      <c r="D361" s="23">
        <v>21.926801000000001</v>
      </c>
      <c r="E361" s="23">
        <f>(B361 - D361)/($L$7 - D361)</f>
        <v>0.45057523434844066</v>
      </c>
      <c r="F361" s="23">
        <f t="shared" si="10"/>
        <v>-0.79723021399367555</v>
      </c>
      <c r="G361" s="23">
        <f>(C361 - D361)/($L$7 - D361)</f>
        <v>0.81699986323688834</v>
      </c>
      <c r="H361" s="23">
        <f t="shared" si="11"/>
        <v>-0.20211635151885768</v>
      </c>
      <c r="I361" s="23"/>
      <c r="J361" s="15"/>
      <c r="K361" s="15"/>
      <c r="L361" s="15"/>
      <c r="M361" s="15"/>
      <c r="N361" s="15"/>
      <c r="O361" s="15"/>
      <c r="P361" s="15"/>
      <c r="Q361" s="15"/>
    </row>
    <row r="362" spans="1:17">
      <c r="A362" s="14">
        <v>202.476</v>
      </c>
      <c r="B362" s="23">
        <v>46.727885000000001</v>
      </c>
      <c r="C362" s="23">
        <v>66.965599999999995</v>
      </c>
      <c r="D362" s="23">
        <v>21.932286000000001</v>
      </c>
      <c r="E362" s="23">
        <f>(B362 - D362)/($L$7 - D362)</f>
        <v>0.44949774214191063</v>
      </c>
      <c r="F362" s="23">
        <f t="shared" si="10"/>
        <v>-0.79962444812665801</v>
      </c>
      <c r="G362" s="23">
        <f>(C362 - D362)/($L$7 - D362)</f>
        <v>0.81636958898099987</v>
      </c>
      <c r="H362" s="23">
        <f t="shared" si="11"/>
        <v>-0.20288809888601328</v>
      </c>
      <c r="I362" s="23"/>
      <c r="J362" s="15"/>
      <c r="K362" s="15"/>
      <c r="L362" s="15"/>
      <c r="M362" s="15"/>
      <c r="N362" s="15"/>
      <c r="O362" s="15"/>
      <c r="P362" s="15"/>
      <c r="Q362" s="15"/>
    </row>
    <row r="363" spans="1:17">
      <c r="A363" s="14">
        <v>203.04</v>
      </c>
      <c r="B363" s="23">
        <v>46.673282999999998</v>
      </c>
      <c r="C363" s="23">
        <v>66.947346999999993</v>
      </c>
      <c r="D363" s="23">
        <v>21.930266</v>
      </c>
      <c r="E363" s="23">
        <f>(B363 - D363)/($L$7 - D363)</f>
        <v>0.44852810445478758</v>
      </c>
      <c r="F363" s="23">
        <f t="shared" si="10"/>
        <v>-0.80178393622516686</v>
      </c>
      <c r="G363" s="23">
        <f>(C363 - D363)/($L$7 - D363)</f>
        <v>0.81604543249586869</v>
      </c>
      <c r="H363" s="23">
        <f t="shared" si="11"/>
        <v>-0.20328524848967058</v>
      </c>
      <c r="I363" s="23"/>
      <c r="J363" s="15"/>
      <c r="K363" s="15"/>
      <c r="L363" s="15"/>
      <c r="M363" s="15"/>
      <c r="N363" s="15"/>
      <c r="O363" s="15"/>
      <c r="P363" s="15"/>
      <c r="Q363" s="15"/>
    </row>
    <row r="364" spans="1:17">
      <c r="A364" s="14">
        <v>203.60400000000001</v>
      </c>
      <c r="B364" s="23">
        <v>46.618962000000003</v>
      </c>
      <c r="C364" s="23">
        <v>66.930605</v>
      </c>
      <c r="D364" s="23">
        <v>21.924202999999999</v>
      </c>
      <c r="E364" s="23">
        <f>(B364 - D364)/($L$7 - D364)</f>
        <v>0.44760411464845579</v>
      </c>
      <c r="F364" s="23">
        <f t="shared" si="10"/>
        <v>-0.80384610989569938</v>
      </c>
      <c r="G364" s="23">
        <f>(C364 - D364)/($L$7 - D364)</f>
        <v>0.81576219151288276</v>
      </c>
      <c r="H364" s="23">
        <f t="shared" si="11"/>
        <v>-0.20363239846208539</v>
      </c>
      <c r="I364" s="23"/>
      <c r="J364" s="15"/>
      <c r="K364" s="15"/>
      <c r="L364" s="15"/>
      <c r="M364" s="15"/>
      <c r="N364" s="15"/>
      <c r="O364" s="15"/>
      <c r="P364" s="15"/>
      <c r="Q364" s="15"/>
    </row>
    <row r="365" spans="1:17">
      <c r="A365" s="14">
        <v>204.16800000000001</v>
      </c>
      <c r="B365" s="23">
        <v>46.568159000000001</v>
      </c>
      <c r="C365" s="23">
        <v>66.900745999999998</v>
      </c>
      <c r="D365" s="23">
        <v>21.924085000000002</v>
      </c>
      <c r="E365" s="23">
        <f>(B365 - D365)/($L$7 - D365)</f>
        <v>0.44668446982778182</v>
      </c>
      <c r="F365" s="23">
        <f t="shared" si="10"/>
        <v>-0.80590281767619953</v>
      </c>
      <c r="G365" s="23">
        <f>(C365 - D365)/($L$7 - D365)</f>
        <v>0.81522137830818342</v>
      </c>
      <c r="H365" s="23">
        <f t="shared" si="11"/>
        <v>-0.20429557279998442</v>
      </c>
      <c r="I365" s="23"/>
      <c r="J365" s="15"/>
      <c r="K365" s="15"/>
      <c r="L365" s="15"/>
      <c r="M365" s="15"/>
      <c r="N365" s="15"/>
      <c r="O365" s="15"/>
      <c r="P365" s="15"/>
      <c r="Q365" s="15"/>
    </row>
    <row r="366" spans="1:17">
      <c r="A366" s="14">
        <v>204.732</v>
      </c>
      <c r="B366" s="23">
        <v>46.509022999999999</v>
      </c>
      <c r="C366" s="23">
        <v>66.872726</v>
      </c>
      <c r="D366" s="23">
        <v>21.924662000000001</v>
      </c>
      <c r="E366" s="23">
        <f>(B366 - D366)/($L$7 - D366)</f>
        <v>0.44560680627213178</v>
      </c>
      <c r="F366" s="23">
        <f t="shared" si="10"/>
        <v>-0.80831831608685578</v>
      </c>
      <c r="G366" s="23">
        <f>(C366 - D366)/($L$7 - D366)</f>
        <v>0.81471156590791127</v>
      </c>
      <c r="H366" s="23">
        <f t="shared" si="11"/>
        <v>-0.20492113524254574</v>
      </c>
      <c r="I366" s="23"/>
      <c r="J366" s="15"/>
      <c r="K366" s="15"/>
      <c r="L366" s="15"/>
      <c r="M366" s="15"/>
      <c r="N366" s="15"/>
      <c r="O366" s="15"/>
      <c r="P366" s="15"/>
      <c r="Q366" s="15"/>
    </row>
    <row r="367" spans="1:17">
      <c r="A367" s="14">
        <v>205.29599999999999</v>
      </c>
      <c r="B367" s="23">
        <v>46.451739000000003</v>
      </c>
      <c r="C367" s="23">
        <v>66.857493000000005</v>
      </c>
      <c r="D367" s="23">
        <v>21.924085000000002</v>
      </c>
      <c r="E367" s="23">
        <f>(B367 - D367)/($L$7 - D367)</f>
        <v>0.44457430711777901</v>
      </c>
      <c r="F367" s="23">
        <f t="shared" si="10"/>
        <v>-0.81063806788080706</v>
      </c>
      <c r="G367" s="23">
        <f>(C367 - D367)/($L$7 - D367)</f>
        <v>0.81443739902888657</v>
      </c>
      <c r="H367" s="23">
        <f t="shared" si="11"/>
        <v>-0.20525771205352333</v>
      </c>
      <c r="I367" s="23"/>
      <c r="J367" s="15"/>
      <c r="K367" s="15"/>
      <c r="L367" s="15"/>
      <c r="M367" s="15"/>
      <c r="N367" s="15"/>
      <c r="O367" s="15"/>
      <c r="P367" s="15"/>
      <c r="Q367" s="15"/>
    </row>
    <row r="368" spans="1:17">
      <c r="A368" s="14">
        <v>205.86</v>
      </c>
      <c r="B368" s="23">
        <v>46.397691999999999</v>
      </c>
      <c r="C368" s="23">
        <v>66.83896</v>
      </c>
      <c r="D368" s="23">
        <v>21.926971999999999</v>
      </c>
      <c r="E368" s="23">
        <f>(B368 - D368)/($L$7 - D368)</f>
        <v>0.44356556476524689</v>
      </c>
      <c r="F368" s="23">
        <f t="shared" si="10"/>
        <v>-0.81290965328809439</v>
      </c>
      <c r="G368" s="23">
        <f>(C368 - D368)/($L$7 - D368)</f>
        <v>0.81409175218179075</v>
      </c>
      <c r="H368" s="23">
        <f t="shared" si="11"/>
        <v>-0.20568220166370815</v>
      </c>
      <c r="I368" s="23"/>
      <c r="J368" s="15"/>
      <c r="K368" s="15"/>
      <c r="L368" s="15"/>
      <c r="M368" s="15"/>
      <c r="N368" s="15"/>
      <c r="O368" s="15"/>
      <c r="P368" s="15"/>
      <c r="Q368" s="15"/>
    </row>
    <row r="369" spans="1:17">
      <c r="A369" s="14">
        <v>206.42400000000001</v>
      </c>
      <c r="B369" s="23">
        <v>46.344082</v>
      </c>
      <c r="C369" s="23">
        <v>66.812005999999997</v>
      </c>
      <c r="D369" s="23">
        <v>21.93205</v>
      </c>
      <c r="E369" s="23">
        <f>(B369 - D369)/($L$7 - D369)</f>
        <v>0.44254249794645473</v>
      </c>
      <c r="F369" s="23">
        <f t="shared" si="10"/>
        <v>-0.81521877858879199</v>
      </c>
      <c r="G369" s="23">
        <f>(C369 - D369)/($L$7 - D369)</f>
        <v>0.81358601512430329</v>
      </c>
      <c r="H369" s="23">
        <f t="shared" si="11"/>
        <v>-0.20630362327911711</v>
      </c>
      <c r="I369" s="23"/>
      <c r="J369" s="15"/>
      <c r="K369" s="15"/>
      <c r="L369" s="15"/>
      <c r="M369" s="15"/>
      <c r="N369" s="15"/>
      <c r="O369" s="15"/>
      <c r="P369" s="15"/>
      <c r="Q369" s="15"/>
    </row>
    <row r="370" spans="1:17">
      <c r="A370" s="14">
        <v>206.988</v>
      </c>
      <c r="B370" s="23">
        <v>46.295250000000003</v>
      </c>
      <c r="C370" s="23">
        <v>66.790960999999996</v>
      </c>
      <c r="D370" s="23">
        <v>21.935514000000001</v>
      </c>
      <c r="E370" s="23">
        <f>(B370 - D370)/($L$7 - D370)</f>
        <v>0.44162220544023539</v>
      </c>
      <c r="F370" s="23">
        <f t="shared" si="10"/>
        <v>-0.81730050122494835</v>
      </c>
      <c r="G370" s="23">
        <f>(C370 - D370)/($L$7 - D370)</f>
        <v>0.8131927796815035</v>
      </c>
      <c r="H370" s="23">
        <f t="shared" si="11"/>
        <v>-0.20678707616369429</v>
      </c>
      <c r="I370" s="23"/>
      <c r="J370" s="15"/>
      <c r="K370" s="15"/>
      <c r="L370" s="15"/>
      <c r="M370" s="15"/>
      <c r="N370" s="15"/>
      <c r="O370" s="15"/>
      <c r="P370" s="15"/>
      <c r="Q370" s="15"/>
    </row>
    <row r="371" spans="1:17">
      <c r="A371" s="14">
        <v>207.55199999999999</v>
      </c>
      <c r="B371" s="23">
        <v>46.231164999999997</v>
      </c>
      <c r="C371" s="23">
        <v>66.756635000000003</v>
      </c>
      <c r="D371" s="23">
        <v>21.934647999999999</v>
      </c>
      <c r="E371" s="23">
        <f>(B371 - D371)/($L$7 - D371)</f>
        <v>0.44046918106563787</v>
      </c>
      <c r="F371" s="23">
        <f t="shared" si="10"/>
        <v>-0.81991479958209612</v>
      </c>
      <c r="G371" s="23">
        <f>(C371 - D371)/($L$7 - D371)</f>
        <v>0.81257341978789266</v>
      </c>
      <c r="H371" s="23">
        <f t="shared" si="11"/>
        <v>-0.20754900604484994</v>
      </c>
      <c r="I371" s="23"/>
      <c r="J371" s="15"/>
      <c r="K371" s="15"/>
      <c r="L371" s="15"/>
      <c r="M371" s="15"/>
      <c r="N371" s="15"/>
      <c r="O371" s="15"/>
      <c r="P371" s="15"/>
      <c r="Q371" s="15"/>
    </row>
    <row r="372" spans="1:17">
      <c r="A372" s="14">
        <v>208.11600000000001</v>
      </c>
      <c r="B372" s="23">
        <v>46.178522999999998</v>
      </c>
      <c r="C372" s="23">
        <v>66.736541000000003</v>
      </c>
      <c r="D372" s="23">
        <v>21.933205000000001</v>
      </c>
      <c r="E372" s="23">
        <f>(B372 - D372)/($L$7 - D372)</f>
        <v>0.43952950130634355</v>
      </c>
      <c r="F372" s="23">
        <f t="shared" si="10"/>
        <v>-0.82205043940808931</v>
      </c>
      <c r="G372" s="23">
        <f>(C372 - D372)/($L$7 - D372)</f>
        <v>0.81221405010817149</v>
      </c>
      <c r="H372" s="23">
        <f t="shared" si="11"/>
        <v>-0.20799136505147658</v>
      </c>
      <c r="I372" s="23"/>
      <c r="J372" s="15"/>
      <c r="K372" s="15"/>
      <c r="L372" s="15"/>
      <c r="M372" s="15"/>
      <c r="N372" s="15"/>
      <c r="O372" s="15"/>
      <c r="P372" s="15"/>
      <c r="Q372" s="15"/>
    </row>
    <row r="373" spans="1:17">
      <c r="A373" s="14">
        <v>208.68</v>
      </c>
      <c r="B373" s="23">
        <v>46.129275999999997</v>
      </c>
      <c r="C373" s="23">
        <v>66.717726999999996</v>
      </c>
      <c r="D373" s="23">
        <v>21.927430999999999</v>
      </c>
      <c r="E373" s="23">
        <f>(B373 - D373)/($L$7 - D373)</f>
        <v>0.43869548434588285</v>
      </c>
      <c r="F373" s="23">
        <f t="shared" si="10"/>
        <v>-0.823949764125122</v>
      </c>
      <c r="G373" s="23">
        <f>(C373 - D373)/($L$7 - D373)</f>
        <v>0.81189267172463331</v>
      </c>
      <c r="H373" s="23">
        <f t="shared" si="11"/>
        <v>-0.20838712523572137</v>
      </c>
      <c r="I373" s="23"/>
      <c r="J373" s="15"/>
      <c r="K373" s="15"/>
      <c r="L373" s="15"/>
      <c r="M373" s="15"/>
      <c r="N373" s="15"/>
      <c r="O373" s="15"/>
      <c r="P373" s="15"/>
      <c r="Q373" s="15"/>
    </row>
    <row r="374" spans="1:17">
      <c r="A374" s="14">
        <v>209.244</v>
      </c>
      <c r="B374" s="23">
        <v>46.076630999999999</v>
      </c>
      <c r="C374" s="23">
        <v>66.694841999999994</v>
      </c>
      <c r="D374" s="23">
        <v>21.927023999999999</v>
      </c>
      <c r="E374" s="23">
        <f>(B374 - D374)/($L$7 - D374)</f>
        <v>0.4377453611740772</v>
      </c>
      <c r="F374" s="23">
        <f t="shared" si="10"/>
        <v>-0.8261179048475904</v>
      </c>
      <c r="G374" s="23">
        <f>(C374 - D374)/($L$7 - D374)</f>
        <v>0.81147923688304124</v>
      </c>
      <c r="H374" s="23">
        <f t="shared" si="11"/>
        <v>-0.20889647845088835</v>
      </c>
      <c r="I374" s="23"/>
      <c r="J374" s="15"/>
      <c r="K374" s="15"/>
      <c r="L374" s="15"/>
      <c r="M374" s="15"/>
      <c r="N374" s="15"/>
      <c r="O374" s="15"/>
      <c r="P374" s="15"/>
      <c r="Q374" s="15"/>
    </row>
    <row r="375" spans="1:17">
      <c r="A375" s="14">
        <v>209.80799999999999</v>
      </c>
      <c r="B375" s="23">
        <v>46.021152999999998</v>
      </c>
      <c r="C375" s="23">
        <v>66.678933999999998</v>
      </c>
      <c r="D375" s="23">
        <v>21.919229000000001</v>
      </c>
      <c r="E375" s="23">
        <f>(B375 - D375)/($L$7 - D375)</f>
        <v>0.43681931969027737</v>
      </c>
      <c r="F375" s="23">
        <f t="shared" si="10"/>
        <v>-0.82823562546940321</v>
      </c>
      <c r="G375" s="23">
        <f>(C375 - D375)/($L$7 - D375)</f>
        <v>0.81121755622652814</v>
      </c>
      <c r="H375" s="23">
        <f t="shared" si="11"/>
        <v>-0.20921900408832436</v>
      </c>
      <c r="I375" s="23"/>
      <c r="J375" s="15"/>
      <c r="K375" s="15"/>
      <c r="L375" s="15"/>
      <c r="M375" s="15"/>
      <c r="N375" s="15"/>
      <c r="O375" s="15"/>
      <c r="P375" s="15"/>
      <c r="Q375" s="15"/>
    </row>
    <row r="376" spans="1:17">
      <c r="A376" s="14">
        <v>210.37200000000001</v>
      </c>
      <c r="B376" s="23">
        <v>45.974888</v>
      </c>
      <c r="C376" s="23">
        <v>66.639860999999996</v>
      </c>
      <c r="D376" s="23">
        <v>21.919229000000001</v>
      </c>
      <c r="E376" s="23">
        <f>(B376 - D376)/($L$7 - D376)</f>
        <v>0.43598082041422498</v>
      </c>
      <c r="F376" s="23">
        <f t="shared" si="10"/>
        <v>-0.83015702647631651</v>
      </c>
      <c r="G376" s="23">
        <f>(C376 - D376)/($L$7 - D376)</f>
        <v>0.81050940357953372</v>
      </c>
      <c r="H376" s="23">
        <f t="shared" si="11"/>
        <v>-0.21009233567811131</v>
      </c>
      <c r="I376" s="23"/>
      <c r="J376" s="15"/>
      <c r="K376" s="15"/>
      <c r="L376" s="15"/>
      <c r="M376" s="15"/>
      <c r="N376" s="15"/>
      <c r="O376" s="15"/>
      <c r="P376" s="15"/>
      <c r="Q376" s="15"/>
    </row>
    <row r="377" spans="1:17">
      <c r="A377" s="14">
        <v>210.93600000000001</v>
      </c>
      <c r="B377" s="23">
        <v>45.916418</v>
      </c>
      <c r="C377" s="23">
        <v>66.624790000000004</v>
      </c>
      <c r="D377" s="23">
        <v>21.917379</v>
      </c>
      <c r="E377" s="23">
        <f>(B377 - D377)/($L$7 - D377)</f>
        <v>0.43494006566806831</v>
      </c>
      <c r="F377" s="23">
        <f t="shared" si="10"/>
        <v>-0.83254703745940539</v>
      </c>
      <c r="G377" s="23">
        <f>(C377 - D377)/($L$7 - D377)</f>
        <v>0.81024262163952998</v>
      </c>
      <c r="H377" s="23">
        <f t="shared" si="11"/>
        <v>-0.21042154327836357</v>
      </c>
      <c r="I377" s="23"/>
      <c r="J377" s="15"/>
      <c r="K377" s="15"/>
      <c r="L377" s="15"/>
      <c r="M377" s="15"/>
      <c r="N377" s="15"/>
      <c r="O377" s="15"/>
      <c r="P377" s="15"/>
      <c r="Q377" s="15"/>
    </row>
    <row r="378" spans="1:17">
      <c r="A378" s="14">
        <v>211.5</v>
      </c>
      <c r="B378" s="23">
        <v>45.862506000000003</v>
      </c>
      <c r="C378" s="23">
        <v>66.603742999999994</v>
      </c>
      <c r="D378" s="23">
        <v>21.919111000000001</v>
      </c>
      <c r="E378" s="23">
        <f>(B378 - D378)/($L$7 - D378)</f>
        <v>0.43394523804021951</v>
      </c>
      <c r="F378" s="23">
        <f t="shared" si="10"/>
        <v>-0.83483693247388213</v>
      </c>
      <c r="G378" s="23">
        <f>(C378 - D378)/($L$7 - D378)</f>
        <v>0.80985521351419065</v>
      </c>
      <c r="H378" s="23">
        <f t="shared" si="11"/>
        <v>-0.21089979604102682</v>
      </c>
      <c r="I378" s="23"/>
      <c r="J378" s="15"/>
      <c r="K378" s="15"/>
      <c r="L378" s="15"/>
      <c r="M378" s="15"/>
      <c r="N378" s="15"/>
      <c r="O378" s="15"/>
      <c r="P378" s="15"/>
      <c r="Q378" s="15"/>
    </row>
    <row r="379" spans="1:17">
      <c r="A379" s="14">
        <v>212.06399999999999</v>
      </c>
      <c r="B379" s="23">
        <v>45.810825999999999</v>
      </c>
      <c r="C379" s="23">
        <v>66.584320000000005</v>
      </c>
      <c r="D379" s="23">
        <v>21.913336999999999</v>
      </c>
      <c r="E379" s="23">
        <f>(B379 - D379)/($L$7 - D379)</f>
        <v>0.43306792782532533</v>
      </c>
      <c r="F379" s="23">
        <f t="shared" si="10"/>
        <v>-0.83686068608884079</v>
      </c>
      <c r="G379" s="23">
        <f>(C379 - D379)/($L$7 - D379)</f>
        <v>0.80952312779515612</v>
      </c>
      <c r="H379" s="23">
        <f t="shared" si="11"/>
        <v>-0.2113099358029569</v>
      </c>
      <c r="I379" s="23"/>
      <c r="J379" s="15"/>
      <c r="K379" s="15"/>
      <c r="L379" s="15"/>
      <c r="M379" s="15"/>
      <c r="N379" s="15"/>
      <c r="O379" s="15"/>
      <c r="P379" s="15"/>
      <c r="Q379" s="15"/>
    </row>
    <row r="380" spans="1:17">
      <c r="A380" s="14">
        <v>212.62799999999999</v>
      </c>
      <c r="B380" s="23">
        <v>45.754770999999998</v>
      </c>
      <c r="C380" s="23">
        <v>66.562714</v>
      </c>
      <c r="D380" s="23">
        <v>21.908429999999999</v>
      </c>
      <c r="E380" s="23">
        <f>(B380 - D380)/($L$7 - D380)</f>
        <v>0.43210260447271076</v>
      </c>
      <c r="F380" s="23">
        <f t="shared" si="10"/>
        <v>-0.83909220858564837</v>
      </c>
      <c r="G380" s="23">
        <f>(C380 - D380)/($L$7 - D380)</f>
        <v>0.80914855730965596</v>
      </c>
      <c r="H380" s="23">
        <f t="shared" si="11"/>
        <v>-0.2117727479910404</v>
      </c>
      <c r="I380" s="23"/>
      <c r="J380" s="15"/>
      <c r="K380" s="15"/>
      <c r="L380" s="15"/>
      <c r="M380" s="15"/>
      <c r="N380" s="15"/>
      <c r="O380" s="15"/>
      <c r="P380" s="15"/>
      <c r="Q380" s="15"/>
    </row>
    <row r="381" spans="1:17">
      <c r="A381" s="14">
        <v>213.19200000000001</v>
      </c>
      <c r="B381" s="23">
        <v>45.706515000000003</v>
      </c>
      <c r="C381" s="23">
        <v>66.534244999999999</v>
      </c>
      <c r="D381" s="23">
        <v>21.916972000000001</v>
      </c>
      <c r="E381" s="23">
        <f>(B381 - D381)/($L$7 - D381)</f>
        <v>0.43114014165083347</v>
      </c>
      <c r="F381" s="23">
        <f t="shared" si="10"/>
        <v>-0.84132208708739864</v>
      </c>
      <c r="G381" s="23">
        <f>(C381 - D381)/($L$7 - D381)</f>
        <v>0.80860306569545726</v>
      </c>
      <c r="H381" s="23">
        <f t="shared" si="11"/>
        <v>-0.21244713042047558</v>
      </c>
      <c r="I381" s="23"/>
      <c r="J381" s="15"/>
      <c r="K381" s="15"/>
      <c r="L381" s="15"/>
      <c r="M381" s="15"/>
      <c r="N381" s="15"/>
      <c r="O381" s="15"/>
      <c r="P381" s="15"/>
      <c r="Q381" s="15"/>
    </row>
    <row r="382" spans="1:17">
      <c r="A382" s="14">
        <v>213.756</v>
      </c>
      <c r="B382" s="23">
        <v>45.649889000000002</v>
      </c>
      <c r="C382" s="23">
        <v>66.507170000000002</v>
      </c>
      <c r="D382" s="23">
        <v>21.907851999999998</v>
      </c>
      <c r="E382" s="23">
        <f>(B382 - D382)/($L$7 - D382)</f>
        <v>0.43020807999168803</v>
      </c>
      <c r="F382" s="23">
        <f t="shared" si="10"/>
        <v>-0.84348628038232887</v>
      </c>
      <c r="G382" s="23">
        <f>(C382 - D382)/($L$7 - D382)</f>
        <v>0.80814409335301474</v>
      </c>
      <c r="H382" s="23">
        <f t="shared" si="11"/>
        <v>-0.21301490300285317</v>
      </c>
      <c r="I382" s="23"/>
      <c r="J382" s="15"/>
      <c r="K382" s="15"/>
      <c r="L382" s="15"/>
      <c r="M382" s="15"/>
      <c r="N382" s="15"/>
      <c r="O382" s="15"/>
      <c r="P382" s="15"/>
      <c r="Q382" s="15"/>
    </row>
    <row r="383" spans="1:17">
      <c r="A383" s="14">
        <v>214.32</v>
      </c>
      <c r="B383" s="23">
        <v>45.592694999999999</v>
      </c>
      <c r="C383" s="23">
        <v>66.483165999999997</v>
      </c>
      <c r="D383" s="23">
        <v>21.899650999999999</v>
      </c>
      <c r="E383" s="23">
        <f>(B383 - D383)/($L$7 - D383)</f>
        <v>0.42925653315979273</v>
      </c>
      <c r="F383" s="23">
        <f t="shared" si="10"/>
        <v>-0.84570055937909827</v>
      </c>
      <c r="G383" s="23">
        <f>(C383 - D383)/($L$7 - D383)</f>
        <v>0.80773770921868948</v>
      </c>
      <c r="H383" s="23">
        <f t="shared" si="11"/>
        <v>-0.2135178904642458</v>
      </c>
      <c r="I383" s="23"/>
      <c r="J383" s="15"/>
      <c r="K383" s="15"/>
      <c r="L383" s="15"/>
      <c r="M383" s="15"/>
      <c r="N383" s="15"/>
      <c r="O383" s="15"/>
      <c r="P383" s="15"/>
      <c r="Q383" s="15"/>
    </row>
    <row r="384" spans="1:17">
      <c r="A384" s="14">
        <v>214.88399999999999</v>
      </c>
      <c r="B384" s="23">
        <v>45.542703000000003</v>
      </c>
      <c r="C384" s="23">
        <v>66.464907999999994</v>
      </c>
      <c r="D384" s="23">
        <v>21.900804999999998</v>
      </c>
      <c r="E384" s="23">
        <f>(B384 - D384)/($L$7 - D384)</f>
        <v>0.42833885572518704</v>
      </c>
      <c r="F384" s="23">
        <f t="shared" si="10"/>
        <v>-0.84784067766040994</v>
      </c>
      <c r="G384" s="23">
        <f>(C384 - D384)/($L$7 - D384)</f>
        <v>0.80740289487076589</v>
      </c>
      <c r="H384" s="23">
        <f t="shared" si="11"/>
        <v>-0.21393248514643232</v>
      </c>
      <c r="I384" s="23"/>
      <c r="J384" s="15"/>
      <c r="K384" s="15"/>
      <c r="L384" s="15"/>
      <c r="M384" s="15"/>
      <c r="N384" s="15"/>
      <c r="O384" s="15"/>
      <c r="P384" s="15"/>
      <c r="Q384" s="15"/>
    </row>
    <row r="385" spans="1:17">
      <c r="A385" s="14">
        <v>215.44800000000001</v>
      </c>
      <c r="B385" s="23">
        <v>45.484245000000001</v>
      </c>
      <c r="C385" s="23">
        <v>66.442297999999994</v>
      </c>
      <c r="D385" s="23">
        <v>21.896764000000001</v>
      </c>
      <c r="E385" s="23">
        <f>(B385 - D385)/($L$7 - D385)</f>
        <v>0.42732165423134749</v>
      </c>
      <c r="F385" s="23">
        <f t="shared" si="10"/>
        <v>-0.85021826073496243</v>
      </c>
      <c r="G385" s="23">
        <f>(C385 - D385)/($L$7 - D385)</f>
        <v>0.80700738147912987</v>
      </c>
      <c r="H385" s="23">
        <f t="shared" si="11"/>
        <v>-0.21442246393973277</v>
      </c>
      <c r="I385" s="23"/>
      <c r="J385" s="15"/>
      <c r="K385" s="15"/>
      <c r="L385" s="15"/>
      <c r="M385" s="15"/>
      <c r="N385" s="15"/>
      <c r="O385" s="15"/>
      <c r="P385" s="15"/>
      <c r="Q385" s="15"/>
    </row>
    <row r="386" spans="1:17">
      <c r="A386" s="14">
        <v>216.012</v>
      </c>
      <c r="B386" s="23">
        <v>45.424778000000003</v>
      </c>
      <c r="C386" s="23">
        <v>66.417455000000004</v>
      </c>
      <c r="D386" s="23">
        <v>21.900687000000001</v>
      </c>
      <c r="E386" s="23">
        <f>(B386 - D386)/($L$7 - D386)</f>
        <v>0.42620354249433451</v>
      </c>
      <c r="F386" s="23">
        <f t="shared" si="10"/>
        <v>-0.85283824754002213</v>
      </c>
      <c r="G386" s="23">
        <f>(C386 - D386)/($L$7 - D386)</f>
        <v>0.806543565147679</v>
      </c>
      <c r="H386" s="23">
        <f t="shared" si="11"/>
        <v>-0.21499736533369895</v>
      </c>
      <c r="I386" s="23"/>
      <c r="J386" s="15"/>
      <c r="K386" s="15"/>
      <c r="L386" s="15"/>
      <c r="M386" s="15"/>
      <c r="N386" s="15"/>
      <c r="O386" s="15"/>
      <c r="P386" s="15"/>
      <c r="Q386" s="15"/>
    </row>
    <row r="387" spans="1:17">
      <c r="A387" s="14">
        <v>216.57599999999999</v>
      </c>
      <c r="B387" s="23">
        <v>45.374369999999999</v>
      </c>
      <c r="C387" s="23">
        <v>66.406011000000007</v>
      </c>
      <c r="D387" s="23">
        <v>21.891159999999999</v>
      </c>
      <c r="E387" s="23">
        <f>(B387 - D387)/($L$7 - D387)</f>
        <v>0.42538944532777373</v>
      </c>
      <c r="F387" s="23">
        <f t="shared" si="10"/>
        <v>-0.85475018769499722</v>
      </c>
      <c r="G387" s="23">
        <f>(C387 - D387)/($L$7 - D387)</f>
        <v>0.80636964774996678</v>
      </c>
      <c r="H387" s="23">
        <f t="shared" si="11"/>
        <v>-0.21521302157235522</v>
      </c>
      <c r="I387" s="23"/>
      <c r="J387" s="15"/>
      <c r="K387" s="15"/>
      <c r="L387" s="15"/>
      <c r="M387" s="15"/>
      <c r="N387" s="15"/>
      <c r="O387" s="15"/>
      <c r="P387" s="15"/>
      <c r="Q387" s="15"/>
    </row>
    <row r="388" spans="1:17">
      <c r="A388" s="14">
        <v>217.14</v>
      </c>
      <c r="B388" s="23">
        <v>45.324244</v>
      </c>
      <c r="C388" s="23">
        <v>66.371281999999994</v>
      </c>
      <c r="D388" s="23">
        <v>21.892603999999999</v>
      </c>
      <c r="E388" s="23">
        <f>(B388 - D388)/($L$7 - D388)</f>
        <v>0.42446637731546688</v>
      </c>
      <c r="F388" s="23">
        <f t="shared" ref="F388:F451" si="12">LN(E388)</f>
        <v>-0.85692248174935037</v>
      </c>
      <c r="G388" s="23">
        <f>(C388 - D388)/($L$7 - D388)</f>
        <v>0.80573546360566961</v>
      </c>
      <c r="H388" s="23">
        <f t="shared" ref="H388:H451" si="13">LN(G388)</f>
        <v>-0.21599979927381444</v>
      </c>
      <c r="I388" s="23"/>
      <c r="J388" s="15"/>
      <c r="K388" s="15"/>
      <c r="L388" s="15"/>
      <c r="M388" s="15"/>
      <c r="N388" s="15"/>
      <c r="O388" s="15"/>
      <c r="P388" s="15"/>
      <c r="Q388" s="15"/>
    </row>
    <row r="389" spans="1:17">
      <c r="A389" s="14">
        <v>217.70400000000001</v>
      </c>
      <c r="B389" s="23">
        <v>45.262504</v>
      </c>
      <c r="C389" s="23">
        <v>66.346439000000004</v>
      </c>
      <c r="D389" s="23">
        <v>21.890754000000001</v>
      </c>
      <c r="E389" s="23">
        <f>(B389 - D389)/($L$7 - D389)</f>
        <v>0.42336727601870805</v>
      </c>
      <c r="F389" s="23">
        <f t="shared" si="12"/>
        <v>-0.85951521184006852</v>
      </c>
      <c r="G389" s="23">
        <f>(C389 - D389)/($L$7 - D389)</f>
        <v>0.805291955544439</v>
      </c>
      <c r="H389" s="23">
        <f t="shared" si="13"/>
        <v>-0.21655038962027631</v>
      </c>
      <c r="I389" s="23"/>
      <c r="J389" s="15"/>
      <c r="K389" s="15"/>
      <c r="L389" s="15"/>
      <c r="M389" s="15"/>
      <c r="N389" s="15"/>
      <c r="O389" s="15"/>
      <c r="P389" s="15"/>
      <c r="Q389" s="15"/>
    </row>
    <row r="390" spans="1:17">
      <c r="A390" s="14">
        <v>218.268</v>
      </c>
      <c r="B390" s="23">
        <v>45.208565999999998</v>
      </c>
      <c r="C390" s="23">
        <v>66.331085000000002</v>
      </c>
      <c r="D390" s="23">
        <v>21.886251999999999</v>
      </c>
      <c r="E390" s="23">
        <f>(B390 - D390)/($L$7 - D390)</f>
        <v>0.42243731784424599</v>
      </c>
      <c r="F390" s="23">
        <f t="shared" si="12"/>
        <v>-0.86171420332332371</v>
      </c>
      <c r="G390" s="23">
        <f>(C390 - D390)/($L$7 - D390)</f>
        <v>0.80502972580488519</v>
      </c>
      <c r="H390" s="23">
        <f t="shared" si="13"/>
        <v>-0.21687607577964294</v>
      </c>
      <c r="I390" s="23"/>
      <c r="J390" s="15"/>
      <c r="K390" s="15"/>
      <c r="L390" s="15"/>
      <c r="M390" s="15"/>
      <c r="N390" s="15"/>
      <c r="O390" s="15"/>
      <c r="P390" s="15"/>
      <c r="Q390" s="15"/>
    </row>
    <row r="391" spans="1:17">
      <c r="A391" s="14">
        <v>218.83199999999999</v>
      </c>
      <c r="B391" s="23">
        <v>45.156294000000003</v>
      </c>
      <c r="C391" s="23">
        <v>66.305124000000006</v>
      </c>
      <c r="D391" s="23">
        <v>21.880361000000001</v>
      </c>
      <c r="E391" s="23">
        <f>(B391 - D391)/($L$7 - D391)</f>
        <v>0.42155223710298823</v>
      </c>
      <c r="F391" s="23">
        <f t="shared" si="12"/>
        <v>-0.86381157777665429</v>
      </c>
      <c r="G391" s="23">
        <f>(C391 - D391)/($L$7 - D391)</f>
        <v>0.80458034594875572</v>
      </c>
      <c r="H391" s="23">
        <f t="shared" si="13"/>
        <v>-0.21743444687297919</v>
      </c>
      <c r="I391" s="23"/>
      <c r="J391" s="15"/>
      <c r="K391" s="15"/>
      <c r="L391" s="15"/>
      <c r="M391" s="15"/>
      <c r="N391" s="15"/>
      <c r="O391" s="15"/>
      <c r="P391" s="15"/>
      <c r="Q391" s="15"/>
    </row>
    <row r="392" spans="1:17">
      <c r="A392" s="14">
        <v>219.39599999999999</v>
      </c>
      <c r="B392" s="23">
        <v>45.109715999999999</v>
      </c>
      <c r="C392" s="23">
        <v>66.284188</v>
      </c>
      <c r="D392" s="23">
        <v>21.882959</v>
      </c>
      <c r="E392" s="23">
        <f>(B392 - D392)/($L$7 - D392)</f>
        <v>0.42068140087883071</v>
      </c>
      <c r="F392" s="23">
        <f t="shared" si="12"/>
        <v>-0.86587949930155061</v>
      </c>
      <c r="G392" s="23">
        <f>(C392 - D392)/($L$7 - D392)</f>
        <v>0.80419195914702013</v>
      </c>
      <c r="H392" s="23">
        <f t="shared" si="13"/>
        <v>-0.21791728314266232</v>
      </c>
      <c r="I392" s="23"/>
      <c r="J392" s="15"/>
      <c r="K392" s="15"/>
      <c r="L392" s="15"/>
      <c r="M392" s="15"/>
      <c r="N392" s="15"/>
      <c r="O392" s="15"/>
      <c r="P392" s="15"/>
      <c r="Q392" s="15"/>
    </row>
    <row r="393" spans="1:17">
      <c r="A393" s="14">
        <v>219.96</v>
      </c>
      <c r="B393" s="23">
        <v>45.052214999999997</v>
      </c>
      <c r="C393" s="23">
        <v>66.259062999999998</v>
      </c>
      <c r="D393" s="23">
        <v>21.884691</v>
      </c>
      <c r="E393" s="23">
        <f>(B393 - D393)/($L$7 - D393)</f>
        <v>0.41962174039555339</v>
      </c>
      <c r="F393" s="23">
        <f t="shared" si="12"/>
        <v>-0.86840159161070019</v>
      </c>
      <c r="G393" s="23">
        <f>(C393 - D393)/($L$7 - D393)</f>
        <v>0.80373073996166844</v>
      </c>
      <c r="H393" s="23">
        <f t="shared" si="13"/>
        <v>-0.21849096644007054</v>
      </c>
      <c r="I393" s="23"/>
      <c r="J393" s="15"/>
      <c r="K393" s="15"/>
      <c r="L393" s="15"/>
      <c r="M393" s="15"/>
      <c r="N393" s="15"/>
      <c r="O393" s="15"/>
      <c r="P393" s="15"/>
      <c r="Q393" s="15"/>
    </row>
    <row r="394" spans="1:17">
      <c r="A394" s="14">
        <v>220.524</v>
      </c>
      <c r="B394" s="23">
        <v>44.994995000000003</v>
      </c>
      <c r="C394" s="23">
        <v>66.240916999999996</v>
      </c>
      <c r="D394" s="23">
        <v>21.882670000000001</v>
      </c>
      <c r="E394" s="23">
        <f>(B394 - D394)/($L$7 - D394)</f>
        <v>0.41860662535284582</v>
      </c>
      <c r="F394" s="23">
        <f t="shared" si="12"/>
        <v>-0.87082364168783133</v>
      </c>
      <c r="G394" s="23">
        <f>(C394 - D394)/($L$7 - D394)</f>
        <v>0.80340926684087344</v>
      </c>
      <c r="H394" s="23">
        <f t="shared" si="13"/>
        <v>-0.21889102259413531</v>
      </c>
      <c r="I394" s="23"/>
      <c r="J394" s="15"/>
      <c r="K394" s="15"/>
      <c r="L394" s="15"/>
      <c r="M394" s="15"/>
      <c r="N394" s="15"/>
      <c r="O394" s="15"/>
      <c r="P394" s="15"/>
      <c r="Q394" s="15"/>
    </row>
    <row r="395" spans="1:17">
      <c r="A395" s="14">
        <v>221.08799999999999</v>
      </c>
      <c r="B395" s="23">
        <v>44.942022000000001</v>
      </c>
      <c r="C395" s="23">
        <v>66.223050999999998</v>
      </c>
      <c r="D395" s="23">
        <v>21.877932999999999</v>
      </c>
      <c r="E395" s="23">
        <f>(B395 - D395)/($L$7 - D395)</f>
        <v>0.41769714621623794</v>
      </c>
      <c r="F395" s="23">
        <f t="shared" si="12"/>
        <v>-0.87299863963967494</v>
      </c>
      <c r="G395" s="23">
        <f>(C395 - D395)/($L$7 - D395)</f>
        <v>0.80310257375534422</v>
      </c>
      <c r="H395" s="23">
        <f t="shared" si="13"/>
        <v>-0.21927283501718128</v>
      </c>
      <c r="I395" s="23"/>
      <c r="J395" s="15"/>
      <c r="K395" s="15"/>
      <c r="L395" s="15"/>
      <c r="M395" s="15"/>
      <c r="N395" s="15"/>
      <c r="O395" s="15"/>
      <c r="P395" s="15"/>
      <c r="Q395" s="15"/>
    </row>
    <row r="396" spans="1:17">
      <c r="A396" s="14">
        <v>221.65199999999999</v>
      </c>
      <c r="B396" s="23">
        <v>44.889330000000001</v>
      </c>
      <c r="C396" s="23">
        <v>66.206186000000002</v>
      </c>
      <c r="D396" s="23">
        <v>21.879664999999999</v>
      </c>
      <c r="E396" s="23">
        <f>(B396 - D396)/($L$7 - D396)</f>
        <v>0.41672458365465759</v>
      </c>
      <c r="F396" s="23">
        <f t="shared" si="12"/>
        <v>-0.87532974624243376</v>
      </c>
      <c r="G396" s="23">
        <f>(C396 - D396)/($L$7 - D396)</f>
        <v>0.80279095799892941</v>
      </c>
      <c r="H396" s="23">
        <f t="shared" si="13"/>
        <v>-0.21966092520393923</v>
      </c>
      <c r="I396" s="23"/>
      <c r="J396" s="15"/>
      <c r="K396" s="15"/>
      <c r="L396" s="15"/>
      <c r="M396" s="15"/>
      <c r="N396" s="15"/>
      <c r="O396" s="15"/>
      <c r="P396" s="15"/>
      <c r="Q396" s="15"/>
    </row>
    <row r="397" spans="1:17">
      <c r="A397" s="14">
        <v>222.21600000000001</v>
      </c>
      <c r="B397" s="23">
        <v>44.842301999999997</v>
      </c>
      <c r="C397" s="23">
        <v>66.178826000000001</v>
      </c>
      <c r="D397" s="23">
        <v>21.878799000000001</v>
      </c>
      <c r="E397" s="23">
        <f>(B397 - D397)/($L$7 - D397)</f>
        <v>0.41588202792044321</v>
      </c>
      <c r="F397" s="23">
        <f t="shared" si="12"/>
        <v>-0.87735364566889795</v>
      </c>
      <c r="G397" s="23">
        <f>(C397 - D397)/($L$7 - D397)</f>
        <v>0.80229854590087546</v>
      </c>
      <c r="H397" s="23">
        <f t="shared" si="13"/>
        <v>-0.22027448863738686</v>
      </c>
      <c r="I397" s="23"/>
      <c r="J397" s="15"/>
      <c r="K397" s="15"/>
      <c r="L397" s="15"/>
      <c r="M397" s="15"/>
      <c r="N397" s="15"/>
      <c r="O397" s="15"/>
      <c r="P397" s="15"/>
      <c r="Q397" s="15"/>
    </row>
    <row r="398" spans="1:17">
      <c r="A398" s="14">
        <v>222.78</v>
      </c>
      <c r="B398" s="23">
        <v>44.791871999999998</v>
      </c>
      <c r="C398" s="23">
        <v>66.149512999999999</v>
      </c>
      <c r="D398" s="23">
        <v>21.880243</v>
      </c>
      <c r="E398" s="23">
        <f>(B398 - D398)/($L$7 - D398)</f>
        <v>0.41495341215873388</v>
      </c>
      <c r="F398" s="23">
        <f t="shared" si="12"/>
        <v>-0.87958902491152091</v>
      </c>
      <c r="G398" s="23">
        <f>(C398 - D398)/($L$7 - D398)</f>
        <v>0.80176248665148486</v>
      </c>
      <c r="H398" s="23">
        <f t="shared" si="13"/>
        <v>-0.22094286628445645</v>
      </c>
      <c r="I398" s="23"/>
      <c r="J398" s="15"/>
      <c r="K398" s="15"/>
      <c r="L398" s="15"/>
      <c r="M398" s="15"/>
      <c r="N398" s="15"/>
      <c r="O398" s="15"/>
      <c r="P398" s="15"/>
      <c r="Q398" s="15"/>
    </row>
    <row r="399" spans="1:17">
      <c r="A399" s="14">
        <v>223.34399999999999</v>
      </c>
      <c r="B399" s="23">
        <v>44.735081999999998</v>
      </c>
      <c r="C399" s="23">
        <v>66.136669999999995</v>
      </c>
      <c r="D399" s="23">
        <v>21.881685999999998</v>
      </c>
      <c r="E399" s="23">
        <f>(B399 - D399)/($L$7 - D399)</f>
        <v>0.41390956921767325</v>
      </c>
      <c r="F399" s="23">
        <f t="shared" si="12"/>
        <v>-0.88210776085790088</v>
      </c>
      <c r="G399" s="23">
        <f>(C399 - D399)/($L$7 - D399)</f>
        <v>0.80152469957528494</v>
      </c>
      <c r="H399" s="23">
        <f t="shared" si="13"/>
        <v>-0.22123949071953727</v>
      </c>
      <c r="I399" s="23"/>
      <c r="J399" s="15"/>
      <c r="K399" s="15"/>
      <c r="L399" s="15"/>
      <c r="M399" s="15"/>
      <c r="N399" s="15"/>
      <c r="O399" s="15"/>
      <c r="P399" s="15"/>
      <c r="Q399" s="15"/>
    </row>
    <row r="400" spans="1:17">
      <c r="A400" s="14">
        <v>223.90799999999999</v>
      </c>
      <c r="B400" s="23">
        <v>44.683357000000001</v>
      </c>
      <c r="C400" s="23">
        <v>66.113498000000007</v>
      </c>
      <c r="D400" s="23">
        <v>21.871870000000001</v>
      </c>
      <c r="E400" s="23">
        <f>(B400 - D400)/($L$7 - D400)</f>
        <v>0.41307709591361735</v>
      </c>
      <c r="F400" s="23">
        <f t="shared" si="12"/>
        <v>-0.88412103052799706</v>
      </c>
      <c r="G400" s="23">
        <f>(C400 - D400)/($L$7 - D400)</f>
        <v>0.80114037338866084</v>
      </c>
      <c r="H400" s="23">
        <f t="shared" si="13"/>
        <v>-0.22171909959162725</v>
      </c>
      <c r="I400" s="23"/>
      <c r="J400" s="15"/>
      <c r="K400" s="15"/>
      <c r="L400" s="15"/>
      <c r="M400" s="15"/>
      <c r="N400" s="15"/>
      <c r="O400" s="15"/>
      <c r="P400" s="15"/>
      <c r="Q400" s="15"/>
    </row>
    <row r="401" spans="1:17">
      <c r="A401" s="14">
        <v>224.47200000000001</v>
      </c>
      <c r="B401" s="23">
        <v>44.640289000000003</v>
      </c>
      <c r="C401" s="23">
        <v>66.079436999999999</v>
      </c>
      <c r="D401" s="23">
        <v>21.884744000000001</v>
      </c>
      <c r="E401" s="23">
        <f>(B401 - D401)/($L$7 - D401)</f>
        <v>0.41216016709302927</v>
      </c>
      <c r="F401" s="23">
        <f t="shared" si="12"/>
        <v>-0.88634325009812021</v>
      </c>
      <c r="G401" s="23">
        <f>(C401 - D401)/($L$7 - D401)</f>
        <v>0.80047707279720748</v>
      </c>
      <c r="H401" s="23">
        <f t="shared" si="13"/>
        <v>-0.2225473880583333</v>
      </c>
      <c r="I401" s="23"/>
      <c r="J401" s="15"/>
      <c r="K401" s="15"/>
      <c r="L401" s="15"/>
      <c r="M401" s="15"/>
      <c r="N401" s="15"/>
      <c r="O401" s="15"/>
      <c r="P401" s="15"/>
      <c r="Q401" s="15"/>
    </row>
    <row r="402" spans="1:17">
      <c r="A402" s="14">
        <v>225.036</v>
      </c>
      <c r="B402" s="23">
        <v>44.583775000000003</v>
      </c>
      <c r="C402" s="23">
        <v>66.076250999999999</v>
      </c>
      <c r="D402" s="23">
        <v>21.873773</v>
      </c>
      <c r="E402" s="23">
        <f>(B402 - D402)/($L$7 - D402)</f>
        <v>0.41125354760480332</v>
      </c>
      <c r="F402" s="23">
        <f t="shared" si="12"/>
        <v>-0.88854535054510397</v>
      </c>
      <c r="G402" s="23">
        <f>(C402 - D402)/($L$7 - D402)</f>
        <v>0.80045901759159988</v>
      </c>
      <c r="H402" s="23">
        <f t="shared" si="13"/>
        <v>-0.22256994386892032</v>
      </c>
      <c r="I402" s="23"/>
      <c r="J402" s="15"/>
      <c r="K402" s="15"/>
      <c r="L402" s="15"/>
      <c r="M402" s="15"/>
      <c r="N402" s="15"/>
      <c r="O402" s="15"/>
      <c r="P402" s="15"/>
      <c r="Q402" s="15"/>
    </row>
    <row r="403" spans="1:17">
      <c r="A403" s="14">
        <v>225.6</v>
      </c>
      <c r="B403" s="23">
        <v>44.536011999999999</v>
      </c>
      <c r="C403" s="23">
        <v>66.050563999999994</v>
      </c>
      <c r="D403" s="23">
        <v>21.876660000000001</v>
      </c>
      <c r="E403" s="23">
        <f>(B403 - D403)/($L$7 - D403)</f>
        <v>0.41035778463191863</v>
      </c>
      <c r="F403" s="23">
        <f t="shared" si="12"/>
        <v>-0.89072585437375018</v>
      </c>
      <c r="G403" s="23">
        <f>(C403 - D403)/($L$7 - D403)</f>
        <v>0.79998339687662068</v>
      </c>
      <c r="H403" s="23">
        <f t="shared" si="13"/>
        <v>-0.22316430543379917</v>
      </c>
      <c r="I403" s="23"/>
      <c r="J403" s="15"/>
      <c r="K403" s="15"/>
      <c r="L403" s="15"/>
      <c r="M403" s="15"/>
      <c r="N403" s="15"/>
      <c r="O403" s="15"/>
      <c r="P403" s="15"/>
      <c r="Q403" s="15"/>
    </row>
    <row r="404" spans="1:17">
      <c r="A404" s="14">
        <v>226.16399999999999</v>
      </c>
      <c r="B404" s="23">
        <v>44.489696000000002</v>
      </c>
      <c r="C404" s="23">
        <v>66.024154999999993</v>
      </c>
      <c r="D404" s="23">
        <v>21.865400999999999</v>
      </c>
      <c r="E404" s="23">
        <f>(B404 - D404)/($L$7 - D404)</f>
        <v>0.40963938208341755</v>
      </c>
      <c r="F404" s="23">
        <f t="shared" si="12"/>
        <v>-0.89247806221413584</v>
      </c>
      <c r="G404" s="23">
        <f>(C404 - D404)/($L$7 - D404)</f>
        <v>0.79954600583724877</v>
      </c>
      <c r="H404" s="23">
        <f t="shared" si="13"/>
        <v>-0.22371120510257891</v>
      </c>
      <c r="I404" s="23"/>
      <c r="J404" s="15"/>
      <c r="K404" s="15"/>
      <c r="L404" s="15"/>
      <c r="M404" s="15"/>
      <c r="N404" s="15"/>
      <c r="O404" s="15"/>
      <c r="P404" s="15"/>
      <c r="Q404" s="15"/>
    </row>
    <row r="405" spans="1:17">
      <c r="A405" s="14">
        <v>226.72800000000001</v>
      </c>
      <c r="B405" s="23">
        <v>44.439819999999997</v>
      </c>
      <c r="C405" s="23">
        <v>66.004216999999997</v>
      </c>
      <c r="D405" s="23">
        <v>21.875505</v>
      </c>
      <c r="E405" s="23">
        <f>(B405 - D405)/($L$7 - D405)</f>
        <v>0.40862813024943045</v>
      </c>
      <c r="F405" s="23">
        <f t="shared" si="12"/>
        <v>-0.89494975352187744</v>
      </c>
      <c r="G405" s="23">
        <f>(C405 - D405)/($L$7 - D405)</f>
        <v>0.79914826020092355</v>
      </c>
      <c r="H405" s="23">
        <f t="shared" si="13"/>
        <v>-0.2242087932318183</v>
      </c>
      <c r="I405" s="23"/>
      <c r="J405" s="15"/>
      <c r="K405" s="15"/>
      <c r="L405" s="15"/>
      <c r="M405" s="15"/>
      <c r="N405" s="15"/>
      <c r="O405" s="15"/>
      <c r="P405" s="15"/>
      <c r="Q405" s="15"/>
    </row>
    <row r="406" spans="1:17">
      <c r="A406" s="14">
        <v>227.292</v>
      </c>
      <c r="B406" s="23">
        <v>44.406379000000001</v>
      </c>
      <c r="C406" s="23">
        <v>65.980648000000002</v>
      </c>
      <c r="D406" s="23">
        <v>21.879546999999999</v>
      </c>
      <c r="E406" s="23">
        <f>(B406 - D406)/($L$7 - D406)</f>
        <v>0.40797919589411985</v>
      </c>
      <c r="F406" s="23">
        <f t="shared" si="12"/>
        <v>-0.89653909633362139</v>
      </c>
      <c r="G406" s="23">
        <f>(C406 - D406)/($L$7 - D406)</f>
        <v>0.79870670336713845</v>
      </c>
      <c r="H406" s="23">
        <f t="shared" si="13"/>
        <v>-0.22476148024671361</v>
      </c>
      <c r="I406" s="23"/>
      <c r="J406" s="15"/>
      <c r="K406" s="15"/>
      <c r="L406" s="15"/>
      <c r="M406" s="15"/>
      <c r="N406" s="15"/>
      <c r="O406" s="15"/>
      <c r="P406" s="15"/>
      <c r="Q406" s="15"/>
    </row>
    <row r="407" spans="1:17">
      <c r="A407" s="14">
        <v>227.85599999999999</v>
      </c>
      <c r="B407" s="23">
        <v>44.365851999999997</v>
      </c>
      <c r="C407" s="23">
        <v>65.957752999999997</v>
      </c>
      <c r="D407" s="23">
        <v>21.870598000000001</v>
      </c>
      <c r="E407" s="23">
        <f>(B407 - D407)/($L$7 - D407)</f>
        <v>0.40734127341973103</v>
      </c>
      <c r="F407" s="23">
        <f t="shared" si="12"/>
        <v>-0.89810393526155896</v>
      </c>
      <c r="G407" s="23">
        <f>(C407 - D407)/($L$7 - D407)</f>
        <v>0.79832474259472974</v>
      </c>
      <c r="H407" s="23">
        <f t="shared" si="13"/>
        <v>-0.22523981870480406</v>
      </c>
      <c r="I407" s="23"/>
      <c r="J407" s="15"/>
      <c r="K407" s="15"/>
      <c r="L407" s="15"/>
      <c r="M407" s="15"/>
      <c r="N407" s="15"/>
      <c r="O407" s="15"/>
      <c r="P407" s="15"/>
      <c r="Q407" s="15"/>
    </row>
    <row r="408" spans="1:17">
      <c r="A408" s="14">
        <v>228.42</v>
      </c>
      <c r="B408" s="23">
        <v>44.302368000000001</v>
      </c>
      <c r="C408" s="23">
        <v>65.936252999999994</v>
      </c>
      <c r="D408" s="23">
        <v>21.865860000000001</v>
      </c>
      <c r="E408" s="23">
        <f>(B408 - D408)/($L$7 - D408)</f>
        <v>0.40624265449120273</v>
      </c>
      <c r="F408" s="23">
        <f t="shared" si="12"/>
        <v>-0.90080462675408168</v>
      </c>
      <c r="G408" s="23">
        <f>(C408 - D408)/($L$7 - D408)</f>
        <v>0.79795275792429543</v>
      </c>
      <c r="H408" s="23">
        <f t="shared" si="13"/>
        <v>-0.22570588388087376</v>
      </c>
      <c r="I408" s="23"/>
      <c r="J408" s="15"/>
      <c r="K408" s="15"/>
      <c r="L408" s="15"/>
      <c r="M408" s="15"/>
      <c r="N408" s="15"/>
      <c r="O408" s="15"/>
      <c r="P408" s="15"/>
      <c r="Q408" s="15"/>
    </row>
    <row r="409" spans="1:17">
      <c r="A409" s="14">
        <v>228.98400000000001</v>
      </c>
      <c r="B409" s="23">
        <v>44.261837999999997</v>
      </c>
      <c r="C409" s="23">
        <v>65.917824999999993</v>
      </c>
      <c r="D409" s="23">
        <v>21.873078</v>
      </c>
      <c r="E409" s="23">
        <f>(B409 - D409)/($L$7 - D409)</f>
        <v>0.40543110016734601</v>
      </c>
      <c r="F409" s="23">
        <f t="shared" si="12"/>
        <v>-0.90280433313768105</v>
      </c>
      <c r="G409" s="23">
        <f>(C409 - D409)/($L$7 - D409)</f>
        <v>0.79759264170067534</v>
      </c>
      <c r="H409" s="23">
        <f t="shared" si="13"/>
        <v>-0.22615728592787238</v>
      </c>
      <c r="I409" s="23"/>
      <c r="J409" s="15"/>
      <c r="K409" s="15"/>
      <c r="L409" s="15"/>
      <c r="M409" s="15"/>
      <c r="N409" s="15"/>
      <c r="O409" s="15"/>
      <c r="P409" s="15"/>
      <c r="Q409" s="15"/>
    </row>
    <row r="410" spans="1:17">
      <c r="A410" s="14">
        <v>229.548</v>
      </c>
      <c r="B410" s="23">
        <v>44.211260000000003</v>
      </c>
      <c r="C410" s="23">
        <v>65.887110000000007</v>
      </c>
      <c r="D410" s="23">
        <v>21.880873000000001</v>
      </c>
      <c r="E410" s="23">
        <f>(B410 - D410)/($L$7 - D410)</f>
        <v>0.40443113002239117</v>
      </c>
      <c r="F410" s="23">
        <f t="shared" si="12"/>
        <v>-0.90527381650376171</v>
      </c>
      <c r="G410" s="23">
        <f>(C410 - D410)/($L$7 - D410)</f>
        <v>0.79700777948645318</v>
      </c>
      <c r="H410" s="23">
        <f t="shared" si="13"/>
        <v>-0.22689083927788714</v>
      </c>
      <c r="I410" s="23"/>
      <c r="J410" s="15"/>
      <c r="K410" s="15"/>
      <c r="L410" s="15"/>
      <c r="M410" s="15"/>
      <c r="N410" s="15"/>
      <c r="O410" s="15"/>
      <c r="P410" s="15"/>
      <c r="Q410" s="15"/>
    </row>
    <row r="411" spans="1:17">
      <c r="A411" s="14">
        <v>230.11199999999999</v>
      </c>
      <c r="B411" s="23">
        <v>44.163358000000002</v>
      </c>
      <c r="C411" s="23">
        <v>65.86354</v>
      </c>
      <c r="D411" s="23">
        <v>21.878563</v>
      </c>
      <c r="E411" s="23">
        <f>(B411 - D411)/($L$7 - D411)</f>
        <v>0.40358851717534416</v>
      </c>
      <c r="F411" s="23">
        <f t="shared" si="12"/>
        <v>-0.9073594419100367</v>
      </c>
      <c r="G411" s="23">
        <f>(C411 - D411)/($L$7 - D411)</f>
        <v>0.79658940750505514</v>
      </c>
      <c r="H411" s="23">
        <f t="shared" si="13"/>
        <v>-0.22741590545449075</v>
      </c>
      <c r="I411" s="23"/>
      <c r="J411" s="15"/>
      <c r="K411" s="15"/>
      <c r="L411" s="15"/>
      <c r="M411" s="15"/>
      <c r="N411" s="15"/>
      <c r="O411" s="15"/>
      <c r="P411" s="15"/>
      <c r="Q411" s="15"/>
    </row>
    <row r="412" spans="1:17">
      <c r="A412" s="14">
        <v>230.67599999999999</v>
      </c>
      <c r="B412" s="23">
        <v>44.118288</v>
      </c>
      <c r="C412" s="23">
        <v>65.842712000000006</v>
      </c>
      <c r="D412" s="23">
        <v>21.870480000000001</v>
      </c>
      <c r="E412" s="23">
        <f>(B412 - D412)/($L$7 - D412)</f>
        <v>0.40285969109550351</v>
      </c>
      <c r="F412" s="23">
        <f t="shared" si="12"/>
        <v>-0.90916693871092602</v>
      </c>
      <c r="G412" s="23">
        <f>(C412 - D412)/($L$7 - D412)</f>
        <v>0.79624202979007275</v>
      </c>
      <c r="H412" s="23">
        <f t="shared" si="13"/>
        <v>-0.22785208182865835</v>
      </c>
      <c r="I412" s="23"/>
      <c r="J412" s="15"/>
      <c r="K412" s="15"/>
      <c r="L412" s="15"/>
      <c r="M412" s="15"/>
      <c r="N412" s="15"/>
      <c r="O412" s="15"/>
      <c r="P412" s="15"/>
      <c r="Q412" s="15"/>
    </row>
    <row r="413" spans="1:17">
      <c r="A413" s="14">
        <v>231.24</v>
      </c>
      <c r="B413" s="23">
        <v>44.060177000000003</v>
      </c>
      <c r="C413" s="23">
        <v>65.828470999999993</v>
      </c>
      <c r="D413" s="23">
        <v>21.869613999999999</v>
      </c>
      <c r="E413" s="23">
        <f>(B413 - D413)/($L$7 - D413)</f>
        <v>0.40181680689518262</v>
      </c>
      <c r="F413" s="23">
        <f t="shared" si="12"/>
        <v>-0.91175899846868835</v>
      </c>
      <c r="G413" s="23">
        <f>(C413 - D413)/($L$7 - D413)</f>
        <v>0.79598735527809461</v>
      </c>
      <c r="H413" s="23">
        <f t="shared" si="13"/>
        <v>-0.22817197859295407</v>
      </c>
      <c r="I413" s="23"/>
      <c r="J413" s="15"/>
      <c r="K413" s="15"/>
      <c r="L413" s="15"/>
      <c r="M413" s="15"/>
      <c r="N413" s="15"/>
      <c r="O413" s="15"/>
      <c r="P413" s="15"/>
      <c r="Q413" s="15"/>
    </row>
    <row r="414" spans="1:17">
      <c r="A414" s="14">
        <v>231.804</v>
      </c>
      <c r="B414" s="23">
        <v>44.013120000000001</v>
      </c>
      <c r="C414" s="23">
        <v>65.805178999999995</v>
      </c>
      <c r="D414" s="23">
        <v>21.873826000000001</v>
      </c>
      <c r="E414" s="23">
        <f>(B414 - D414)/($L$7 - D414)</f>
        <v>0.40091902843392485</v>
      </c>
      <c r="F414" s="23">
        <f t="shared" si="12"/>
        <v>-0.91399579616991034</v>
      </c>
      <c r="G414" s="23">
        <f>(C414 - D414)/($L$7 - D414)</f>
        <v>0.7955500009416645</v>
      </c>
      <c r="H414" s="23">
        <f t="shared" si="13"/>
        <v>-0.22872157844460678</v>
      </c>
      <c r="I414" s="23"/>
      <c r="J414" s="15"/>
      <c r="K414" s="15"/>
      <c r="L414" s="15"/>
      <c r="M414" s="15"/>
      <c r="N414" s="15"/>
      <c r="O414" s="15"/>
      <c r="P414" s="15"/>
      <c r="Q414" s="15"/>
    </row>
    <row r="415" spans="1:17">
      <c r="A415" s="14">
        <v>232.36799999999999</v>
      </c>
      <c r="B415" s="23">
        <v>43.960675000000002</v>
      </c>
      <c r="C415" s="23">
        <v>65.783677999999995</v>
      </c>
      <c r="D415" s="23">
        <v>21.867474999999999</v>
      </c>
      <c r="E415" s="23">
        <f>(B415 - D415)/($L$7 - D415)</f>
        <v>0.40003830685649822</v>
      </c>
      <c r="F415" s="23">
        <f t="shared" si="12"/>
        <v>-0.91619496931828948</v>
      </c>
      <c r="G415" s="23">
        <f>(C415 - D415)/($L$7 - D415)</f>
        <v>0.79518419657117412</v>
      </c>
      <c r="H415" s="23">
        <f t="shared" si="13"/>
        <v>-0.22918149736444945</v>
      </c>
      <c r="I415" s="23"/>
      <c r="J415" s="15"/>
      <c r="K415" s="15"/>
      <c r="L415" s="15"/>
      <c r="M415" s="15"/>
      <c r="N415" s="15"/>
      <c r="O415" s="15"/>
      <c r="P415" s="15"/>
      <c r="Q415" s="15"/>
    </row>
    <row r="416" spans="1:17">
      <c r="A416" s="14">
        <v>232.93199999999999</v>
      </c>
      <c r="B416" s="23">
        <v>43.910212000000001</v>
      </c>
      <c r="C416" s="23">
        <v>65.754356000000001</v>
      </c>
      <c r="D416" s="23">
        <v>21.873709000000002</v>
      </c>
      <c r="E416" s="23">
        <f>(B416 - D416)/($L$7 - D416)</f>
        <v>0.39905674743180092</v>
      </c>
      <c r="F416" s="23">
        <f t="shared" si="12"/>
        <v>-0.91865164806531585</v>
      </c>
      <c r="G416" s="23">
        <f>(C416 - D416)/($L$7 - D416)</f>
        <v>0.79463008568206173</v>
      </c>
      <c r="H416" s="23">
        <f t="shared" si="13"/>
        <v>-0.22987857364277378</v>
      </c>
      <c r="I416" s="23"/>
      <c r="J416" s="15"/>
      <c r="K416" s="15"/>
      <c r="L416" s="15"/>
      <c r="M416" s="15"/>
      <c r="N416" s="15"/>
      <c r="O416" s="15"/>
      <c r="P416" s="15"/>
      <c r="Q416" s="15"/>
    </row>
    <row r="417" spans="1:17">
      <c r="A417" s="14">
        <v>233.49600000000001</v>
      </c>
      <c r="B417" s="23">
        <v>43.849414000000003</v>
      </c>
      <c r="C417" s="23">
        <v>65.730340999999996</v>
      </c>
      <c r="D417" s="23">
        <v>21.864758999999999</v>
      </c>
      <c r="E417" s="23">
        <f>(B417 - D417)/($L$7 - D417)</f>
        <v>0.39805332303514518</v>
      </c>
      <c r="F417" s="23">
        <f t="shared" si="12"/>
        <v>-0.92116930519664064</v>
      </c>
      <c r="G417" s="23">
        <f>(C417 - D417)/($L$7 - D417)</f>
        <v>0.79422855086744115</v>
      </c>
      <c r="H417" s="23">
        <f t="shared" si="13"/>
        <v>-0.23038401171502526</v>
      </c>
      <c r="I417" s="23"/>
      <c r="J417" s="15"/>
      <c r="K417" s="15"/>
      <c r="L417" s="15"/>
      <c r="M417" s="15"/>
      <c r="N417" s="15"/>
      <c r="O417" s="15"/>
      <c r="P417" s="15"/>
      <c r="Q417" s="15"/>
    </row>
    <row r="418" spans="1:17">
      <c r="A418" s="14">
        <v>234.06</v>
      </c>
      <c r="B418" s="23">
        <v>43.804175999999998</v>
      </c>
      <c r="C418" s="23">
        <v>65.713306000000003</v>
      </c>
      <c r="D418" s="23">
        <v>21.858985000000001</v>
      </c>
      <c r="E418" s="23">
        <f>(B418 - D418)/($L$7 - D418)</f>
        <v>0.39729725438576052</v>
      </c>
      <c r="F418" s="23">
        <f t="shared" si="12"/>
        <v>-0.92307052686816959</v>
      </c>
      <c r="G418" s="23">
        <f>(C418 - D418)/($L$7 - D418)</f>
        <v>0.79394165793552685</v>
      </c>
      <c r="H418" s="23">
        <f t="shared" si="13"/>
        <v>-0.23074529910531219</v>
      </c>
      <c r="I418" s="23"/>
      <c r="J418" s="15"/>
      <c r="K418" s="15"/>
      <c r="L418" s="15"/>
      <c r="M418" s="15"/>
      <c r="N418" s="15"/>
      <c r="O418" s="15"/>
      <c r="P418" s="15"/>
      <c r="Q418" s="15"/>
    </row>
    <row r="419" spans="1:17">
      <c r="A419" s="14">
        <v>234.624</v>
      </c>
      <c r="B419" s="23">
        <v>43.760511999999999</v>
      </c>
      <c r="C419" s="23">
        <v>65.681914000000006</v>
      </c>
      <c r="D419" s="23">
        <v>21.862449000000002</v>
      </c>
      <c r="E419" s="23">
        <f>(B419 - D419)/($L$7 - D419)</f>
        <v>0.3964689093716286</v>
      </c>
      <c r="F419" s="23">
        <f t="shared" si="12"/>
        <v>-0.92515765366356451</v>
      </c>
      <c r="G419" s="23">
        <f>(C419 - D419)/($L$7 - D419)</f>
        <v>0.79336037611172538</v>
      </c>
      <c r="H419" s="23">
        <f t="shared" si="13"/>
        <v>-0.23147771402990491</v>
      </c>
      <c r="I419" s="23"/>
      <c r="J419" s="15"/>
      <c r="K419" s="15"/>
      <c r="L419" s="15"/>
      <c r="M419" s="15"/>
      <c r="N419" s="15"/>
      <c r="O419" s="15"/>
      <c r="P419" s="15"/>
      <c r="Q419" s="15"/>
    </row>
    <row r="420" spans="1:17">
      <c r="A420" s="14">
        <v>235.18799999999999</v>
      </c>
      <c r="B420" s="23">
        <v>43.697156</v>
      </c>
      <c r="C420" s="23">
        <v>65.667786000000007</v>
      </c>
      <c r="D420" s="23">
        <v>21.856097999999999</v>
      </c>
      <c r="E420" s="23">
        <f>(B420 - D420)/($L$7 - D420)</f>
        <v>0.39539135765601346</v>
      </c>
      <c r="F420" s="23">
        <f t="shared" si="12"/>
        <v>-0.92787922570246606</v>
      </c>
      <c r="G420" s="23">
        <f>(C420 - D420)/($L$7 - D420)</f>
        <v>0.7931283731548936</v>
      </c>
      <c r="H420" s="23">
        <f t="shared" si="13"/>
        <v>-0.23177018752975526</v>
      </c>
      <c r="I420" s="23"/>
      <c r="J420" s="15"/>
      <c r="K420" s="15"/>
      <c r="L420" s="15"/>
      <c r="M420" s="15"/>
      <c r="N420" s="15"/>
      <c r="O420" s="15"/>
      <c r="P420" s="15"/>
      <c r="Q420" s="15"/>
    </row>
    <row r="421" spans="1:17">
      <c r="A421" s="14">
        <v>235.75200000000001</v>
      </c>
      <c r="B421" s="23">
        <v>43.656733000000003</v>
      </c>
      <c r="C421" s="23">
        <v>65.640023999999997</v>
      </c>
      <c r="D421" s="23">
        <v>21.850901</v>
      </c>
      <c r="E421" s="23">
        <f>(B421 - D421)/($L$7 - D421)</f>
        <v>0.39471652135600999</v>
      </c>
      <c r="F421" s="23">
        <f t="shared" si="12"/>
        <v>-0.92958743918071818</v>
      </c>
      <c r="G421" s="23">
        <f>(C421 - D421)/($L$7 - D421)</f>
        <v>0.79264530258650279</v>
      </c>
      <c r="H421" s="23">
        <f t="shared" si="13"/>
        <v>-0.23237944292442261</v>
      </c>
      <c r="I421" s="23"/>
      <c r="J421" s="15"/>
      <c r="K421" s="15"/>
      <c r="L421" s="15"/>
      <c r="M421" s="15"/>
      <c r="N421" s="15"/>
      <c r="O421" s="15"/>
      <c r="P421" s="15"/>
      <c r="Q421" s="15"/>
    </row>
    <row r="422" spans="1:17">
      <c r="A422" s="14">
        <v>236.316</v>
      </c>
      <c r="B422" s="23">
        <v>43.607959999999999</v>
      </c>
      <c r="C422" s="23">
        <v>65.621033999999995</v>
      </c>
      <c r="D422" s="23">
        <v>21.855232000000001</v>
      </c>
      <c r="E422" s="23">
        <f>(B422 - D422)/($L$7 - D422)</f>
        <v>0.39378613530344359</v>
      </c>
      <c r="F422" s="23">
        <f t="shared" si="12"/>
        <v>-0.9319473208538831</v>
      </c>
      <c r="G422" s="23">
        <f>(C422 - D422)/($L$7 - D422)</f>
        <v>0.79228527235920576</v>
      </c>
      <c r="H422" s="23">
        <f t="shared" si="13"/>
        <v>-0.23283375964867661</v>
      </c>
      <c r="I422" s="23"/>
      <c r="J422" s="15"/>
      <c r="K422" s="15"/>
      <c r="L422" s="15"/>
      <c r="M422" s="15"/>
      <c r="N422" s="15"/>
      <c r="O422" s="15"/>
      <c r="P422" s="15"/>
      <c r="Q422" s="15"/>
    </row>
    <row r="423" spans="1:17">
      <c r="A423" s="14">
        <v>236.88</v>
      </c>
      <c r="B423" s="23">
        <v>43.557640999999997</v>
      </c>
      <c r="C423" s="23">
        <v>65.597295000000003</v>
      </c>
      <c r="D423" s="23">
        <v>21.852922</v>
      </c>
      <c r="E423" s="23">
        <f>(B423 - D423)/($L$7 - D423)</f>
        <v>0.39290060595633802</v>
      </c>
      <c r="F423" s="23">
        <f t="shared" si="12"/>
        <v>-0.93419861015284456</v>
      </c>
      <c r="G423" s="23">
        <f>(C423 - D423)/($L$7 - D423)</f>
        <v>0.79186423279103846</v>
      </c>
      <c r="H423" s="23">
        <f t="shared" si="13"/>
        <v>-0.23336532510599309</v>
      </c>
      <c r="I423" s="23"/>
      <c r="J423" s="15"/>
      <c r="K423" s="15"/>
      <c r="L423" s="15"/>
      <c r="M423" s="15"/>
      <c r="N423" s="15"/>
      <c r="O423" s="15"/>
      <c r="P423" s="15"/>
      <c r="Q423" s="15"/>
    </row>
    <row r="424" spans="1:17">
      <c r="A424" s="14">
        <v>237.44399999999999</v>
      </c>
      <c r="B424" s="23">
        <v>43.509588999999998</v>
      </c>
      <c r="C424" s="23">
        <v>65.581376000000006</v>
      </c>
      <c r="D424" s="23">
        <v>21.848762000000001</v>
      </c>
      <c r="E424" s="23">
        <f>(B424 - D424)/($L$7 - D424)</f>
        <v>0.39207654417596327</v>
      </c>
      <c r="F424" s="23">
        <f t="shared" si="12"/>
        <v>-0.93629819249854229</v>
      </c>
      <c r="G424" s="23">
        <f>(C424 - D424)/($L$7 - D424)</f>
        <v>0.79159175985761554</v>
      </c>
      <c r="H424" s="23">
        <f t="shared" si="13"/>
        <v>-0.23370947478539963</v>
      </c>
      <c r="I424" s="23"/>
      <c r="J424" s="15"/>
      <c r="K424" s="15"/>
      <c r="L424" s="15"/>
      <c r="M424" s="15"/>
      <c r="N424" s="15"/>
      <c r="O424" s="15"/>
      <c r="P424" s="15"/>
      <c r="Q424" s="15"/>
    </row>
    <row r="425" spans="1:17">
      <c r="A425" s="14">
        <v>238.00800000000001</v>
      </c>
      <c r="B425" s="23">
        <v>43.460369</v>
      </c>
      <c r="C425" s="23">
        <v>65.547583000000003</v>
      </c>
      <c r="D425" s="23">
        <v>21.846164000000002</v>
      </c>
      <c r="E425" s="23">
        <f>(B425 - D425)/($L$7 - D425)</f>
        <v>0.39121425534012166</v>
      </c>
      <c r="F425" s="23">
        <f t="shared" si="12"/>
        <v>-0.93849990145441076</v>
      </c>
      <c r="G425" s="23">
        <f>(C425 - D425)/($L$7 - D425)</f>
        <v>0.79098991109743089</v>
      </c>
      <c r="H425" s="23">
        <f t="shared" si="13"/>
        <v>-0.23447006591348407</v>
      </c>
      <c r="I425" s="23"/>
      <c r="J425" s="15"/>
      <c r="K425" s="15"/>
      <c r="L425" s="15"/>
      <c r="M425" s="15"/>
      <c r="N425" s="15"/>
      <c r="O425" s="15"/>
      <c r="P425" s="15"/>
      <c r="Q425" s="15"/>
    </row>
    <row r="426" spans="1:17">
      <c r="A426" s="14">
        <v>238.572</v>
      </c>
      <c r="B426" s="23">
        <v>43.416409999999999</v>
      </c>
      <c r="C426" s="23">
        <v>65.535459000000003</v>
      </c>
      <c r="D426" s="23">
        <v>21.852803999999999</v>
      </c>
      <c r="E426" s="23">
        <f>(B426 - D426)/($L$7 - D426)</f>
        <v>0.39034533304519708</v>
      </c>
      <c r="F426" s="23">
        <f t="shared" si="12"/>
        <v>-0.94072346230850212</v>
      </c>
      <c r="G426" s="23">
        <f>(C426 - D426)/($L$7 - D426)</f>
        <v>0.79074531941797888</v>
      </c>
      <c r="H426" s="23">
        <f t="shared" si="13"/>
        <v>-0.23477933598180248</v>
      </c>
      <c r="I426" s="23"/>
      <c r="J426" s="15"/>
      <c r="K426" s="15"/>
      <c r="L426" s="15"/>
      <c r="M426" s="15"/>
      <c r="N426" s="15"/>
      <c r="O426" s="15"/>
      <c r="P426" s="15"/>
      <c r="Q426" s="15"/>
    </row>
    <row r="427" spans="1:17">
      <c r="A427" s="14">
        <v>239.136</v>
      </c>
      <c r="B427" s="23">
        <v>43.360253999999998</v>
      </c>
      <c r="C427" s="23">
        <v>65.511998000000006</v>
      </c>
      <c r="D427" s="23">
        <v>21.845298</v>
      </c>
      <c r="E427" s="23">
        <f>(B427 - D427)/($L$7 - D427)</f>
        <v>0.38941175772157216</v>
      </c>
      <c r="F427" s="23">
        <f t="shared" si="12"/>
        <v>-0.94311799204283919</v>
      </c>
      <c r="G427" s="23">
        <f>(C427 - D427)/($L$7 - D427)</f>
        <v>0.79034911346788628</v>
      </c>
      <c r="H427" s="23">
        <f t="shared" si="13"/>
        <v>-0.23528051535495695</v>
      </c>
      <c r="I427" s="23"/>
      <c r="J427" s="15"/>
      <c r="K427" s="15"/>
      <c r="L427" s="15"/>
      <c r="M427" s="15"/>
      <c r="N427" s="15"/>
      <c r="O427" s="15"/>
      <c r="P427" s="15"/>
      <c r="Q427" s="15"/>
    </row>
    <row r="428" spans="1:17">
      <c r="A428" s="14">
        <v>239.7</v>
      </c>
      <c r="B428" s="23">
        <v>43.310493000000001</v>
      </c>
      <c r="C428" s="23">
        <v>65.48742</v>
      </c>
      <c r="D428" s="23">
        <v>21.845009000000001</v>
      </c>
      <c r="E428" s="23">
        <f>(B428 - D428)/($L$7 - D428)</f>
        <v>0.3885143028591565</v>
      </c>
      <c r="F428" s="23">
        <f t="shared" si="12"/>
        <v>-0.94542529425582789</v>
      </c>
      <c r="G428" s="23">
        <f>(C428 - D428)/($L$7 - D428)</f>
        <v>0.78990536084617435</v>
      </c>
      <c r="H428" s="23">
        <f t="shared" si="13"/>
        <v>-0.23584213709447904</v>
      </c>
      <c r="I428" s="23"/>
      <c r="J428" s="15"/>
      <c r="K428" s="15"/>
      <c r="L428" s="15"/>
      <c r="M428" s="15"/>
      <c r="N428" s="15"/>
      <c r="O428" s="15"/>
      <c r="P428" s="15"/>
      <c r="Q428" s="15"/>
    </row>
    <row r="429" spans="1:17">
      <c r="A429" s="14">
        <v>240.26400000000001</v>
      </c>
      <c r="B429" s="23">
        <v>43.271192999999997</v>
      </c>
      <c r="C429" s="23">
        <v>65.468148999999997</v>
      </c>
      <c r="D429" s="23">
        <v>21.845469000000001</v>
      </c>
      <c r="E429" s="23">
        <f>(B429 - D429)/($L$7 - D429)</f>
        <v>0.38779789586976521</v>
      </c>
      <c r="F429" s="23">
        <f t="shared" si="12"/>
        <v>-0.94727096200118521</v>
      </c>
      <c r="G429" s="23">
        <f>(C429 - D429)/($L$7 - D429)</f>
        <v>0.78955481346628431</v>
      </c>
      <c r="H429" s="23">
        <f t="shared" si="13"/>
        <v>-0.23628601962010004</v>
      </c>
      <c r="I429" s="23"/>
      <c r="J429" s="15"/>
      <c r="K429" s="15"/>
      <c r="L429" s="15"/>
      <c r="M429" s="15"/>
      <c r="N429" s="15"/>
      <c r="O429" s="15"/>
      <c r="P429" s="15"/>
      <c r="Q429" s="15"/>
    </row>
    <row r="430" spans="1:17">
      <c r="A430" s="14">
        <v>240.828</v>
      </c>
      <c r="B430" s="23">
        <v>43.213611999999998</v>
      </c>
      <c r="C430" s="23">
        <v>65.446083999999999</v>
      </c>
      <c r="D430" s="23">
        <v>21.838946</v>
      </c>
      <c r="E430" s="23">
        <f>(B430 - D430)/($L$7 - D430)</f>
        <v>0.38682809398540324</v>
      </c>
      <c r="F430" s="23">
        <f t="shared" si="12"/>
        <v>-0.94977488622721162</v>
      </c>
      <c r="G430" s="23">
        <f>(C430 - D430)/($L$7 - D430)</f>
        <v>0.7891803351078539</v>
      </c>
      <c r="H430" s="23">
        <f t="shared" si="13"/>
        <v>-0.23676042264557509</v>
      </c>
      <c r="I430" s="23"/>
      <c r="J430" s="15"/>
      <c r="K430" s="15"/>
      <c r="L430" s="15"/>
      <c r="M430" s="15"/>
      <c r="N430" s="15"/>
      <c r="O430" s="15"/>
      <c r="P430" s="15"/>
      <c r="Q430" s="15"/>
    </row>
    <row r="431" spans="1:17">
      <c r="A431" s="14">
        <v>241.392</v>
      </c>
      <c r="B431" s="23">
        <v>43.162711000000002</v>
      </c>
      <c r="C431" s="23">
        <v>65.425973999999997</v>
      </c>
      <c r="D431" s="23">
        <v>21.834498</v>
      </c>
      <c r="E431" s="23">
        <f>(B431 - D431)/($L$7 - D431)</f>
        <v>0.38595634205640006</v>
      </c>
      <c r="F431" s="23">
        <f t="shared" si="12"/>
        <v>-0.95203101939481605</v>
      </c>
      <c r="G431" s="23">
        <f>(C431 - D431)/($L$7 - D431)</f>
        <v>0.78883339273662312</v>
      </c>
      <c r="H431" s="23">
        <f t="shared" si="13"/>
        <v>-0.23720014299869893</v>
      </c>
      <c r="I431" s="23"/>
      <c r="J431" s="15"/>
      <c r="K431" s="15"/>
      <c r="L431" s="15"/>
      <c r="M431" s="15"/>
      <c r="N431" s="15"/>
      <c r="O431" s="15"/>
      <c r="P431" s="15"/>
      <c r="Q431" s="15"/>
    </row>
    <row r="432" spans="1:17">
      <c r="A432" s="14">
        <v>241.95599999999999</v>
      </c>
      <c r="B432" s="23">
        <v>43.116756000000002</v>
      </c>
      <c r="C432" s="23">
        <v>65.402511000000004</v>
      </c>
      <c r="D432" s="23">
        <v>21.841138000000001</v>
      </c>
      <c r="E432" s="23">
        <f>(B432 - D432)/($L$7 - D432)</f>
        <v>0.38505084731529537</v>
      </c>
      <c r="F432" s="23">
        <f t="shared" si="12"/>
        <v>-0.95437988246613359</v>
      </c>
      <c r="G432" s="23">
        <f>(C432 - D432)/($L$7 - D432)</f>
        <v>0.78838337781152257</v>
      </c>
      <c r="H432" s="23">
        <f t="shared" si="13"/>
        <v>-0.23777078737138824</v>
      </c>
      <c r="I432" s="23"/>
      <c r="J432" s="15"/>
      <c r="K432" s="15"/>
      <c r="L432" s="15"/>
      <c r="M432" s="15"/>
      <c r="N432" s="15"/>
      <c r="O432" s="15"/>
      <c r="P432" s="15"/>
      <c r="Q432" s="15"/>
    </row>
    <row r="433" spans="1:17">
      <c r="A433" s="14">
        <v>242.52</v>
      </c>
      <c r="B433" s="23">
        <v>43.079877000000003</v>
      </c>
      <c r="C433" s="23">
        <v>65.381283999999994</v>
      </c>
      <c r="D433" s="23">
        <v>21.820927999999999</v>
      </c>
      <c r="E433" s="23">
        <f>(B433 - D433)/($L$7 - D433)</f>
        <v>0.38460849171417194</v>
      </c>
      <c r="F433" s="23">
        <f t="shared" si="12"/>
        <v>-0.95552936673118205</v>
      </c>
      <c r="G433" s="23">
        <f>(C433 - D433)/($L$7 - D433)</f>
        <v>0.78807672099370374</v>
      </c>
      <c r="H433" s="23">
        <f t="shared" si="13"/>
        <v>-0.2381598321964607</v>
      </c>
      <c r="I433" s="23"/>
      <c r="J433" s="15"/>
      <c r="K433" s="15"/>
      <c r="L433" s="15"/>
      <c r="M433" s="15"/>
      <c r="N433" s="15"/>
      <c r="O433" s="15"/>
      <c r="P433" s="15"/>
      <c r="Q433" s="15"/>
    </row>
    <row r="434" spans="1:17">
      <c r="A434" s="14">
        <v>243.084</v>
      </c>
      <c r="B434" s="23">
        <v>43.020994999999999</v>
      </c>
      <c r="C434" s="23">
        <v>65.352513999999999</v>
      </c>
      <c r="D434" s="23">
        <v>21.827857999999999</v>
      </c>
      <c r="E434" s="23">
        <f>(B434 - D434)/($L$7 - D434)</f>
        <v>0.38346592402657859</v>
      </c>
      <c r="F434" s="23">
        <f t="shared" si="12"/>
        <v>-0.95850451733369191</v>
      </c>
      <c r="G434" s="23">
        <f>(C434 - D434)/($L$7 - D434)</f>
        <v>0.78752958710071885</v>
      </c>
      <c r="H434" s="23">
        <f t="shared" si="13"/>
        <v>-0.23885433806657058</v>
      </c>
      <c r="I434" s="23"/>
      <c r="J434" s="15"/>
      <c r="K434" s="15"/>
      <c r="L434" s="15"/>
      <c r="M434" s="15"/>
      <c r="N434" s="15"/>
      <c r="O434" s="15"/>
      <c r="P434" s="15"/>
      <c r="Q434" s="15"/>
    </row>
    <row r="435" spans="1:17">
      <c r="A435" s="14">
        <v>243.648</v>
      </c>
      <c r="B435" s="23">
        <v>42.974468000000002</v>
      </c>
      <c r="C435" s="23">
        <v>65.333684000000005</v>
      </c>
      <c r="D435" s="23">
        <v>21.829301000000001</v>
      </c>
      <c r="E435" s="23">
        <f>(B435 - D435)/($L$7 - D435)</f>
        <v>0.38260795063717884</v>
      </c>
      <c r="F435" s="23">
        <f t="shared" si="12"/>
        <v>-0.96074444164516726</v>
      </c>
      <c r="G435" s="23">
        <f>(C435 - D435)/($L$7 - D435)</f>
        <v>0.7871833229486872</v>
      </c>
      <c r="H435" s="23">
        <f t="shared" si="13"/>
        <v>-0.23929411874710313</v>
      </c>
      <c r="I435" s="23"/>
      <c r="J435" s="15"/>
      <c r="K435" s="15"/>
      <c r="L435" s="15"/>
      <c r="M435" s="15"/>
      <c r="N435" s="15"/>
      <c r="O435" s="15"/>
      <c r="P435" s="15"/>
      <c r="Q435" s="15"/>
    </row>
    <row r="436" spans="1:17">
      <c r="A436" s="14">
        <v>244.21199999999999</v>
      </c>
      <c r="B436" s="23">
        <v>42.926237</v>
      </c>
      <c r="C436" s="23">
        <v>65.312735000000004</v>
      </c>
      <c r="D436" s="23">
        <v>21.815732000000001</v>
      </c>
      <c r="E436" s="23">
        <f>(B436 - D436)/($L$7 - D436)</f>
        <v>0.38188700271894871</v>
      </c>
      <c r="F436" s="23">
        <f t="shared" si="12"/>
        <v>-0.96263051853497095</v>
      </c>
      <c r="G436" s="23">
        <f>(C436 - D436)/($L$7 - D436)</f>
        <v>0.78685659594249979</v>
      </c>
      <c r="H436" s="23">
        <f t="shared" si="13"/>
        <v>-0.23970926325132899</v>
      </c>
      <c r="I436" s="23"/>
      <c r="J436" s="15"/>
      <c r="K436" s="15"/>
      <c r="L436" s="15"/>
      <c r="M436" s="15"/>
      <c r="N436" s="15"/>
      <c r="O436" s="15"/>
      <c r="P436" s="15"/>
      <c r="Q436" s="15"/>
    </row>
    <row r="437" spans="1:17">
      <c r="A437" s="14">
        <v>244.77600000000001</v>
      </c>
      <c r="B437" s="23">
        <v>42.886389999999999</v>
      </c>
      <c r="C437" s="23">
        <v>65.296254000000005</v>
      </c>
      <c r="D437" s="23">
        <v>21.828146</v>
      </c>
      <c r="E437" s="23">
        <f>(B437 - D437)/($L$7 - D437)</f>
        <v>0.38102717279593767</v>
      </c>
      <c r="F437" s="23">
        <f t="shared" si="12"/>
        <v>-0.96488458672418609</v>
      </c>
      <c r="G437" s="23">
        <f>(C437 - D437)/($L$7 - D437)</f>
        <v>0.78651051331860733</v>
      </c>
      <c r="H437" s="23">
        <f t="shared" si="13"/>
        <v>-0.24014918935304672</v>
      </c>
      <c r="I437" s="23"/>
      <c r="J437" s="15"/>
      <c r="K437" s="15"/>
      <c r="L437" s="15"/>
      <c r="M437" s="15"/>
      <c r="N437" s="15"/>
      <c r="O437" s="15"/>
      <c r="P437" s="15"/>
      <c r="Q437" s="15"/>
    </row>
    <row r="438" spans="1:17">
      <c r="A438" s="14">
        <v>245.34</v>
      </c>
      <c r="B438" s="23">
        <v>42.834750999999997</v>
      </c>
      <c r="C438" s="23">
        <v>65.272232000000002</v>
      </c>
      <c r="D438" s="23">
        <v>21.815732000000001</v>
      </c>
      <c r="E438" s="23">
        <f>(B438 - D438)/($L$7 - D438)</f>
        <v>0.38023202978813786</v>
      </c>
      <c r="F438" s="23">
        <f t="shared" si="12"/>
        <v>-0.96697360789928211</v>
      </c>
      <c r="G438" s="23">
        <f>(C438 - D438)/($L$7 - D438)</f>
        <v>0.78612390057253467</v>
      </c>
      <c r="H438" s="23">
        <f t="shared" si="13"/>
        <v>-0.24064086465971193</v>
      </c>
      <c r="I438" s="23"/>
      <c r="J438" s="15"/>
      <c r="K438" s="15"/>
      <c r="L438" s="15"/>
      <c r="M438" s="15"/>
      <c r="N438" s="15"/>
      <c r="O438" s="15"/>
      <c r="P438" s="15"/>
      <c r="Q438" s="15"/>
    </row>
    <row r="439" spans="1:17">
      <c r="A439" s="14">
        <v>245.904</v>
      </c>
      <c r="B439" s="23">
        <v>42.787081999999998</v>
      </c>
      <c r="C439" s="23">
        <v>65.247090999999998</v>
      </c>
      <c r="D439" s="23">
        <v>21.829471999999999</v>
      </c>
      <c r="E439" s="23">
        <f>(B439 - D439)/($L$7 - D439)</f>
        <v>0.37921540288070826</v>
      </c>
      <c r="F439" s="23">
        <f t="shared" si="12"/>
        <v>-0.96965089001506577</v>
      </c>
      <c r="G439" s="23">
        <f>(C439 - D439)/($L$7 - D439)</f>
        <v>0.78561581598312469</v>
      </c>
      <c r="H439" s="23">
        <f t="shared" si="13"/>
        <v>-0.24128738978312292</v>
      </c>
      <c r="I439" s="23"/>
      <c r="J439" s="15"/>
      <c r="K439" s="15"/>
      <c r="L439" s="15"/>
      <c r="M439" s="15"/>
      <c r="N439" s="15"/>
      <c r="O439" s="15"/>
      <c r="P439" s="15"/>
      <c r="Q439" s="15"/>
    </row>
    <row r="440" spans="1:17">
      <c r="A440" s="14">
        <v>246.46799999999999</v>
      </c>
      <c r="B440" s="23">
        <v>42.740389</v>
      </c>
      <c r="C440" s="23">
        <v>65.226420000000005</v>
      </c>
      <c r="D440" s="23">
        <v>21.831322</v>
      </c>
      <c r="E440" s="23">
        <f>(B440 - D440)/($L$7 - D440)</f>
        <v>0.37834971148597213</v>
      </c>
      <c r="F440" s="23">
        <f t="shared" si="12"/>
        <v>-0.97193634840044851</v>
      </c>
      <c r="G440" s="23">
        <f>(C440 - D440)/($L$7 - D440)</f>
        <v>0.78523459742156299</v>
      </c>
      <c r="H440" s="23">
        <f t="shared" si="13"/>
        <v>-0.24177275562800868</v>
      </c>
      <c r="I440" s="23"/>
      <c r="J440" s="15"/>
      <c r="K440" s="15"/>
      <c r="L440" s="15"/>
      <c r="M440" s="15"/>
      <c r="N440" s="15"/>
      <c r="O440" s="15"/>
      <c r="P440" s="15"/>
      <c r="Q440" s="15"/>
    </row>
    <row r="441" spans="1:17">
      <c r="A441" s="14">
        <v>247.03200000000001</v>
      </c>
      <c r="B441" s="23">
        <v>42.691738999999998</v>
      </c>
      <c r="C441" s="23">
        <v>65.200046999999998</v>
      </c>
      <c r="D441" s="23">
        <v>21.830627</v>
      </c>
      <c r="E441" s="23">
        <f>(B441 - D441)/($L$7 - D441)</f>
        <v>0.37747721826568814</v>
      </c>
      <c r="F441" s="23">
        <f t="shared" si="12"/>
        <v>-0.97424506107919429</v>
      </c>
      <c r="G441" s="23">
        <f>(C441 - D441)/($L$7 - D441)</f>
        <v>0.78476008466836766</v>
      </c>
      <c r="H441" s="23">
        <f t="shared" si="13"/>
        <v>-0.24237723253873589</v>
      </c>
      <c r="I441" s="23"/>
      <c r="J441" s="15"/>
      <c r="K441" s="15"/>
      <c r="L441" s="15"/>
      <c r="M441" s="15"/>
      <c r="N441" s="15"/>
      <c r="O441" s="15"/>
      <c r="P441" s="15"/>
      <c r="Q441" s="15"/>
    </row>
    <row r="442" spans="1:17">
      <c r="A442" s="14">
        <v>247.596</v>
      </c>
      <c r="B442" s="23">
        <v>42.646619000000001</v>
      </c>
      <c r="C442" s="23">
        <v>65.182563000000002</v>
      </c>
      <c r="D442" s="23">
        <v>21.825718999999999</v>
      </c>
      <c r="E442" s="23">
        <f>(B442 - D442)/($L$7 - D442)</f>
        <v>0.37671613514926788</v>
      </c>
      <c r="F442" s="23">
        <f t="shared" si="12"/>
        <v>-0.97626333231249252</v>
      </c>
      <c r="G442" s="23">
        <f>(C442 - D442)/($L$7 - D442)</f>
        <v>0.78446285722277731</v>
      </c>
      <c r="H442" s="23">
        <f t="shared" si="13"/>
        <v>-0.24275605372622966</v>
      </c>
      <c r="I442" s="23"/>
      <c r="J442" s="15"/>
      <c r="K442" s="15"/>
      <c r="L442" s="15"/>
      <c r="M442" s="15"/>
      <c r="N442" s="15"/>
      <c r="O442" s="15"/>
      <c r="P442" s="15"/>
      <c r="Q442" s="15"/>
    </row>
    <row r="443" spans="1:17">
      <c r="A443" s="14">
        <v>248.16</v>
      </c>
      <c r="B443" s="23">
        <v>42.604336000000004</v>
      </c>
      <c r="C443" s="23">
        <v>65.165243000000004</v>
      </c>
      <c r="D443" s="23">
        <v>21.824853000000001</v>
      </c>
      <c r="E443" s="23">
        <f>(B443 - D443)/($L$7 - D443)</f>
        <v>0.3759608794106597</v>
      </c>
      <c r="F443" s="23">
        <f t="shared" si="12"/>
        <v>-0.97827018512579345</v>
      </c>
      <c r="G443" s="23">
        <f>(C443 - D443)/($L$7 - D443)</f>
        <v>0.78415286551647889</v>
      </c>
      <c r="H443" s="23">
        <f t="shared" si="13"/>
        <v>-0.24315129611203537</v>
      </c>
      <c r="I443" s="23"/>
      <c r="J443" s="15"/>
      <c r="K443" s="15"/>
      <c r="L443" s="15"/>
      <c r="M443" s="15"/>
      <c r="N443" s="15"/>
      <c r="O443" s="15"/>
      <c r="P443" s="15"/>
      <c r="Q443" s="15"/>
    </row>
    <row r="444" spans="1:17">
      <c r="A444" s="14">
        <v>248.72399999999999</v>
      </c>
      <c r="B444" s="23">
        <v>42.560631999999998</v>
      </c>
      <c r="C444" s="23">
        <v>65.138030999999998</v>
      </c>
      <c r="D444" s="23">
        <v>21.829761000000001</v>
      </c>
      <c r="E444" s="23">
        <f>(B444 - D444)/($L$7 - D444)</f>
        <v>0.37511465803438587</v>
      </c>
      <c r="F444" s="23">
        <f t="shared" si="12"/>
        <v>-0.98052354498682426</v>
      </c>
      <c r="G444" s="23">
        <f>(C444 - D444)/($L$7 - D444)</f>
        <v>0.7836413091910539</v>
      </c>
      <c r="H444" s="23">
        <f t="shared" si="13"/>
        <v>-0.24380387711001592</v>
      </c>
      <c r="I444" s="23"/>
      <c r="J444" s="15"/>
      <c r="K444" s="15"/>
      <c r="L444" s="15"/>
      <c r="M444" s="15"/>
      <c r="N444" s="15"/>
      <c r="O444" s="15"/>
      <c r="P444" s="15"/>
      <c r="Q444" s="15"/>
    </row>
    <row r="445" spans="1:17">
      <c r="A445" s="14">
        <v>249.28800000000001</v>
      </c>
      <c r="B445" s="23">
        <v>42.510114999999999</v>
      </c>
      <c r="C445" s="23">
        <v>65.123503999999997</v>
      </c>
      <c r="D445" s="23">
        <v>21.823868999999998</v>
      </c>
      <c r="E445" s="23">
        <f>(B445 - D445)/($L$7 - D445)</f>
        <v>0.37426728948760174</v>
      </c>
      <c r="F445" s="23">
        <f t="shared" si="12"/>
        <v>-0.98278505905381741</v>
      </c>
      <c r="G445" s="23">
        <f>(C445 - D445)/($L$7 - D445)</f>
        <v>0.78340154261205674</v>
      </c>
      <c r="H445" s="23">
        <f t="shared" si="13"/>
        <v>-0.24410988862794256</v>
      </c>
      <c r="I445" s="23"/>
      <c r="J445" s="15"/>
      <c r="K445" s="15"/>
      <c r="L445" s="15"/>
      <c r="M445" s="15"/>
      <c r="N445" s="15"/>
      <c r="O445" s="15"/>
      <c r="P445" s="15"/>
      <c r="Q445" s="15"/>
    </row>
    <row r="446" spans="1:17">
      <c r="A446" s="14">
        <v>249.852</v>
      </c>
      <c r="B446" s="23">
        <v>42.450797999999999</v>
      </c>
      <c r="C446" s="23">
        <v>65.098640000000003</v>
      </c>
      <c r="D446" s="23">
        <v>21.815902999999999</v>
      </c>
      <c r="E446" s="23">
        <f>(B446 - D446)/($L$7 - D446)</f>
        <v>0.37328441832358789</v>
      </c>
      <c r="F446" s="23">
        <f t="shared" si="12"/>
        <v>-0.98541463429281662</v>
      </c>
      <c r="G446" s="23">
        <f>(C446 - D446)/($L$7 - D446)</f>
        <v>0.7829829666929653</v>
      </c>
      <c r="H446" s="23">
        <f t="shared" si="13"/>
        <v>-0.24464433713221242</v>
      </c>
      <c r="I446" s="23"/>
      <c r="J446" s="15"/>
      <c r="K446" s="15"/>
      <c r="L446" s="15"/>
      <c r="M446" s="15"/>
      <c r="N446" s="15"/>
      <c r="O446" s="15"/>
      <c r="P446" s="15"/>
      <c r="Q446" s="15"/>
    </row>
    <row r="447" spans="1:17">
      <c r="A447" s="14">
        <v>250.416</v>
      </c>
      <c r="B447" s="23">
        <v>42.410209999999999</v>
      </c>
      <c r="C447" s="23">
        <v>65.078247000000005</v>
      </c>
      <c r="D447" s="23">
        <v>21.821847999999999</v>
      </c>
      <c r="E447" s="23">
        <f>(B447 - D447)/($L$7 - D447)</f>
        <v>0.37248269681125468</v>
      </c>
      <c r="F447" s="23">
        <f t="shared" si="12"/>
        <v>-0.98756469375483802</v>
      </c>
      <c r="G447" s="23">
        <f>(C447 - D447)/($L$7 - D447)</f>
        <v>0.78259067690104056</v>
      </c>
      <c r="H447" s="23">
        <f t="shared" si="13"/>
        <v>-0.24514548225782193</v>
      </c>
      <c r="I447" s="23"/>
      <c r="J447" s="15"/>
      <c r="K447" s="15"/>
      <c r="L447" s="15"/>
      <c r="M447" s="15"/>
      <c r="N447" s="15"/>
      <c r="O447" s="15"/>
      <c r="P447" s="15"/>
      <c r="Q447" s="15"/>
    </row>
    <row r="448" spans="1:17">
      <c r="A448" s="14">
        <v>250.98</v>
      </c>
      <c r="B448" s="23">
        <v>42.357543</v>
      </c>
      <c r="C448" s="23">
        <v>65.057573000000005</v>
      </c>
      <c r="D448" s="23">
        <v>21.828489000000001</v>
      </c>
      <c r="E448" s="23">
        <f>(B448 - D448)/($L$7 - D448)</f>
        <v>0.37145433171083125</v>
      </c>
      <c r="F448" s="23">
        <f t="shared" si="12"/>
        <v>-0.99032935182671233</v>
      </c>
      <c r="G448" s="23">
        <f>(C448 - D448)/($L$7 - D448)</f>
        <v>0.78219047539606001</v>
      </c>
      <c r="H448" s="23">
        <f t="shared" si="13"/>
        <v>-0.24565699342105252</v>
      </c>
      <c r="I448" s="23"/>
      <c r="J448" s="15"/>
      <c r="K448" s="15"/>
      <c r="L448" s="15"/>
      <c r="M448" s="15"/>
      <c r="N448" s="15"/>
      <c r="O448" s="15"/>
      <c r="P448" s="15"/>
      <c r="Q448" s="15"/>
    </row>
    <row r="449" spans="1:17">
      <c r="A449" s="14">
        <v>251.54400000000001</v>
      </c>
      <c r="B449" s="23">
        <v>42.318530000000003</v>
      </c>
      <c r="C449" s="23">
        <v>65.038576000000006</v>
      </c>
      <c r="D449" s="23">
        <v>21.822019999999998</v>
      </c>
      <c r="E449" s="23">
        <f>(B449 - D449)/($L$7 - D449)</f>
        <v>0.37082207304716364</v>
      </c>
      <c r="F449" s="23">
        <f t="shared" si="12"/>
        <v>-0.99203291888750922</v>
      </c>
      <c r="G449" s="23">
        <f>(C449 - D449)/($L$7 - D449)</f>
        <v>0.78187227415198202</v>
      </c>
      <c r="H449" s="23">
        <f t="shared" si="13"/>
        <v>-0.24606388406346449</v>
      </c>
      <c r="I449" s="23"/>
      <c r="J449" s="15"/>
      <c r="K449" s="15"/>
      <c r="L449" s="15"/>
      <c r="M449" s="15"/>
      <c r="N449" s="15"/>
      <c r="O449" s="15"/>
      <c r="P449" s="15"/>
      <c r="Q449" s="15"/>
    </row>
    <row r="450" spans="1:17">
      <c r="A450" s="14">
        <v>252.108</v>
      </c>
      <c r="B450" s="23">
        <v>42.269990999999997</v>
      </c>
      <c r="C450" s="23">
        <v>65.016390000000001</v>
      </c>
      <c r="D450" s="23">
        <v>21.820405000000001</v>
      </c>
      <c r="E450" s="23">
        <f>(B450 - D450)/($L$7 - D450)</f>
        <v>0.36996231608769281</v>
      </c>
      <c r="F450" s="23">
        <f t="shared" si="12"/>
        <v>-0.99435412694240966</v>
      </c>
      <c r="G450" s="23">
        <f>(C450 - D450)/($L$7 - D450)</f>
        <v>0.78147727080094631</v>
      </c>
      <c r="H450" s="23">
        <f t="shared" si="13"/>
        <v>-0.24656921361144246</v>
      </c>
      <c r="I450" s="23"/>
      <c r="J450" s="15"/>
      <c r="K450" s="15"/>
      <c r="L450" s="15"/>
      <c r="M450" s="15"/>
      <c r="N450" s="15"/>
      <c r="O450" s="15"/>
      <c r="P450" s="15"/>
      <c r="Q450" s="15"/>
    </row>
    <row r="451" spans="1:17">
      <c r="A451" s="14">
        <v>252.672</v>
      </c>
      <c r="B451" s="23">
        <v>42.222585000000002</v>
      </c>
      <c r="C451" s="23">
        <v>64.994319000000004</v>
      </c>
      <c r="D451" s="23">
        <v>21.816362999999999</v>
      </c>
      <c r="E451" s="23">
        <f>(B451 - D451)/($L$7 - D451)</f>
        <v>0.36915080482086243</v>
      </c>
      <c r="F451" s="23">
        <f t="shared" si="12"/>
        <v>-0.99655003327925129</v>
      </c>
      <c r="G451" s="23">
        <f>(C451 - D451)/($L$7 - D451)</f>
        <v>0.78109398240986438</v>
      </c>
      <c r="H451" s="23">
        <f t="shared" si="13"/>
        <v>-0.24705980039010189</v>
      </c>
      <c r="I451" s="23"/>
      <c r="J451" s="15"/>
      <c r="K451" s="15"/>
      <c r="L451" s="15"/>
      <c r="M451" s="15"/>
      <c r="N451" s="15"/>
      <c r="O451" s="15"/>
      <c r="P451" s="15"/>
      <c r="Q451" s="15"/>
    </row>
    <row r="452" spans="1:17">
      <c r="A452" s="14">
        <v>253.23599999999999</v>
      </c>
      <c r="B452" s="23">
        <v>42.179152999999999</v>
      </c>
      <c r="C452" s="23">
        <v>64.977110999999994</v>
      </c>
      <c r="D452" s="23">
        <v>21.824328999999999</v>
      </c>
      <c r="E452" s="23">
        <f>(B452 - D452)/($L$7 - D452)</f>
        <v>0.36827407977408422</v>
      </c>
      <c r="F452" s="23">
        <f t="shared" ref="F452:F515" si="14">LN(E452)</f>
        <v>-0.99892783603088853</v>
      </c>
      <c r="G452" s="23">
        <f>(C452 - D452)/($L$7 - D452)</f>
        <v>0.78075109275038013</v>
      </c>
      <c r="H452" s="23">
        <f t="shared" ref="H452:H515" si="15">LN(G452)</f>
        <v>-0.2474988832036876</v>
      </c>
      <c r="I452" s="23"/>
      <c r="J452" s="15"/>
      <c r="K452" s="15"/>
      <c r="L452" s="15"/>
      <c r="M452" s="15"/>
      <c r="N452" s="15"/>
      <c r="O452" s="15"/>
      <c r="P452" s="15"/>
      <c r="Q452" s="15"/>
    </row>
    <row r="453" spans="1:17">
      <c r="A453" s="14">
        <v>253.8</v>
      </c>
      <c r="B453" s="23">
        <v>42.133163000000003</v>
      </c>
      <c r="C453" s="23">
        <v>64.942632000000003</v>
      </c>
      <c r="D453" s="23">
        <v>21.826639</v>
      </c>
      <c r="E453" s="23">
        <f>(B453 - D453)/($L$7 - D453)</f>
        <v>0.36741555735127257</v>
      </c>
      <c r="F453" s="23">
        <f t="shared" si="14"/>
        <v>-1.0012617626466802</v>
      </c>
      <c r="G453" s="23">
        <f>(C453 - D453)/($L$7 - D453)</f>
        <v>0.78011808416096051</v>
      </c>
      <c r="H453" s="23">
        <f t="shared" si="15"/>
        <v>-0.24830998080685229</v>
      </c>
      <c r="I453" s="23"/>
      <c r="J453" s="15"/>
      <c r="K453" s="15"/>
      <c r="L453" s="15"/>
      <c r="M453" s="15"/>
      <c r="N453" s="15"/>
      <c r="O453" s="15"/>
      <c r="P453" s="15"/>
      <c r="Q453" s="15"/>
    </row>
    <row r="454" spans="1:17">
      <c r="A454" s="14">
        <v>254.364</v>
      </c>
      <c r="B454" s="23">
        <v>42.088023999999997</v>
      </c>
      <c r="C454" s="23">
        <v>64.925867999999994</v>
      </c>
      <c r="D454" s="23">
        <v>21.822019999999998</v>
      </c>
      <c r="E454" s="23">
        <f>(B454 - D454)/($L$7 - D454)</f>
        <v>0.36665176733317567</v>
      </c>
      <c r="F454" s="23">
        <f t="shared" si="14"/>
        <v>-1.0033427442352749</v>
      </c>
      <c r="G454" s="23">
        <f>(C454 - D454)/($L$7 - D454)</f>
        <v>0.77983316533740799</v>
      </c>
      <c r="H454" s="23">
        <f t="shared" si="15"/>
        <v>-0.2486752727694215</v>
      </c>
      <c r="I454" s="23"/>
      <c r="J454" s="15"/>
      <c r="K454" s="15"/>
      <c r="L454" s="15"/>
      <c r="M454" s="15"/>
      <c r="N454" s="15"/>
      <c r="O454" s="15"/>
      <c r="P454" s="15"/>
      <c r="Q454" s="15"/>
    </row>
    <row r="455" spans="1:17">
      <c r="A455" s="14">
        <v>254.928</v>
      </c>
      <c r="B455" s="23">
        <v>42.038623999999999</v>
      </c>
      <c r="C455" s="23">
        <v>64.912343000000007</v>
      </c>
      <c r="D455" s="23">
        <v>21.810182000000001</v>
      </c>
      <c r="E455" s="23">
        <f>(B455 - D455)/($L$7 - D455)</f>
        <v>0.36589383262050584</v>
      </c>
      <c r="F455" s="23">
        <f t="shared" si="14"/>
        <v>-1.0054120624679665</v>
      </c>
      <c r="G455" s="23">
        <f>(C455 - D455)/($L$7 - D455)</f>
        <v>0.77963566756728475</v>
      </c>
      <c r="H455" s="23">
        <f t="shared" si="15"/>
        <v>-0.24892856128280749</v>
      </c>
      <c r="I455" s="23"/>
      <c r="J455" s="15"/>
      <c r="K455" s="15"/>
      <c r="L455" s="15"/>
      <c r="M455" s="15"/>
      <c r="N455" s="15"/>
      <c r="O455" s="15"/>
      <c r="P455" s="15"/>
      <c r="Q455" s="15"/>
    </row>
    <row r="456" spans="1:17">
      <c r="A456" s="14">
        <v>255.49199999999999</v>
      </c>
      <c r="B456" s="23">
        <v>41.994900999999999</v>
      </c>
      <c r="C456" s="23">
        <v>64.884795999999994</v>
      </c>
      <c r="D456" s="23">
        <v>21.821442000000001</v>
      </c>
      <c r="E456" s="23">
        <f>(B456 - D456)/($L$7 - D456)</f>
        <v>0.36497363015611894</v>
      </c>
      <c r="F456" s="23">
        <f t="shared" si="14"/>
        <v>-1.0079301741571436</v>
      </c>
      <c r="G456" s="23">
        <f>(C456 - D456)/($L$7 - D456)</f>
        <v>0.77909240235291455</v>
      </c>
      <c r="H456" s="23">
        <f t="shared" si="15"/>
        <v>-0.24962562351816653</v>
      </c>
      <c r="I456" s="23"/>
      <c r="J456" s="15"/>
      <c r="K456" s="15"/>
      <c r="L456" s="15"/>
      <c r="M456" s="15"/>
      <c r="N456" s="15"/>
      <c r="O456" s="15"/>
      <c r="P456" s="15"/>
      <c r="Q456" s="15"/>
    </row>
    <row r="457" spans="1:17">
      <c r="A457" s="14">
        <v>256.05599999999998</v>
      </c>
      <c r="B457" s="23">
        <v>41.943511000000001</v>
      </c>
      <c r="C457" s="23">
        <v>64.869708000000003</v>
      </c>
      <c r="D457" s="23">
        <v>21.819420999999998</v>
      </c>
      <c r="E457" s="23">
        <f>(B457 - D457)/($L$7 - D457)</f>
        <v>0.36406714588210587</v>
      </c>
      <c r="F457" s="23">
        <f t="shared" si="14"/>
        <v>-1.0104169616482057</v>
      </c>
      <c r="G457" s="23">
        <f>(C457 - D457)/($L$7 - D457)</f>
        <v>0.77882752052368709</v>
      </c>
      <c r="H457" s="23">
        <f t="shared" si="15"/>
        <v>-0.24996566902100695</v>
      </c>
      <c r="I457" s="23"/>
      <c r="J457" s="15"/>
      <c r="K457" s="15"/>
      <c r="L457" s="15"/>
      <c r="M457" s="15"/>
      <c r="N457" s="15"/>
      <c r="O457" s="15"/>
      <c r="P457" s="15"/>
      <c r="Q457" s="15"/>
    </row>
    <row r="458" spans="1:17">
      <c r="A458" s="14">
        <v>256.62</v>
      </c>
      <c r="B458" s="23">
        <v>41.913854999999998</v>
      </c>
      <c r="C458" s="23">
        <v>64.847240999999997</v>
      </c>
      <c r="D458" s="23">
        <v>21.81786</v>
      </c>
      <c r="E458" s="23">
        <f>(B458 - D458)/($L$7 - D458)</f>
        <v>0.36354860942441386</v>
      </c>
      <c r="F458" s="23">
        <f t="shared" si="14"/>
        <v>-1.0118422648846839</v>
      </c>
      <c r="G458" s="23">
        <f>(C458 - D458)/($L$7 - D458)</f>
        <v>0.77842732479498011</v>
      </c>
      <c r="H458" s="23">
        <f t="shared" si="15"/>
        <v>-0.25047964493024244</v>
      </c>
      <c r="I458" s="23"/>
      <c r="J458" s="15"/>
      <c r="K458" s="15"/>
      <c r="L458" s="15"/>
      <c r="M458" s="15"/>
      <c r="N458" s="15"/>
      <c r="O458" s="15"/>
      <c r="P458" s="15"/>
      <c r="Q458" s="15"/>
    </row>
    <row r="459" spans="1:17">
      <c r="A459" s="14">
        <v>257.18400000000003</v>
      </c>
      <c r="B459" s="23">
        <v>41.861893999999999</v>
      </c>
      <c r="C459" s="23">
        <v>64.822766999999999</v>
      </c>
      <c r="D459" s="23">
        <v>21.820170000000001</v>
      </c>
      <c r="E459" s="23">
        <f>(B459 - D459)/($L$7 - D459)</f>
        <v>0.36258196650725533</v>
      </c>
      <c r="F459" s="23">
        <f t="shared" si="14"/>
        <v>-1.0145047157446656</v>
      </c>
      <c r="G459" s="23">
        <f>(C459 - D459)/($L$7 - D459)</f>
        <v>0.77797529719394376</v>
      </c>
      <c r="H459" s="23">
        <f t="shared" si="15"/>
        <v>-0.25106050698657623</v>
      </c>
      <c r="I459" s="23"/>
      <c r="J459" s="15"/>
      <c r="K459" s="15"/>
      <c r="L459" s="15"/>
      <c r="M459" s="15"/>
      <c r="N459" s="15"/>
      <c r="O459" s="15"/>
      <c r="P459" s="15"/>
      <c r="Q459" s="15"/>
    </row>
    <row r="460" spans="1:17">
      <c r="A460" s="14">
        <v>257.74799999999999</v>
      </c>
      <c r="B460" s="23">
        <v>41.823970000000003</v>
      </c>
      <c r="C460" s="23">
        <v>64.799460999999994</v>
      </c>
      <c r="D460" s="23">
        <v>21.811914999999999</v>
      </c>
      <c r="E460" s="23">
        <f>(B460 - D460)/($L$7 - D460)</f>
        <v>0.36199115280280725</v>
      </c>
      <c r="F460" s="23">
        <f t="shared" si="14"/>
        <v>-1.0161355072262728</v>
      </c>
      <c r="G460" s="23">
        <f>(C460 - D460)/($L$7 - D460)</f>
        <v>0.7775868761455883</v>
      </c>
      <c r="H460" s="23">
        <f t="shared" si="15"/>
        <v>-0.25155990336312112</v>
      </c>
      <c r="I460" s="23"/>
      <c r="J460" s="15"/>
      <c r="K460" s="15"/>
      <c r="L460" s="15"/>
      <c r="M460" s="15"/>
      <c r="N460" s="15"/>
      <c r="O460" s="15"/>
      <c r="P460" s="15"/>
      <c r="Q460" s="15"/>
    </row>
    <row r="461" spans="1:17">
      <c r="A461" s="14">
        <v>258.31200000000001</v>
      </c>
      <c r="B461" s="23">
        <v>41.770459000000002</v>
      </c>
      <c r="C461" s="23">
        <v>64.784092999999999</v>
      </c>
      <c r="D461" s="23">
        <v>21.821035999999999</v>
      </c>
      <c r="E461" s="23">
        <f>(B461 - D461)/($L$7 - D461)</f>
        <v>0.36091777078435405</v>
      </c>
      <c r="F461" s="23">
        <f t="shared" si="14"/>
        <v>-1.0191051283562536</v>
      </c>
      <c r="G461" s="23">
        <f>(C461 - D461)/($L$7 - D461)</f>
        <v>0.77727214258382993</v>
      </c>
      <c r="H461" s="23">
        <f t="shared" si="15"/>
        <v>-0.25196474208131453</v>
      </c>
      <c r="I461" s="23"/>
      <c r="J461" s="15"/>
      <c r="K461" s="15"/>
      <c r="L461" s="15"/>
      <c r="M461" s="15"/>
      <c r="N461" s="15"/>
      <c r="O461" s="15"/>
      <c r="P461" s="15"/>
      <c r="Q461" s="15"/>
    </row>
    <row r="462" spans="1:17">
      <c r="A462" s="14">
        <v>258.87599999999998</v>
      </c>
      <c r="B462" s="23">
        <v>41.729850999999996</v>
      </c>
      <c r="C462" s="23">
        <v>64.756989000000004</v>
      </c>
      <c r="D462" s="23">
        <v>21.817283</v>
      </c>
      <c r="E462" s="23">
        <f>(B462 - D462)/($L$7 - D462)</f>
        <v>0.36022654477323424</v>
      </c>
      <c r="F462" s="23">
        <f t="shared" si="14"/>
        <v>-1.0210221544157954</v>
      </c>
      <c r="G462" s="23">
        <f>(C462 - D462)/($L$7 - D462)</f>
        <v>0.77679694180873693</v>
      </c>
      <c r="H462" s="23">
        <f t="shared" si="15"/>
        <v>-0.2525762989222245</v>
      </c>
      <c r="I462" s="23"/>
      <c r="J462" s="15"/>
      <c r="K462" s="15"/>
      <c r="L462" s="15"/>
      <c r="M462" s="15"/>
      <c r="N462" s="15"/>
      <c r="O462" s="15"/>
      <c r="P462" s="15"/>
      <c r="Q462" s="15"/>
    </row>
    <row r="463" spans="1:17">
      <c r="A463" s="14">
        <v>259.44</v>
      </c>
      <c r="B463" s="23">
        <v>41.688389000000001</v>
      </c>
      <c r="C463" s="23">
        <v>64.735472999999999</v>
      </c>
      <c r="D463" s="23">
        <v>21.816704999999999</v>
      </c>
      <c r="E463" s="23">
        <f>(B463 - D463)/($L$7 - D463)</f>
        <v>0.35948317754968706</v>
      </c>
      <c r="F463" s="23">
        <f t="shared" si="14"/>
        <v>-1.023087896936252</v>
      </c>
      <c r="G463" s="23">
        <f>(C463 - D463)/($L$7 - D463)</f>
        <v>0.77641004643380129</v>
      </c>
      <c r="H463" s="23">
        <f t="shared" si="15"/>
        <v>-0.25307448800567106</v>
      </c>
      <c r="I463" s="23"/>
      <c r="J463" s="15"/>
      <c r="K463" s="15"/>
      <c r="L463" s="15"/>
      <c r="M463" s="15"/>
      <c r="N463" s="15"/>
      <c r="O463" s="15"/>
      <c r="P463" s="15"/>
      <c r="Q463" s="15"/>
    </row>
    <row r="464" spans="1:17">
      <c r="A464" s="14">
        <v>260.00400000000002</v>
      </c>
      <c r="B464" s="23">
        <v>41.653016000000001</v>
      </c>
      <c r="C464" s="23">
        <v>64.721946000000003</v>
      </c>
      <c r="D464" s="23">
        <v>21.810354</v>
      </c>
      <c r="E464" s="23">
        <f>(B464 - D464)/($L$7 - D464)</f>
        <v>0.3589169267982944</v>
      </c>
      <c r="F464" s="23">
        <f t="shared" si="14"/>
        <v>-1.0246643189474172</v>
      </c>
      <c r="G464" s="23">
        <f>(C464 - D464)/($L$7 - D464)</f>
        <v>0.77619105363293861</v>
      </c>
      <c r="H464" s="23">
        <f t="shared" si="15"/>
        <v>-0.25335658596670635</v>
      </c>
      <c r="I464" s="23"/>
      <c r="J464" s="15"/>
      <c r="K464" s="15"/>
      <c r="L464" s="15"/>
      <c r="M464" s="15"/>
      <c r="N464" s="15"/>
      <c r="O464" s="15"/>
      <c r="P464" s="15"/>
      <c r="Q464" s="15"/>
    </row>
    <row r="465" spans="1:17">
      <c r="A465" s="14">
        <v>260.56799999999998</v>
      </c>
      <c r="B465" s="23">
        <v>41.604610000000001</v>
      </c>
      <c r="C465" s="23">
        <v>64.693163999999996</v>
      </c>
      <c r="D465" s="23">
        <v>21.812491999999999</v>
      </c>
      <c r="E465" s="23">
        <f>(B465 - D465)/($L$7 - D465)</f>
        <v>0.35801652502680137</v>
      </c>
      <c r="F465" s="23">
        <f t="shared" si="14"/>
        <v>-1.0271761343540029</v>
      </c>
      <c r="G465" s="23">
        <f>(C465 - D465)/($L$7 - D465)</f>
        <v>0.77566176496391437</v>
      </c>
      <c r="H465" s="23">
        <f t="shared" si="15"/>
        <v>-0.25403872370967412</v>
      </c>
      <c r="I465" s="23"/>
      <c r="J465" s="15"/>
      <c r="K465" s="15"/>
      <c r="L465" s="15"/>
      <c r="M465" s="15"/>
      <c r="N465" s="15"/>
      <c r="O465" s="15"/>
      <c r="P465" s="15"/>
      <c r="Q465" s="15"/>
    </row>
    <row r="466" spans="1:17">
      <c r="A466" s="14">
        <v>261.13200000000001</v>
      </c>
      <c r="B466" s="23">
        <v>41.570245</v>
      </c>
      <c r="C466" s="23">
        <v>64.673323999999994</v>
      </c>
      <c r="D466" s="23">
        <v>21.817283</v>
      </c>
      <c r="E466" s="23">
        <f>(B466 - D466)/($L$7 - D466)</f>
        <v>0.35733920659038027</v>
      </c>
      <c r="F466" s="23">
        <f t="shared" si="14"/>
        <v>-1.0290697898008987</v>
      </c>
      <c r="G466" s="23">
        <f>(C466 - D466)/($L$7 - D466)</f>
        <v>0.77528340754894398</v>
      </c>
      <c r="H466" s="23">
        <f t="shared" si="15"/>
        <v>-0.25452662931611553</v>
      </c>
      <c r="I466" s="23"/>
      <c r="J466" s="15"/>
      <c r="K466" s="15"/>
      <c r="L466" s="15"/>
      <c r="M466" s="15"/>
      <c r="N466" s="15"/>
      <c r="O466" s="15"/>
      <c r="P466" s="15"/>
      <c r="Q466" s="15"/>
    </row>
    <row r="467" spans="1:17">
      <c r="A467" s="14">
        <v>261.69600000000003</v>
      </c>
      <c r="B467" s="23">
        <v>41.529062000000003</v>
      </c>
      <c r="C467" s="23">
        <v>64.647056000000006</v>
      </c>
      <c r="D467" s="23">
        <v>21.809659</v>
      </c>
      <c r="E467" s="23">
        <f>(B467 - D467)/($L$7 - D467)</f>
        <v>0.35668291630827725</v>
      </c>
      <c r="F467" s="23">
        <f t="shared" si="14"/>
        <v>-1.030908081489275</v>
      </c>
      <c r="G467" s="23">
        <f>(C467 - D467)/($L$7 - D467)</f>
        <v>0.77483926308597928</v>
      </c>
      <c r="H467" s="23">
        <f t="shared" si="15"/>
        <v>-0.25509967360936076</v>
      </c>
      <c r="I467" s="23"/>
      <c r="J467" s="15"/>
      <c r="K467" s="15"/>
      <c r="L467" s="15"/>
      <c r="M467" s="15"/>
      <c r="N467" s="15"/>
      <c r="O467" s="15"/>
      <c r="P467" s="15"/>
      <c r="Q467" s="15"/>
    </row>
    <row r="468" spans="1:17">
      <c r="A468" s="14">
        <v>262.26</v>
      </c>
      <c r="B468" s="23">
        <v>41.483207999999998</v>
      </c>
      <c r="C468" s="23">
        <v>64.622465000000005</v>
      </c>
      <c r="D468" s="23">
        <v>21.818608999999999</v>
      </c>
      <c r="E468" s="23">
        <f>(B468 - D468)/($L$7 - D468)</f>
        <v>0.35574921724983077</v>
      </c>
      <c r="F468" s="23">
        <f t="shared" si="14"/>
        <v>-1.0335292422961679</v>
      </c>
      <c r="G468" s="23">
        <f>(C468 - D468)/($L$7 - D468)</f>
        <v>0.77435793464562774</v>
      </c>
      <c r="H468" s="23">
        <f t="shared" si="15"/>
        <v>-0.25572106442589998</v>
      </c>
      <c r="I468" s="23"/>
      <c r="J468" s="15"/>
      <c r="K468" s="15"/>
      <c r="L468" s="15"/>
      <c r="M468" s="15"/>
      <c r="N468" s="15"/>
      <c r="O468" s="15"/>
      <c r="P468" s="15"/>
      <c r="Q468" s="15"/>
    </row>
    <row r="469" spans="1:17">
      <c r="A469" s="14">
        <v>262.82400000000001</v>
      </c>
      <c r="B469" s="23">
        <v>41.440159999999999</v>
      </c>
      <c r="C469" s="23">
        <v>64.604021000000003</v>
      </c>
      <c r="D469" s="23">
        <v>21.816877000000002</v>
      </c>
      <c r="E469" s="23">
        <f>(B469 - D469)/($L$7 - D469)</f>
        <v>0.35499065284359549</v>
      </c>
      <c r="F469" s="23">
        <f t="shared" si="14"/>
        <v>-1.0356638198714032</v>
      </c>
      <c r="G469" s="23">
        <f>(C469 - D469)/($L$7 - D469)</f>
        <v>0.7740313474495033</v>
      </c>
      <c r="H469" s="23">
        <f t="shared" si="15"/>
        <v>-0.25614290563178271</v>
      </c>
      <c r="I469" s="23"/>
      <c r="J469" s="15"/>
      <c r="K469" s="15"/>
      <c r="L469" s="15"/>
      <c r="M469" s="15"/>
      <c r="N469" s="15"/>
      <c r="O469" s="15"/>
      <c r="P469" s="15"/>
      <c r="Q469" s="15"/>
    </row>
    <row r="470" spans="1:17">
      <c r="A470" s="14">
        <v>263.38799999999998</v>
      </c>
      <c r="B470" s="23">
        <v>41.403233999999998</v>
      </c>
      <c r="C470" s="23">
        <v>64.585577000000001</v>
      </c>
      <c r="D470" s="23">
        <v>21.814855999999999</v>
      </c>
      <c r="E470" s="23">
        <f>(B470 - D470)/($L$7 - D470)</f>
        <v>0.35434625661605129</v>
      </c>
      <c r="F470" s="23">
        <f t="shared" si="14"/>
        <v>-1.0374807178678829</v>
      </c>
      <c r="G470" s="23">
        <f>(C470 - D470)/($L$7 - D470)</f>
        <v>0.77370596376685885</v>
      </c>
      <c r="H470" s="23">
        <f t="shared" si="15"/>
        <v>-0.25656336934365437</v>
      </c>
      <c r="I470" s="23"/>
      <c r="J470" s="15"/>
      <c r="K470" s="15"/>
      <c r="L470" s="15"/>
      <c r="M470" s="15"/>
      <c r="N470" s="15"/>
      <c r="O470" s="15"/>
      <c r="P470" s="15"/>
      <c r="Q470" s="15"/>
    </row>
    <row r="471" spans="1:17">
      <c r="A471" s="14">
        <v>263.952</v>
      </c>
      <c r="B471" s="23">
        <v>41.362046999999997</v>
      </c>
      <c r="C471" s="23">
        <v>64.565175999999994</v>
      </c>
      <c r="D471" s="23">
        <v>21.816299000000001</v>
      </c>
      <c r="E471" s="23">
        <f>(B471 - D471)/($L$7 - D471)</f>
        <v>0.35358432596517358</v>
      </c>
      <c r="F471" s="23">
        <f t="shared" si="14"/>
        <v>-1.0396332762226881</v>
      </c>
      <c r="G471" s="23">
        <f>(C471 - D471)/($L$7 - D471)</f>
        <v>0.77333100067662353</v>
      </c>
      <c r="H471" s="23">
        <f t="shared" si="15"/>
        <v>-0.25704811936087546</v>
      </c>
      <c r="I471" s="23"/>
      <c r="J471" s="15"/>
      <c r="K471" s="15"/>
      <c r="L471" s="15"/>
      <c r="M471" s="15"/>
      <c r="N471" s="15"/>
      <c r="O471" s="15"/>
      <c r="P471" s="15"/>
      <c r="Q471" s="15"/>
    </row>
    <row r="472" spans="1:17">
      <c r="A472" s="14">
        <v>264.51600000000002</v>
      </c>
      <c r="B472" s="23">
        <v>41.319595</v>
      </c>
      <c r="C472" s="23">
        <v>64.542146000000002</v>
      </c>
      <c r="D472" s="23">
        <v>21.813700999999998</v>
      </c>
      <c r="E472" s="23">
        <f>(B472 - D472)/($L$7 - D472)</f>
        <v>0.35284678043652412</v>
      </c>
      <c r="F472" s="23">
        <f t="shared" si="14"/>
        <v>-1.0417213660305915</v>
      </c>
      <c r="G472" s="23">
        <f>(C472 - D472)/($L$7 - D472)</f>
        <v>0.77292505800088407</v>
      </c>
      <c r="H472" s="23">
        <f t="shared" si="15"/>
        <v>-0.25757318464070106</v>
      </c>
      <c r="I472" s="23"/>
      <c r="J472" s="15"/>
      <c r="K472" s="15"/>
      <c r="L472" s="15"/>
      <c r="M472" s="15"/>
      <c r="N472" s="15"/>
      <c r="O472" s="15"/>
      <c r="P472" s="15"/>
      <c r="Q472" s="15"/>
    </row>
    <row r="473" spans="1:17">
      <c r="A473" s="14">
        <v>265.08</v>
      </c>
      <c r="B473" s="23">
        <v>41.265746999999998</v>
      </c>
      <c r="C473" s="23">
        <v>64.521299999999997</v>
      </c>
      <c r="D473" s="23">
        <v>21.80706</v>
      </c>
      <c r="E473" s="23">
        <f>(B473 - D473)/($L$7 - D473)</f>
        <v>0.35195056168118266</v>
      </c>
      <c r="F473" s="23">
        <f t="shared" si="14"/>
        <v>-1.0442645630173999</v>
      </c>
      <c r="G473" s="23">
        <f>(C473 - D473)/($L$7 - D473)</f>
        <v>0.77257529039779715</v>
      </c>
      <c r="H473" s="23">
        <f t="shared" si="15"/>
        <v>-0.25802581166135591</v>
      </c>
      <c r="I473" s="23"/>
      <c r="J473" s="15"/>
      <c r="K473" s="15"/>
      <c r="L473" s="15"/>
      <c r="M473" s="15"/>
      <c r="N473" s="15"/>
      <c r="O473" s="15"/>
      <c r="P473" s="15"/>
      <c r="Q473" s="15"/>
    </row>
    <row r="474" spans="1:17">
      <c r="A474" s="14">
        <v>265.64400000000001</v>
      </c>
      <c r="B474" s="23">
        <v>41.227679999999999</v>
      </c>
      <c r="C474" s="23">
        <v>64.498662999999993</v>
      </c>
      <c r="D474" s="23">
        <v>21.810524999999998</v>
      </c>
      <c r="E474" s="23">
        <f>(B474 - D474)/($L$7 - D474)</f>
        <v>0.35122138127970071</v>
      </c>
      <c r="F474" s="23">
        <f t="shared" si="14"/>
        <v>-1.0463385384373651</v>
      </c>
      <c r="G474" s="23">
        <f>(C474 - D474)/($L$7 - D474)</f>
        <v>0.77215157383347244</v>
      </c>
      <c r="H474" s="23">
        <f t="shared" si="15"/>
        <v>-0.25857440906684265</v>
      </c>
      <c r="I474" s="23"/>
      <c r="J474" s="15"/>
      <c r="K474" s="15"/>
      <c r="L474" s="15"/>
      <c r="M474" s="15"/>
      <c r="N474" s="15"/>
      <c r="O474" s="15"/>
      <c r="P474" s="15"/>
      <c r="Q474" s="15"/>
    </row>
    <row r="475" spans="1:17">
      <c r="A475" s="14">
        <v>266.20800000000003</v>
      </c>
      <c r="B475" s="23">
        <v>41.184655999999997</v>
      </c>
      <c r="C475" s="23">
        <v>64.475911999999994</v>
      </c>
      <c r="D475" s="23">
        <v>21.813700999999998</v>
      </c>
      <c r="E475" s="23">
        <f>(B475 - D475)/($L$7 - D475)</f>
        <v>0.35040583660153118</v>
      </c>
      <c r="F475" s="23">
        <f t="shared" si="14"/>
        <v>-1.0486632630907864</v>
      </c>
      <c r="G475" s="23">
        <f>(C475 - D475)/($L$7 - D475)</f>
        <v>0.77172693533829628</v>
      </c>
      <c r="H475" s="23">
        <f t="shared" si="15"/>
        <v>-0.25912450222943484</v>
      </c>
      <c r="I475" s="23"/>
      <c r="J475" s="15"/>
      <c r="K475" s="15"/>
      <c r="L475" s="15"/>
      <c r="M475" s="15"/>
      <c r="N475" s="15"/>
      <c r="O475" s="15"/>
      <c r="P475" s="15"/>
      <c r="Q475" s="15"/>
    </row>
    <row r="476" spans="1:17">
      <c r="A476" s="14">
        <v>266.77199999999999</v>
      </c>
      <c r="B476" s="23">
        <v>41.135348</v>
      </c>
      <c r="C476" s="23">
        <v>64.459142999999997</v>
      </c>
      <c r="D476" s="23">
        <v>21.812835</v>
      </c>
      <c r="E476" s="23">
        <f>(B476 - D476)/($L$7 - D476)</f>
        <v>0.34952408228803439</v>
      </c>
      <c r="F476" s="23">
        <f t="shared" si="14"/>
        <v>-1.0511828147091939</v>
      </c>
      <c r="G476" s="23">
        <f>(C476 - D476)/($L$7 - D476)</f>
        <v>0.77142717754532542</v>
      </c>
      <c r="H476" s="23">
        <f t="shared" si="15"/>
        <v>-0.25951300237240632</v>
      </c>
      <c r="I476" s="23"/>
      <c r="J476" s="15"/>
      <c r="K476" s="15"/>
      <c r="L476" s="15"/>
      <c r="M476" s="15"/>
      <c r="N476" s="15"/>
      <c r="O476" s="15"/>
      <c r="P476" s="15"/>
      <c r="Q476" s="15"/>
    </row>
    <row r="477" spans="1:17">
      <c r="A477" s="14">
        <v>267.33600000000001</v>
      </c>
      <c r="B477" s="23">
        <v>41.097434999999997</v>
      </c>
      <c r="C477" s="23">
        <v>64.435387000000006</v>
      </c>
      <c r="D477" s="23">
        <v>21.814160999999999</v>
      </c>
      <c r="E477" s="23">
        <f>(B477 - D477)/($L$7 - D477)</f>
        <v>0.34882265659871536</v>
      </c>
      <c r="F477" s="23">
        <f t="shared" si="14"/>
        <v>-1.0531916332119111</v>
      </c>
      <c r="G477" s="23">
        <f>(C477 - D477)/($L$7 - D477)</f>
        <v>0.77099196333642528</v>
      </c>
      <c r="H477" s="23">
        <f t="shared" si="15"/>
        <v>-0.26007732916129894</v>
      </c>
      <c r="I477" s="23"/>
      <c r="J477" s="15"/>
      <c r="K477" s="15"/>
      <c r="L477" s="15"/>
      <c r="M477" s="15"/>
      <c r="N477" s="15"/>
      <c r="O477" s="15"/>
      <c r="P477" s="15"/>
      <c r="Q477" s="15"/>
    </row>
    <row r="478" spans="1:17">
      <c r="A478" s="14">
        <v>267.89999999999998</v>
      </c>
      <c r="B478" s="23">
        <v>41.054816000000002</v>
      </c>
      <c r="C478" s="23">
        <v>64.408276999999998</v>
      </c>
      <c r="D478" s="23">
        <v>21.808387</v>
      </c>
      <c r="E478" s="23">
        <f>(B478 - D478)/($L$7 - D478)</f>
        <v>0.34811979257471576</v>
      </c>
      <c r="F478" s="23">
        <f t="shared" si="14"/>
        <v>-1.0552086269052054</v>
      </c>
      <c r="G478" s="23">
        <f>(C478 - D478)/($L$7 - D478)</f>
        <v>0.77052552816450814</v>
      </c>
      <c r="H478" s="23">
        <f t="shared" si="15"/>
        <v>-0.26068249282466799</v>
      </c>
      <c r="I478" s="23"/>
      <c r="J478" s="15"/>
      <c r="K478" s="15"/>
      <c r="L478" s="15"/>
      <c r="M478" s="15"/>
      <c r="N478" s="15"/>
      <c r="O478" s="15"/>
      <c r="P478" s="15"/>
      <c r="Q478" s="15"/>
    </row>
    <row r="479" spans="1:17">
      <c r="A479" s="14">
        <v>268.464</v>
      </c>
      <c r="B479" s="23">
        <v>41.013049000000002</v>
      </c>
      <c r="C479" s="23">
        <v>64.387035999999995</v>
      </c>
      <c r="D479" s="23">
        <v>21.815892999999999</v>
      </c>
      <c r="E479" s="23">
        <f>(B479 - D479)/($L$7 - D479)</f>
        <v>0.34727571497703497</v>
      </c>
      <c r="F479" s="23">
        <f t="shared" si="14"/>
        <v>-1.0576362468798834</v>
      </c>
      <c r="G479" s="23">
        <f>(C479 - D479)/($L$7 - D479)</f>
        <v>0.77011012061966844</v>
      </c>
      <c r="H479" s="23">
        <f t="shared" si="15"/>
        <v>-0.26122176056812774</v>
      </c>
      <c r="I479" s="23"/>
      <c r="J479" s="15"/>
      <c r="K479" s="15"/>
      <c r="L479" s="15"/>
      <c r="M479" s="15"/>
      <c r="N479" s="15"/>
      <c r="O479" s="15"/>
      <c r="P479" s="15"/>
      <c r="Q479" s="15"/>
    </row>
    <row r="480" spans="1:17">
      <c r="A480" s="14">
        <v>269.02800000000002</v>
      </c>
      <c r="B480" s="23">
        <v>40.970996</v>
      </c>
      <c r="C480" s="23">
        <v>64.358806999999999</v>
      </c>
      <c r="D480" s="23">
        <v>21.820224</v>
      </c>
      <c r="E480" s="23">
        <f>(B480 - D480)/($L$7 - D480)</f>
        <v>0.34646377504520037</v>
      </c>
      <c r="F480" s="23">
        <f t="shared" si="14"/>
        <v>-1.0599770111415194</v>
      </c>
      <c r="G480" s="23">
        <f>(C480 - D480)/($L$7 - D480)</f>
        <v>0.76958140649648932</v>
      </c>
      <c r="H480" s="23">
        <f t="shared" si="15"/>
        <v>-0.26190853988028096</v>
      </c>
      <c r="I480" s="23"/>
      <c r="J480" s="15"/>
      <c r="K480" s="15"/>
      <c r="L480" s="15"/>
      <c r="M480" s="15"/>
      <c r="N480" s="15"/>
      <c r="O480" s="15"/>
      <c r="P480" s="15"/>
      <c r="Q480" s="15"/>
    </row>
    <row r="481" spans="1:17">
      <c r="A481" s="14">
        <v>269.59199999999998</v>
      </c>
      <c r="B481" s="23">
        <v>40.922407</v>
      </c>
      <c r="C481" s="23">
        <v>64.342875000000006</v>
      </c>
      <c r="D481" s="23">
        <v>21.813006000000001</v>
      </c>
      <c r="E481" s="23">
        <f>(B481 - D481)/($L$7 - D481)</f>
        <v>0.34567017798502159</v>
      </c>
      <c r="F481" s="23">
        <f t="shared" si="14"/>
        <v>-1.0622702013671392</v>
      </c>
      <c r="G481" s="23">
        <f>(C481 - D481)/($L$7 - D481)</f>
        <v>0.76932329730846372</v>
      </c>
      <c r="H481" s="23">
        <f t="shared" si="15"/>
        <v>-0.26224398520032932</v>
      </c>
      <c r="I481" s="23"/>
      <c r="J481" s="15"/>
      <c r="K481" s="15"/>
      <c r="L481" s="15"/>
      <c r="M481" s="15"/>
      <c r="N481" s="15"/>
      <c r="O481" s="15"/>
      <c r="P481" s="15"/>
      <c r="Q481" s="15"/>
    </row>
    <row r="482" spans="1:17">
      <c r="A482" s="14">
        <v>270.15600000000001</v>
      </c>
      <c r="B482" s="23">
        <v>40.884329000000001</v>
      </c>
      <c r="C482" s="23">
        <v>64.310732000000002</v>
      </c>
      <c r="D482" s="23">
        <v>21.816471</v>
      </c>
      <c r="E482" s="23">
        <f>(B482 - D482)/($L$7 - D482)</f>
        <v>0.34494032648913786</v>
      </c>
      <c r="F482" s="23">
        <f t="shared" si="14"/>
        <v>-1.0643838436093929</v>
      </c>
      <c r="G482" s="23">
        <f>(C482 - D482)/($L$7 - D482)</f>
        <v>0.76872736640133554</v>
      </c>
      <c r="H482" s="23">
        <f t="shared" si="15"/>
        <v>-0.26301890237439945</v>
      </c>
      <c r="I482" s="23"/>
      <c r="J482" s="15"/>
      <c r="K482" s="15"/>
      <c r="L482" s="15"/>
      <c r="M482" s="15"/>
      <c r="N482" s="15"/>
      <c r="O482" s="15"/>
      <c r="P482" s="15"/>
      <c r="Q482" s="15"/>
    </row>
    <row r="483" spans="1:17">
      <c r="A483" s="14">
        <v>270.72000000000003</v>
      </c>
      <c r="B483" s="23">
        <v>40.838135999999999</v>
      </c>
      <c r="C483" s="23">
        <v>64.287977999999995</v>
      </c>
      <c r="D483" s="23">
        <v>21.806943</v>
      </c>
      <c r="E483" s="23">
        <f>(B483 - D483)/($L$7 - D483)</f>
        <v>0.34421772093571501</v>
      </c>
      <c r="F483" s="23">
        <f t="shared" si="14"/>
        <v>-1.0664809121147658</v>
      </c>
      <c r="G483" s="23">
        <f>(C483 - D483)/($L$7 - D483)</f>
        <v>0.76835567011959482</v>
      </c>
      <c r="H483" s="23">
        <f t="shared" si="15"/>
        <v>-0.2635025409029037</v>
      </c>
      <c r="I483" s="23"/>
      <c r="J483" s="15"/>
      <c r="K483" s="15"/>
      <c r="L483" s="15"/>
      <c r="M483" s="15"/>
      <c r="N483" s="15"/>
      <c r="O483" s="15"/>
      <c r="P483" s="15"/>
      <c r="Q483" s="15"/>
    </row>
    <row r="484" spans="1:17">
      <c r="A484" s="14">
        <v>271.28399999999999</v>
      </c>
      <c r="B484" s="23">
        <v>40.804192999999998</v>
      </c>
      <c r="C484" s="23">
        <v>64.266848999999993</v>
      </c>
      <c r="D484" s="23">
        <v>21.803767000000001</v>
      </c>
      <c r="E484" s="23">
        <f>(B484 - D484)/($L$7 - D484)</f>
        <v>0.34364149706485192</v>
      </c>
      <c r="F484" s="23">
        <f t="shared" si="14"/>
        <v>-1.0681563247299424</v>
      </c>
      <c r="G484" s="23">
        <f>(C484 - D484)/($L$7 - D484)</f>
        <v>0.76798683716183869</v>
      </c>
      <c r="H484" s="23">
        <f t="shared" si="15"/>
        <v>-0.26398268509353034</v>
      </c>
      <c r="I484" s="23"/>
      <c r="J484" s="15"/>
      <c r="K484" s="15"/>
      <c r="L484" s="15"/>
      <c r="M484" s="15"/>
      <c r="N484" s="15"/>
      <c r="O484" s="15"/>
      <c r="P484" s="15"/>
      <c r="Q484" s="15"/>
    </row>
    <row r="485" spans="1:17">
      <c r="A485" s="14">
        <v>271.84800000000001</v>
      </c>
      <c r="B485" s="23">
        <v>40.756449000000003</v>
      </c>
      <c r="C485" s="23">
        <v>64.241020000000006</v>
      </c>
      <c r="D485" s="23">
        <v>21.807981000000002</v>
      </c>
      <c r="E485" s="23">
        <f>(B485 - D485)/($L$7 - D485)</f>
        <v>0.34272790603178444</v>
      </c>
      <c r="F485" s="23">
        <f t="shared" si="14"/>
        <v>-1.0708184235020606</v>
      </c>
      <c r="G485" s="23">
        <f>(C485 - D485)/($L$7 - D485)</f>
        <v>0.76750197446226498</v>
      </c>
      <c r="H485" s="23">
        <f t="shared" si="15"/>
        <v>-0.26461422693482362</v>
      </c>
      <c r="I485" s="23"/>
      <c r="J485" s="15"/>
      <c r="K485" s="15"/>
      <c r="L485" s="15"/>
      <c r="M485" s="15"/>
      <c r="N485" s="15"/>
      <c r="O485" s="15"/>
      <c r="P485" s="15"/>
      <c r="Q485" s="15"/>
    </row>
    <row r="486" spans="1:17">
      <c r="A486" s="14">
        <v>272.41199999999998</v>
      </c>
      <c r="B486" s="23">
        <v>40.714956000000001</v>
      </c>
      <c r="C486" s="23">
        <v>64.222012000000007</v>
      </c>
      <c r="D486" s="23">
        <v>21.813178000000001</v>
      </c>
      <c r="E486" s="23">
        <f>(B486 - D486)/($L$7 - D486)</f>
        <v>0.34191554691718146</v>
      </c>
      <c r="F486" s="23">
        <f t="shared" si="14"/>
        <v>-1.0731915112525978</v>
      </c>
      <c r="G486" s="23">
        <f>(C486 - D486)/($L$7 - D486)</f>
        <v>0.76713628057794148</v>
      </c>
      <c r="H486" s="23">
        <f t="shared" si="15"/>
        <v>-0.26509081337471491</v>
      </c>
      <c r="I486" s="23"/>
      <c r="J486" s="15"/>
      <c r="K486" s="15"/>
      <c r="L486" s="15"/>
      <c r="M486" s="15"/>
      <c r="N486" s="15"/>
      <c r="O486" s="15"/>
      <c r="P486" s="15"/>
      <c r="Q486" s="15"/>
    </row>
    <row r="487" spans="1:17">
      <c r="A487" s="14">
        <v>272.976</v>
      </c>
      <c r="B487" s="23">
        <v>40.675894</v>
      </c>
      <c r="C487" s="23">
        <v>64.191823999999997</v>
      </c>
      <c r="D487" s="23">
        <v>21.805671</v>
      </c>
      <c r="E487" s="23">
        <f>(B487 - D487)/($L$7 - D487)</f>
        <v>0.34129839988648847</v>
      </c>
      <c r="F487" s="23">
        <f t="shared" si="14"/>
        <v>-1.07499811137086</v>
      </c>
      <c r="G487" s="23">
        <f>(C487 - D487)/($L$7 - D487)</f>
        <v>0.76662189928777635</v>
      </c>
      <c r="H487" s="23">
        <f t="shared" si="15"/>
        <v>-0.26576155967123372</v>
      </c>
      <c r="I487" s="23"/>
      <c r="J487" s="15"/>
      <c r="K487" s="15"/>
      <c r="L487" s="15"/>
      <c r="M487" s="15"/>
      <c r="N487" s="15"/>
      <c r="O487" s="15"/>
      <c r="P487" s="15"/>
      <c r="Q487" s="15"/>
    </row>
    <row r="488" spans="1:17">
      <c r="A488" s="14">
        <v>273.54000000000002</v>
      </c>
      <c r="B488" s="23">
        <v>40.640493999999997</v>
      </c>
      <c r="C488" s="23">
        <v>64.173209999999997</v>
      </c>
      <c r="D488" s="23">
        <v>21.800474000000001</v>
      </c>
      <c r="E488" s="23">
        <f>(B488 - D488)/($L$7 - D488)</f>
        <v>0.34072010357880145</v>
      </c>
      <c r="F488" s="23">
        <f t="shared" si="14"/>
        <v>-1.0766939493674557</v>
      </c>
      <c r="G488" s="23">
        <f>(C488 - D488)/($L$7 - D488)</f>
        <v>0.76630720131067864</v>
      </c>
      <c r="H488" s="23">
        <f t="shared" si="15"/>
        <v>-0.2661721435415455</v>
      </c>
      <c r="I488" s="23"/>
      <c r="J488" s="15"/>
      <c r="K488" s="15"/>
      <c r="L488" s="15"/>
      <c r="M488" s="15"/>
      <c r="N488" s="15"/>
      <c r="O488" s="15"/>
      <c r="P488" s="15"/>
      <c r="Q488" s="15"/>
    </row>
    <row r="489" spans="1:17">
      <c r="A489" s="14">
        <v>274.10399999999998</v>
      </c>
      <c r="B489" s="23">
        <v>40.602691999999998</v>
      </c>
      <c r="C489" s="23">
        <v>64.153362999999999</v>
      </c>
      <c r="D489" s="23">
        <v>21.80134</v>
      </c>
      <c r="E489" s="23">
        <f>(B489 - D489)/($L$7 - D489)</f>
        <v>0.34002612153258427</v>
      </c>
      <c r="F489" s="23">
        <f t="shared" si="14"/>
        <v>-1.07873283628604</v>
      </c>
      <c r="G489" s="23">
        <f>(C489 - D489)/($L$7 - D489)</f>
        <v>0.76594460439593948</v>
      </c>
      <c r="H489" s="23">
        <f t="shared" si="15"/>
        <v>-0.26664542987758666</v>
      </c>
      <c r="I489" s="23"/>
      <c r="J489" s="15"/>
      <c r="K489" s="15"/>
      <c r="L489" s="15"/>
      <c r="M489" s="15"/>
      <c r="N489" s="15"/>
      <c r="O489" s="15"/>
      <c r="P489" s="15"/>
      <c r="Q489" s="15"/>
    </row>
    <row r="490" spans="1:17">
      <c r="A490" s="14">
        <v>274.66800000000001</v>
      </c>
      <c r="B490" s="23">
        <v>40.547834999999999</v>
      </c>
      <c r="C490" s="23">
        <v>64.134074999999996</v>
      </c>
      <c r="D490" s="23">
        <v>21.803243999999999</v>
      </c>
      <c r="E490" s="23">
        <f>(B490 - D490)/($L$7 - D490)</f>
        <v>0.33901126135160886</v>
      </c>
      <c r="F490" s="23">
        <f t="shared" si="14"/>
        <v>-1.0817219528271567</v>
      </c>
      <c r="G490" s="23">
        <f>(C490 - D490)/($L$7 - D490)</f>
        <v>0.76558770534773402</v>
      </c>
      <c r="H490" s="23">
        <f t="shared" si="15"/>
        <v>-0.26711149781803467</v>
      </c>
      <c r="I490" s="23"/>
      <c r="J490" s="15"/>
      <c r="K490" s="15"/>
      <c r="L490" s="15"/>
      <c r="M490" s="15"/>
      <c r="N490" s="15"/>
      <c r="O490" s="15"/>
      <c r="P490" s="15"/>
      <c r="Q490" s="15"/>
    </row>
    <row r="491" spans="1:17">
      <c r="A491" s="14">
        <v>275.23200000000003</v>
      </c>
      <c r="B491" s="23">
        <v>40.524242999999998</v>
      </c>
      <c r="C491" s="23">
        <v>64.110759000000002</v>
      </c>
      <c r="D491" s="23">
        <v>21.815487000000001</v>
      </c>
      <c r="E491" s="23">
        <f>(B491 - D491)/($L$7 - D491)</f>
        <v>0.33843809460684654</v>
      </c>
      <c r="F491" s="23">
        <f t="shared" si="14"/>
        <v>-1.083414084870634</v>
      </c>
      <c r="G491" s="23">
        <f>(C491 - D491)/($L$7 - D491)</f>
        <v>0.76511400686172337</v>
      </c>
      <c r="H491" s="23">
        <f t="shared" si="15"/>
        <v>-0.2677304276818403</v>
      </c>
      <c r="I491" s="23"/>
      <c r="J491" s="15"/>
      <c r="K491" s="15"/>
      <c r="L491" s="15"/>
      <c r="M491" s="15"/>
      <c r="N491" s="15"/>
      <c r="O491" s="15"/>
      <c r="P491" s="15"/>
      <c r="Q491" s="15"/>
    </row>
    <row r="492" spans="1:17">
      <c r="A492" s="14">
        <v>275.79599999999999</v>
      </c>
      <c r="B492" s="23">
        <v>40.480468999999999</v>
      </c>
      <c r="C492" s="23">
        <v>64.079170000000005</v>
      </c>
      <c r="D492" s="23">
        <v>21.819528999999999</v>
      </c>
      <c r="E492" s="23">
        <f>(B492 - D492)/($L$7 - D492)</f>
        <v>0.33759779644048377</v>
      </c>
      <c r="F492" s="23">
        <f t="shared" si="14"/>
        <v>-1.0859000434129054</v>
      </c>
      <c r="G492" s="23">
        <f>(C492 - D492)/($L$7 - D492)</f>
        <v>0.76452534973939801</v>
      </c>
      <c r="H492" s="23">
        <f t="shared" si="15"/>
        <v>-0.26850009557622928</v>
      </c>
      <c r="I492" s="23"/>
      <c r="J492" s="15"/>
      <c r="K492" s="15"/>
      <c r="L492" s="15"/>
      <c r="M492" s="15"/>
      <c r="N492" s="15"/>
      <c r="O492" s="15"/>
      <c r="P492" s="15"/>
      <c r="Q492" s="15"/>
    </row>
    <row r="493" spans="1:17">
      <c r="A493" s="14">
        <v>276.36</v>
      </c>
      <c r="B493" s="23">
        <v>40.438966999999998</v>
      </c>
      <c r="C493" s="23">
        <v>64.070504</v>
      </c>
      <c r="D493" s="23">
        <v>21.812771999999999</v>
      </c>
      <c r="E493" s="23">
        <f>(B493 - D493)/($L$7 - D493)</f>
        <v>0.33692803284603307</v>
      </c>
      <c r="F493" s="23">
        <f t="shared" si="14"/>
        <v>-1.0878859238209915</v>
      </c>
      <c r="G493" s="23">
        <f>(C493 - D493)/($L$7 - D493)</f>
        <v>0.76439737237234251</v>
      </c>
      <c r="H493" s="23">
        <f t="shared" si="15"/>
        <v>-0.26866750412540386</v>
      </c>
      <c r="I493" s="23"/>
      <c r="J493" s="15"/>
      <c r="K493" s="15"/>
      <c r="L493" s="15"/>
      <c r="M493" s="15"/>
      <c r="N493" s="15"/>
      <c r="O493" s="15"/>
      <c r="P493" s="15"/>
      <c r="Q493" s="15"/>
    </row>
    <row r="494" spans="1:17">
      <c r="A494" s="14">
        <v>276.92399999999998</v>
      </c>
      <c r="B494" s="23">
        <v>40.408551000000003</v>
      </c>
      <c r="C494" s="23">
        <v>64.041431000000003</v>
      </c>
      <c r="D494" s="23">
        <v>21.813755</v>
      </c>
      <c r="E494" s="23">
        <f>(B494 - D494)/($L$7 - D494)</f>
        <v>0.33636603943917448</v>
      </c>
      <c r="F494" s="23">
        <f t="shared" si="14"/>
        <v>-1.0895553088950851</v>
      </c>
      <c r="G494" s="23">
        <f>(C494 - D494)/($L$7 - D494)</f>
        <v>0.76386727398572596</v>
      </c>
      <c r="H494" s="23">
        <f t="shared" si="15"/>
        <v>-0.26936123005715162</v>
      </c>
      <c r="I494" s="23"/>
      <c r="J494" s="15"/>
      <c r="K494" s="15"/>
      <c r="L494" s="15"/>
      <c r="M494" s="15"/>
      <c r="N494" s="15"/>
      <c r="O494" s="15"/>
      <c r="P494" s="15"/>
      <c r="Q494" s="15"/>
    </row>
    <row r="495" spans="1:17">
      <c r="A495" s="14">
        <v>277.488</v>
      </c>
      <c r="B495" s="23">
        <v>40.361361000000002</v>
      </c>
      <c r="C495" s="23">
        <v>64.029968999999994</v>
      </c>
      <c r="D495" s="23">
        <v>21.818546000000001</v>
      </c>
      <c r="E495" s="23">
        <f>(B495 - D495)/($L$7 - D495)</f>
        <v>0.33545481418552214</v>
      </c>
      <c r="F495" s="23">
        <f t="shared" si="14"/>
        <v>-1.0922680136512031</v>
      </c>
      <c r="G495" s="23">
        <f>(C495 - D495)/($L$7 - D495)</f>
        <v>0.76363945058889249</v>
      </c>
      <c r="H495" s="23">
        <f t="shared" si="15"/>
        <v>-0.26965952451943787</v>
      </c>
      <c r="I495" s="23"/>
      <c r="J495" s="15"/>
      <c r="K495" s="15"/>
      <c r="L495" s="15"/>
      <c r="M495" s="15"/>
      <c r="N495" s="15"/>
      <c r="O495" s="15"/>
      <c r="P495" s="15"/>
      <c r="Q495" s="15"/>
    </row>
    <row r="496" spans="1:17">
      <c r="A496" s="14">
        <v>278.05200000000002</v>
      </c>
      <c r="B496" s="23">
        <v>40.317866000000002</v>
      </c>
      <c r="C496" s="23">
        <v>64.003411</v>
      </c>
      <c r="D496" s="23">
        <v>21.806419999999999</v>
      </c>
      <c r="E496" s="23">
        <f>(B496 - D496)/($L$7 - D496)</f>
        <v>0.33481387520929667</v>
      </c>
      <c r="F496" s="23">
        <f t="shared" si="14"/>
        <v>-1.0941804979480965</v>
      </c>
      <c r="G496" s="23">
        <f>(C496 - D496)/($L$7 - D496)</f>
        <v>0.76321093872849322</v>
      </c>
      <c r="H496" s="23">
        <f t="shared" si="15"/>
        <v>-0.27022082623524174</v>
      </c>
      <c r="I496" s="23"/>
      <c r="J496" s="15"/>
      <c r="K496" s="15"/>
      <c r="L496" s="15"/>
      <c r="M496" s="15"/>
      <c r="N496" s="15"/>
      <c r="O496" s="15"/>
      <c r="P496" s="15"/>
      <c r="Q496" s="15"/>
    </row>
    <row r="497" spans="1:17">
      <c r="A497" s="14">
        <v>278.61599999999999</v>
      </c>
      <c r="B497" s="23">
        <v>40.27778</v>
      </c>
      <c r="C497" s="23">
        <v>63.983842000000003</v>
      </c>
      <c r="D497" s="23">
        <v>21.809018999999999</v>
      </c>
      <c r="E497" s="23">
        <f>(B497 - D497)/($L$7 - D497)</f>
        <v>0.33405754101202206</v>
      </c>
      <c r="F497" s="23">
        <f t="shared" si="14"/>
        <v>-1.0964420223645617</v>
      </c>
      <c r="G497" s="23">
        <f>(C497 - D497)/($L$7 - D497)</f>
        <v>0.76284584894445662</v>
      </c>
      <c r="H497" s="23">
        <f t="shared" si="15"/>
        <v>-0.27069930094725891</v>
      </c>
      <c r="I497" s="23"/>
      <c r="J497" s="15"/>
      <c r="K497" s="15"/>
      <c r="L497" s="15"/>
      <c r="M497" s="15"/>
      <c r="N497" s="15"/>
      <c r="O497" s="15"/>
      <c r="P497" s="15"/>
      <c r="Q497" s="15"/>
    </row>
    <row r="498" spans="1:17">
      <c r="A498" s="14">
        <v>279.18</v>
      </c>
      <c r="B498" s="23">
        <v>40.243380000000002</v>
      </c>
      <c r="C498" s="23">
        <v>63.958846000000001</v>
      </c>
      <c r="D498" s="23">
        <v>21.804399</v>
      </c>
      <c r="E498" s="23">
        <f>(B498 - D498)/($L$7 - D498)</f>
        <v>0.33349102084584187</v>
      </c>
      <c r="F498" s="23">
        <f t="shared" si="14"/>
        <v>-1.0981393379893902</v>
      </c>
      <c r="G498" s="23">
        <f>(C498 - D498)/($L$7 - D498)</f>
        <v>0.76241358257389258</v>
      </c>
      <c r="H498" s="23">
        <f t="shared" si="15"/>
        <v>-0.27126611125271194</v>
      </c>
      <c r="I498" s="23"/>
      <c r="J498" s="15"/>
      <c r="K498" s="15"/>
      <c r="L498" s="15"/>
      <c r="M498" s="15"/>
      <c r="N498" s="15"/>
      <c r="O498" s="15"/>
      <c r="P498" s="15"/>
      <c r="Q498" s="15"/>
    </row>
    <row r="499" spans="1:17">
      <c r="A499" s="14">
        <v>279.74400000000003</v>
      </c>
      <c r="B499" s="23">
        <v>40.195616000000001</v>
      </c>
      <c r="C499" s="23">
        <v>63.945706000000001</v>
      </c>
      <c r="D499" s="23">
        <v>21.798912999999999</v>
      </c>
      <c r="E499" s="23">
        <f>(B499 - D499)/($L$7 - D499)</f>
        <v>0.3326933625345781</v>
      </c>
      <c r="F499" s="23">
        <f t="shared" si="14"/>
        <v>-1.1005340464585551</v>
      </c>
      <c r="G499" s="23">
        <f>(C499 - D499)/($L$7 - D499)</f>
        <v>0.7621995247310791</v>
      </c>
      <c r="H499" s="23">
        <f t="shared" si="15"/>
        <v>-0.27154691409140513</v>
      </c>
      <c r="I499" s="23"/>
      <c r="J499" s="15"/>
      <c r="K499" s="15"/>
      <c r="L499" s="15"/>
      <c r="M499" s="15"/>
      <c r="N499" s="15"/>
      <c r="O499" s="15"/>
      <c r="P499" s="15"/>
      <c r="Q499" s="15"/>
    </row>
    <row r="500" spans="1:17">
      <c r="A500" s="14">
        <v>280.30799999999999</v>
      </c>
      <c r="B500" s="23">
        <v>40.160075999999997</v>
      </c>
      <c r="C500" s="23">
        <v>63.914952999999997</v>
      </c>
      <c r="D500" s="23">
        <v>21.813927</v>
      </c>
      <c r="E500" s="23">
        <f>(B500 - D500)/($L$7 - D500)</f>
        <v>0.33186923257301354</v>
      </c>
      <c r="F500" s="23">
        <f t="shared" si="14"/>
        <v>-1.1030142654480086</v>
      </c>
      <c r="G500" s="23">
        <f>(C500 - D500)/($L$7 - D500)</f>
        <v>0.76157863915508872</v>
      </c>
      <c r="H500" s="23">
        <f t="shared" si="15"/>
        <v>-0.27236184322619233</v>
      </c>
      <c r="I500" s="23"/>
      <c r="J500" s="15"/>
      <c r="K500" s="15"/>
      <c r="L500" s="15"/>
      <c r="M500" s="15"/>
      <c r="N500" s="15"/>
      <c r="O500" s="15"/>
      <c r="P500" s="15"/>
      <c r="Q500" s="15"/>
    </row>
    <row r="501" spans="1:17">
      <c r="A501" s="14">
        <v>280.87200000000001</v>
      </c>
      <c r="B501" s="23">
        <v>40.101661999999997</v>
      </c>
      <c r="C501" s="23">
        <v>63.900136000000003</v>
      </c>
      <c r="D501" s="23">
        <v>21.809307</v>
      </c>
      <c r="E501" s="23">
        <f>(B501 - D501)/($L$7 - D501)</f>
        <v>0.33086848451844275</v>
      </c>
      <c r="F501" s="23">
        <f t="shared" si="14"/>
        <v>-1.1060343102994987</v>
      </c>
      <c r="G501" s="23">
        <f>(C501 - D501)/($L$7 - D501)</f>
        <v>0.76133055603583699</v>
      </c>
      <c r="H501" s="23">
        <f t="shared" si="15"/>
        <v>-0.27268764481991781</v>
      </c>
      <c r="I501" s="23"/>
      <c r="J501" s="15"/>
      <c r="K501" s="15"/>
      <c r="L501" s="15"/>
      <c r="M501" s="15"/>
      <c r="N501" s="15"/>
      <c r="O501" s="15"/>
      <c r="P501" s="15"/>
      <c r="Q501" s="15"/>
    </row>
    <row r="502" spans="1:17">
      <c r="A502" s="14">
        <v>281.43599999999998</v>
      </c>
      <c r="B502" s="23">
        <v>40.070225999999998</v>
      </c>
      <c r="C502" s="23">
        <v>63.879002</v>
      </c>
      <c r="D502" s="23">
        <v>21.804687999999999</v>
      </c>
      <c r="E502" s="23">
        <f>(B502 - D502)/($L$7 - D502)</f>
        <v>0.33035582352685627</v>
      </c>
      <c r="F502" s="23">
        <f t="shared" si="14"/>
        <v>-1.1075849523072798</v>
      </c>
      <c r="G502" s="23">
        <f>(C502 - D502)/($L$7 - D502)</f>
        <v>0.76096825895834763</v>
      </c>
      <c r="H502" s="23">
        <f t="shared" si="15"/>
        <v>-0.27316363163769775</v>
      </c>
      <c r="I502" s="23"/>
      <c r="J502" s="15"/>
      <c r="K502" s="15"/>
      <c r="L502" s="15"/>
      <c r="M502" s="15"/>
      <c r="N502" s="15"/>
      <c r="O502" s="15"/>
      <c r="P502" s="15"/>
      <c r="Q502" s="15"/>
    </row>
    <row r="503" spans="1:17">
      <c r="A503" s="14">
        <v>282</v>
      </c>
      <c r="B503" s="23">
        <v>40.025582999999997</v>
      </c>
      <c r="C503" s="23">
        <v>63.857919000000003</v>
      </c>
      <c r="D503" s="23">
        <v>21.805554000000001</v>
      </c>
      <c r="E503" s="23">
        <f>(B503 - D503)/($L$7 - D503)</f>
        <v>0.32953789600191219</v>
      </c>
      <c r="F503" s="23">
        <f t="shared" si="14"/>
        <v>-1.1100639210248322</v>
      </c>
      <c r="G503" s="23">
        <f>(C503 - D503)/($L$7 - D503)</f>
        <v>0.76058319577891209</v>
      </c>
      <c r="H503" s="23">
        <f t="shared" si="15"/>
        <v>-0.2736697771071227</v>
      </c>
      <c r="I503" s="23"/>
      <c r="J503" s="15"/>
      <c r="K503" s="15"/>
      <c r="L503" s="15"/>
      <c r="M503" s="15"/>
      <c r="N503" s="15"/>
      <c r="O503" s="15"/>
      <c r="P503" s="15"/>
      <c r="Q503" s="15"/>
    </row>
    <row r="504" spans="1:17">
      <c r="A504" s="14">
        <v>282.56400000000002</v>
      </c>
      <c r="B504" s="23">
        <v>39.989344000000003</v>
      </c>
      <c r="C504" s="23">
        <v>63.838906999999999</v>
      </c>
      <c r="D504" s="23">
        <v>21.807458</v>
      </c>
      <c r="E504" s="23">
        <f>(B504 - D504)/($L$7 - D504)</f>
        <v>0.32885934469942413</v>
      </c>
      <c r="F504" s="23">
        <f t="shared" si="14"/>
        <v>-1.1121251433410391</v>
      </c>
      <c r="G504" s="23">
        <f>(C504 - D504)/($L$7 - D504)</f>
        <v>0.76023107695798231</v>
      </c>
      <c r="H504" s="23">
        <f t="shared" si="15"/>
        <v>-0.27413284328625337</v>
      </c>
      <c r="I504" s="23"/>
      <c r="J504" s="15"/>
      <c r="K504" s="15"/>
      <c r="L504" s="15"/>
      <c r="M504" s="15"/>
      <c r="N504" s="15"/>
      <c r="O504" s="15"/>
      <c r="P504" s="15"/>
      <c r="Q504" s="15"/>
    </row>
    <row r="505" spans="1:17">
      <c r="A505" s="14">
        <v>283.12799999999999</v>
      </c>
      <c r="B505" s="23">
        <v>39.944414000000002</v>
      </c>
      <c r="C505" s="23">
        <v>63.817937000000001</v>
      </c>
      <c r="D505" s="23">
        <v>21.803415999999999</v>
      </c>
      <c r="E505" s="23">
        <f>(B505 - D505)/($L$7 - D505)</f>
        <v>0.328095808833756</v>
      </c>
      <c r="F505" s="23">
        <f t="shared" si="14"/>
        <v>-1.1144496131480079</v>
      </c>
      <c r="G505" s="23">
        <f>(C505 - D505)/($L$7 - D505)</f>
        <v>0.75986934402714912</v>
      </c>
      <c r="H505" s="23">
        <f t="shared" si="15"/>
        <v>-0.27460877623471852</v>
      </c>
      <c r="I505" s="23"/>
      <c r="J505" s="15"/>
      <c r="K505" s="15"/>
      <c r="L505" s="15"/>
      <c r="M505" s="15"/>
      <c r="N505" s="15"/>
      <c r="O505" s="15"/>
      <c r="P505" s="15"/>
      <c r="Q505" s="15"/>
    </row>
    <row r="506" spans="1:17">
      <c r="A506" s="14">
        <v>283.69200000000001</v>
      </c>
      <c r="B506" s="23">
        <v>39.905738999999997</v>
      </c>
      <c r="C506" s="23">
        <v>63.790982</v>
      </c>
      <c r="D506" s="23">
        <v>21.803127</v>
      </c>
      <c r="E506" s="23">
        <f>(B506 - D506)/($L$7 - D506)</f>
        <v>0.32739985320496018</v>
      </c>
      <c r="F506" s="23">
        <f t="shared" si="14"/>
        <v>-1.116573062411238</v>
      </c>
      <c r="G506" s="23">
        <f>(C506 - D506)/($L$7 - D506)</f>
        <v>0.75938309694706796</v>
      </c>
      <c r="H506" s="23">
        <f t="shared" si="15"/>
        <v>-0.27524888986372475</v>
      </c>
      <c r="I506" s="23"/>
      <c r="J506" s="15"/>
      <c r="K506" s="15"/>
      <c r="L506" s="15"/>
      <c r="M506" s="15"/>
      <c r="N506" s="15"/>
      <c r="O506" s="15"/>
      <c r="P506" s="15"/>
      <c r="Q506" s="15"/>
    </row>
    <row r="507" spans="1:17">
      <c r="A507" s="14">
        <v>284.25599999999997</v>
      </c>
      <c r="B507" s="23">
        <v>39.859667999999999</v>
      </c>
      <c r="C507" s="23">
        <v>63.770570999999997</v>
      </c>
      <c r="D507" s="23">
        <v>21.80763</v>
      </c>
      <c r="E507" s="23">
        <f>(B507 - D507)/($L$7 - D507)</f>
        <v>0.32651177418658189</v>
      </c>
      <c r="F507" s="23">
        <f t="shared" si="14"/>
        <v>-1.11928926908866</v>
      </c>
      <c r="G507" s="23">
        <f>(C507 - D507)/($L$7 - D507)</f>
        <v>0.75899432053028359</v>
      </c>
      <c r="H507" s="23">
        <f t="shared" si="15"/>
        <v>-0.27576098444680458</v>
      </c>
      <c r="I507" s="23"/>
      <c r="J507" s="15"/>
      <c r="K507" s="15"/>
      <c r="L507" s="15"/>
      <c r="M507" s="15"/>
      <c r="N507" s="15"/>
      <c r="O507" s="15"/>
      <c r="P507" s="15"/>
      <c r="Q507" s="15"/>
    </row>
    <row r="508" spans="1:17">
      <c r="A508" s="14">
        <v>284.82</v>
      </c>
      <c r="B508" s="23">
        <v>39.819284000000003</v>
      </c>
      <c r="C508" s="23">
        <v>63.749600999999998</v>
      </c>
      <c r="D508" s="23">
        <v>21.800699999999999</v>
      </c>
      <c r="E508" s="23">
        <f>(B508 - D508)/($L$7 - D508)</f>
        <v>0.32586583768949412</v>
      </c>
      <c r="F508" s="23">
        <f t="shared" si="14"/>
        <v>-1.1212695231513701</v>
      </c>
      <c r="G508" s="23">
        <f>(C508 - D508)/($L$7 - D508)</f>
        <v>0.75864528336514425</v>
      </c>
      <c r="H508" s="23">
        <f t="shared" si="15"/>
        <v>-0.27622095817231546</v>
      </c>
      <c r="I508" s="23"/>
      <c r="J508" s="15"/>
      <c r="K508" s="15"/>
      <c r="L508" s="15"/>
      <c r="M508" s="15"/>
      <c r="N508" s="15"/>
      <c r="O508" s="15"/>
      <c r="P508" s="15"/>
      <c r="Q508" s="15"/>
    </row>
    <row r="509" spans="1:17">
      <c r="A509" s="14">
        <v>285.38400000000001</v>
      </c>
      <c r="B509" s="23">
        <v>39.787146</v>
      </c>
      <c r="C509" s="23">
        <v>63.735061000000002</v>
      </c>
      <c r="D509" s="23">
        <v>21.788574000000001</v>
      </c>
      <c r="E509" s="23">
        <f>(B509 - D509)/($L$7 - D509)</f>
        <v>0.3254325540678572</v>
      </c>
      <c r="F509" s="23">
        <f t="shared" si="14"/>
        <v>-1.1226000459686849</v>
      </c>
      <c r="G509" s="23">
        <f>(C509 - D509)/($L$7 - D509)</f>
        <v>0.75843530245533763</v>
      </c>
      <c r="H509" s="23">
        <f t="shared" si="15"/>
        <v>-0.27649778052850427</v>
      </c>
      <c r="I509" s="23"/>
      <c r="J509" s="15"/>
      <c r="K509" s="15"/>
      <c r="L509" s="15"/>
      <c r="M509" s="15"/>
      <c r="N509" s="15"/>
      <c r="O509" s="15"/>
      <c r="P509" s="15"/>
      <c r="Q509" s="15"/>
    </row>
    <row r="510" spans="1:17">
      <c r="A510" s="14">
        <v>285.94799999999998</v>
      </c>
      <c r="B510" s="23">
        <v>39.734245999999999</v>
      </c>
      <c r="C510" s="23">
        <v>63.713925000000003</v>
      </c>
      <c r="D510" s="23">
        <v>21.794926</v>
      </c>
      <c r="E510" s="23">
        <f>(B510 - D510)/($L$7 - D510)</f>
        <v>0.32439847479921435</v>
      </c>
      <c r="F510" s="23">
        <f t="shared" si="14"/>
        <v>-1.1257826583573129</v>
      </c>
      <c r="G510" s="23">
        <f>(C510 - D510)/($L$7 - D510)</f>
        <v>0.75802535105621571</v>
      </c>
      <c r="H510" s="23">
        <f t="shared" si="15"/>
        <v>-0.27703844923383353</v>
      </c>
      <c r="I510" s="23"/>
      <c r="J510" s="15"/>
      <c r="K510" s="15"/>
      <c r="L510" s="15"/>
      <c r="M510" s="15"/>
      <c r="N510" s="15"/>
      <c r="O510" s="15"/>
      <c r="P510" s="15"/>
      <c r="Q510" s="15"/>
    </row>
    <row r="511" spans="1:17">
      <c r="A511" s="14">
        <v>286.512</v>
      </c>
      <c r="B511" s="23">
        <v>39.702390000000001</v>
      </c>
      <c r="C511" s="23">
        <v>63.692000999999998</v>
      </c>
      <c r="D511" s="23">
        <v>21.796081000000001</v>
      </c>
      <c r="E511" s="23">
        <f>(B511 - D511)/($L$7 - D511)</f>
        <v>0.32380829671655631</v>
      </c>
      <c r="F511" s="23">
        <f t="shared" si="14"/>
        <v>-1.1276036151003537</v>
      </c>
      <c r="G511" s="23">
        <f>(C511 - D511)/($L$7 - D511)</f>
        <v>0.75762383496080088</v>
      </c>
      <c r="H511" s="23">
        <f t="shared" si="15"/>
        <v>-0.27756827646365928</v>
      </c>
      <c r="I511" s="23"/>
      <c r="J511" s="15"/>
      <c r="K511" s="15"/>
      <c r="L511" s="15"/>
      <c r="M511" s="15"/>
      <c r="N511" s="15"/>
      <c r="O511" s="15"/>
      <c r="P511" s="15"/>
      <c r="Q511" s="15"/>
    </row>
    <row r="512" spans="1:17">
      <c r="A512" s="14">
        <v>287.07600000000002</v>
      </c>
      <c r="B512" s="23">
        <v>39.668543</v>
      </c>
      <c r="C512" s="23">
        <v>63.673267000000003</v>
      </c>
      <c r="D512" s="23">
        <v>21.802433000000001</v>
      </c>
      <c r="E512" s="23">
        <f>(B512 - D512)/($L$7 - D512)</f>
        <v>0.32311847449520192</v>
      </c>
      <c r="F512" s="23">
        <f t="shared" si="14"/>
        <v>-1.1297362289092003</v>
      </c>
      <c r="G512" s="23">
        <f>(C512 - D512)/($L$7 - D512)</f>
        <v>0.75725717618003219</v>
      </c>
      <c r="H512" s="23">
        <f t="shared" si="15"/>
        <v>-0.27805235248709886</v>
      </c>
      <c r="I512" s="23"/>
      <c r="J512" s="15"/>
      <c r="K512" s="15"/>
      <c r="L512" s="15"/>
      <c r="M512" s="15"/>
      <c r="N512" s="15"/>
      <c r="O512" s="15"/>
      <c r="P512" s="15"/>
      <c r="Q512" s="15"/>
    </row>
    <row r="513" spans="1:17">
      <c r="A513" s="14">
        <v>287.64</v>
      </c>
      <c r="B513" s="23">
        <v>39.629165</v>
      </c>
      <c r="C513" s="23">
        <v>63.649664000000001</v>
      </c>
      <c r="D513" s="23">
        <v>21.803298999999999</v>
      </c>
      <c r="E513" s="23">
        <f>(B513 - D513)/($L$7 - D513)</f>
        <v>0.32239568890097747</v>
      </c>
      <c r="F513" s="23">
        <f t="shared" si="14"/>
        <v>-1.1319756403342995</v>
      </c>
      <c r="G513" s="23">
        <f>(C513 - D513)/($L$7 - D513)</f>
        <v>0.7568264942739249</v>
      </c>
      <c r="H513" s="23">
        <f t="shared" si="15"/>
        <v>-0.27862125356717454</v>
      </c>
      <c r="I513" s="23"/>
      <c r="J513" s="15"/>
      <c r="K513" s="15"/>
      <c r="L513" s="15"/>
      <c r="M513" s="15"/>
      <c r="N513" s="15"/>
      <c r="O513" s="15"/>
      <c r="P513" s="15"/>
      <c r="Q513" s="15"/>
    </row>
    <row r="514" spans="1:17">
      <c r="A514" s="14">
        <v>288.20400000000001</v>
      </c>
      <c r="B514" s="23">
        <v>39.584791000000003</v>
      </c>
      <c r="C514" s="23">
        <v>63.622819999999997</v>
      </c>
      <c r="D514" s="23">
        <v>21.792498999999999</v>
      </c>
      <c r="E514" s="23">
        <f>(B514 - D514)/($L$7 - D514)</f>
        <v>0.32172563333134252</v>
      </c>
      <c r="F514" s="23">
        <f t="shared" si="14"/>
        <v>-1.1340561670556089</v>
      </c>
      <c r="G514" s="23">
        <f>(C514 - D514)/($L$7 - D514)</f>
        <v>0.75638858198698367</v>
      </c>
      <c r="H514" s="23">
        <f t="shared" si="15"/>
        <v>-0.27920003751670802</v>
      </c>
      <c r="I514" s="23"/>
      <c r="J514" s="15"/>
      <c r="K514" s="15"/>
      <c r="L514" s="15"/>
      <c r="M514" s="15"/>
      <c r="N514" s="15"/>
      <c r="O514" s="15"/>
      <c r="P514" s="15"/>
      <c r="Q514" s="15"/>
    </row>
    <row r="515" spans="1:17">
      <c r="A515" s="14">
        <v>288.76799999999997</v>
      </c>
      <c r="B515" s="23">
        <v>39.543101999999998</v>
      </c>
      <c r="C515" s="23">
        <v>63.609397999999999</v>
      </c>
      <c r="D515" s="23">
        <v>21.795964000000001</v>
      </c>
      <c r="E515" s="23">
        <f>(B515 - D515)/($L$7 - D515)</f>
        <v>0.32092925285639634</v>
      </c>
      <c r="F515" s="23">
        <f t="shared" si="14"/>
        <v>-1.1365345762289003</v>
      </c>
      <c r="G515" s="23">
        <f>(C515 - D515)/($L$7 - D515)</f>
        <v>0.75613060162039891</v>
      </c>
      <c r="H515" s="23">
        <f t="shared" si="15"/>
        <v>-0.27954116425662962</v>
      </c>
      <c r="I515" s="23"/>
      <c r="J515" s="15"/>
      <c r="K515" s="15"/>
      <c r="L515" s="15"/>
      <c r="M515" s="15"/>
      <c r="N515" s="15"/>
      <c r="O515" s="15"/>
      <c r="P515" s="15"/>
      <c r="Q515" s="15"/>
    </row>
    <row r="516" spans="1:17">
      <c r="A516" s="14">
        <v>289.33199999999999</v>
      </c>
      <c r="B516" s="23">
        <v>39.502991999999999</v>
      </c>
      <c r="C516" s="23">
        <v>63.588425000000001</v>
      </c>
      <c r="D516" s="23">
        <v>21.796253</v>
      </c>
      <c r="E516" s="23">
        <f>(B516 - D516)/($L$7 - D516)</f>
        <v>0.32020037348641067</v>
      </c>
      <c r="F516" s="23">
        <f t="shared" ref="F516:F579" si="16">LN(E516)</f>
        <v>-1.1388083120041796</v>
      </c>
      <c r="G516" s="23">
        <f>(C516 - D516)/($L$7 - D516)</f>
        <v>0.75575006121727528</v>
      </c>
      <c r="H516" s="23">
        <f t="shared" ref="H516:H579" si="17">LN(G516)</f>
        <v>-0.28004456432055469</v>
      </c>
      <c r="I516" s="23"/>
      <c r="J516" s="15"/>
      <c r="K516" s="15"/>
      <c r="L516" s="15"/>
      <c r="M516" s="15"/>
      <c r="N516" s="15"/>
      <c r="O516" s="15"/>
      <c r="P516" s="15"/>
      <c r="Q516" s="15"/>
    </row>
    <row r="517" spans="1:17">
      <c r="A517" s="14">
        <v>289.89600000000002</v>
      </c>
      <c r="B517" s="23">
        <v>39.466453000000001</v>
      </c>
      <c r="C517" s="23">
        <v>63.567731999999999</v>
      </c>
      <c r="D517" s="23">
        <v>21.802026999999999</v>
      </c>
      <c r="E517" s="23">
        <f>(B517 - D517)/($L$7 - D517)</f>
        <v>0.3194685621054858</v>
      </c>
      <c r="F517" s="23">
        <f t="shared" si="16"/>
        <v>-1.1410964071717948</v>
      </c>
      <c r="G517" s="23">
        <f>(C517 - D517)/($L$7 - D517)</f>
        <v>0.75535031377028028</v>
      </c>
      <c r="H517" s="23">
        <f t="shared" si="17"/>
        <v>-0.28057364559528242</v>
      </c>
      <c r="I517" s="23"/>
      <c r="J517" s="15"/>
      <c r="K517" s="15"/>
      <c r="L517" s="15"/>
      <c r="M517" s="15"/>
      <c r="N517" s="15"/>
      <c r="O517" s="15"/>
      <c r="P517" s="15"/>
      <c r="Q517" s="15"/>
    </row>
    <row r="518" spans="1:17">
      <c r="A518" s="14">
        <v>290.45999999999998</v>
      </c>
      <c r="B518" s="23">
        <v>39.423054</v>
      </c>
      <c r="C518" s="23">
        <v>63.544801999999997</v>
      </c>
      <c r="D518" s="23">
        <v>21.800294999999998</v>
      </c>
      <c r="E518" s="23">
        <f>(B518 - D518)/($L$7 - D518)</f>
        <v>0.31870501381402494</v>
      </c>
      <c r="F518" s="23">
        <f t="shared" si="16"/>
        <v>-1.1434893256021896</v>
      </c>
      <c r="G518" s="23">
        <f>(C518 - D518)/($L$7 - D518)</f>
        <v>0.75494329123462778</v>
      </c>
      <c r="H518" s="23">
        <f t="shared" si="17"/>
        <v>-0.28111264350159371</v>
      </c>
      <c r="I518" s="23"/>
      <c r="J518" s="15"/>
      <c r="K518" s="15"/>
      <c r="L518" s="15"/>
      <c r="M518" s="15"/>
      <c r="N518" s="15"/>
      <c r="O518" s="15"/>
      <c r="P518" s="15"/>
      <c r="Q518" s="15"/>
    </row>
    <row r="519" spans="1:17">
      <c r="A519" s="14">
        <v>291.024</v>
      </c>
      <c r="B519" s="23">
        <v>39.391759</v>
      </c>
      <c r="C519" s="23">
        <v>63.527464000000002</v>
      </c>
      <c r="D519" s="23">
        <v>21.800294999999998</v>
      </c>
      <c r="E519" s="23">
        <f>(B519 - D519)/($L$7 - D519)</f>
        <v>0.31813904832545925</v>
      </c>
      <c r="F519" s="23">
        <f t="shared" si="16"/>
        <v>-1.1452667328866764</v>
      </c>
      <c r="G519" s="23">
        <f>(C519 - D519)/($L$7 - D519)</f>
        <v>0.75462973604559602</v>
      </c>
      <c r="H519" s="23">
        <f t="shared" si="17"/>
        <v>-0.28152806585993567</v>
      </c>
      <c r="I519" s="23"/>
      <c r="J519" s="15"/>
      <c r="K519" s="15"/>
      <c r="L519" s="15"/>
      <c r="M519" s="15"/>
      <c r="N519" s="15"/>
      <c r="O519" s="15"/>
      <c r="P519" s="15"/>
      <c r="Q519" s="15"/>
    </row>
    <row r="520" spans="1:17">
      <c r="A520" s="14">
        <v>291.58800000000002</v>
      </c>
      <c r="B520" s="23">
        <v>39.346113000000003</v>
      </c>
      <c r="C520" s="23">
        <v>63.509287</v>
      </c>
      <c r="D520" s="23">
        <v>21.792960000000001</v>
      </c>
      <c r="E520" s="23">
        <f>(B520 - D520)/($L$7 - D520)</f>
        <v>0.31740409509013257</v>
      </c>
      <c r="F520" s="23">
        <f t="shared" si="16"/>
        <v>-1.1475795689877635</v>
      </c>
      <c r="G520" s="23">
        <f>(C520 - D520)/($L$7 - D520)</f>
        <v>0.75433359590263149</v>
      </c>
      <c r="H520" s="23">
        <f t="shared" si="17"/>
        <v>-0.28192057393550857</v>
      </c>
      <c r="I520" s="23"/>
      <c r="J520" s="15"/>
      <c r="K520" s="15"/>
      <c r="L520" s="15"/>
      <c r="M520" s="15"/>
      <c r="N520" s="15"/>
      <c r="O520" s="15"/>
      <c r="P520" s="15"/>
      <c r="Q520" s="15"/>
    </row>
    <row r="521" spans="1:17">
      <c r="A521" s="14">
        <v>292.15199999999999</v>
      </c>
      <c r="B521" s="23">
        <v>39.304575</v>
      </c>
      <c r="C521" s="23">
        <v>63.482885000000003</v>
      </c>
      <c r="D521" s="23">
        <v>21.785741999999999</v>
      </c>
      <c r="E521" s="23">
        <f>(B521 - D521)/($L$7 - D521)</f>
        <v>0.31674216432188329</v>
      </c>
      <c r="F521" s="23">
        <f t="shared" si="16"/>
        <v>-1.149667197823625</v>
      </c>
      <c r="G521" s="23">
        <f>(C521 - D521)/($L$7 - D521)</f>
        <v>0.75388830522324546</v>
      </c>
      <c r="H521" s="23">
        <f t="shared" si="17"/>
        <v>-0.2825110582561407</v>
      </c>
      <c r="I521" s="23"/>
      <c r="J521" s="15"/>
      <c r="K521" s="15"/>
      <c r="L521" s="15"/>
      <c r="M521" s="15"/>
      <c r="N521" s="15"/>
      <c r="O521" s="15"/>
      <c r="P521" s="15"/>
      <c r="Q521" s="15"/>
    </row>
    <row r="522" spans="1:17">
      <c r="A522" s="14">
        <v>292.71600000000001</v>
      </c>
      <c r="B522" s="23">
        <v>39.261327999999999</v>
      </c>
      <c r="C522" s="23">
        <v>63.468063999999998</v>
      </c>
      <c r="D522" s="23">
        <v>21.791226999999999</v>
      </c>
      <c r="E522" s="23">
        <f>(B522 - D522)/($L$7 - D522)</f>
        <v>0.31589241197000018</v>
      </c>
      <c r="F522" s="23">
        <f t="shared" si="16"/>
        <v>-1.1523535918171328</v>
      </c>
      <c r="G522" s="23">
        <f>(C522 - D522)/($L$7 - D522)</f>
        <v>0.75359590440894109</v>
      </c>
      <c r="H522" s="23">
        <f t="shared" si="17"/>
        <v>-0.2828989904362631</v>
      </c>
      <c r="I522" s="23"/>
      <c r="J522" s="15"/>
      <c r="K522" s="15"/>
      <c r="L522" s="15"/>
      <c r="M522" s="15"/>
      <c r="N522" s="15"/>
      <c r="O522" s="15"/>
      <c r="P522" s="15"/>
      <c r="Q522" s="15"/>
    </row>
    <row r="523" spans="1:17">
      <c r="A523" s="14">
        <v>293.27999999999997</v>
      </c>
      <c r="B523" s="23">
        <v>39.226616</v>
      </c>
      <c r="C523" s="23">
        <v>63.441215999999997</v>
      </c>
      <c r="D523" s="23">
        <v>21.784586999999998</v>
      </c>
      <c r="E523" s="23">
        <f>(B523 - D523)/($L$7 - D523)</f>
        <v>0.31534695547231378</v>
      </c>
      <c r="F523" s="23">
        <f t="shared" si="16"/>
        <v>-1.1540818003591833</v>
      </c>
      <c r="G523" s="23">
        <f>(C523 - D523)/($L$7 - D523)</f>
        <v>0.7531400808007882</v>
      </c>
      <c r="H523" s="23">
        <f t="shared" si="17"/>
        <v>-0.2835040382037991</v>
      </c>
      <c r="I523" s="23"/>
      <c r="J523" s="15"/>
      <c r="K523" s="15"/>
      <c r="L523" s="15"/>
      <c r="M523" s="15"/>
      <c r="N523" s="15"/>
      <c r="O523" s="15"/>
      <c r="P523" s="15"/>
      <c r="Q523" s="15"/>
    </row>
    <row r="524" spans="1:17">
      <c r="A524" s="14">
        <v>293.84399999999999</v>
      </c>
      <c r="B524" s="23">
        <v>39.176820999999997</v>
      </c>
      <c r="C524" s="23">
        <v>63.422758999999999</v>
      </c>
      <c r="D524" s="23">
        <v>21.789494999999999</v>
      </c>
      <c r="E524" s="23">
        <f>(B524 - D524)/($L$7 - D524)</f>
        <v>0.3143858377974158</v>
      </c>
      <c r="F524" s="23">
        <f t="shared" si="16"/>
        <v>-1.1571342646152638</v>
      </c>
      <c r="G524" s="23">
        <f>(C524 - D524)/($L$7 - D524)</f>
        <v>0.75278444672176681</v>
      </c>
      <c r="H524" s="23">
        <f t="shared" si="17"/>
        <v>-0.28397635149591033</v>
      </c>
      <c r="I524" s="23"/>
      <c r="J524" s="15"/>
      <c r="K524" s="15"/>
      <c r="L524" s="15"/>
      <c r="M524" s="15"/>
      <c r="N524" s="15"/>
      <c r="O524" s="15"/>
      <c r="P524" s="15"/>
      <c r="Q524" s="15"/>
    </row>
    <row r="525" spans="1:17">
      <c r="A525" s="14">
        <v>294.40800000000002</v>
      </c>
      <c r="B525" s="23">
        <v>39.131293999999997</v>
      </c>
      <c r="C525" s="23">
        <v>63.410060000000001</v>
      </c>
      <c r="D525" s="23">
        <v>21.785046999999999</v>
      </c>
      <c r="E525" s="23">
        <f>(B525 - D525)/($L$7 - D525)</f>
        <v>0.31361785223501243</v>
      </c>
      <c r="F525" s="23">
        <f t="shared" si="16"/>
        <v>-1.1595800653563413</v>
      </c>
      <c r="G525" s="23">
        <f>(C525 - D525)/($L$7 - D525)</f>
        <v>0.75257473137068054</v>
      </c>
      <c r="H525" s="23">
        <f t="shared" si="17"/>
        <v>-0.2842549764984944</v>
      </c>
      <c r="I525" s="23"/>
      <c r="J525" s="15"/>
      <c r="K525" s="15"/>
      <c r="L525" s="15"/>
      <c r="M525" s="15"/>
      <c r="N525" s="15"/>
      <c r="O525" s="15"/>
      <c r="P525" s="15"/>
      <c r="Q525" s="15"/>
    </row>
    <row r="526" spans="1:17">
      <c r="A526" s="14">
        <v>294.97199999999998</v>
      </c>
      <c r="B526" s="23">
        <v>39.098570000000002</v>
      </c>
      <c r="C526" s="23">
        <v>63.378290999999997</v>
      </c>
      <c r="D526" s="23">
        <v>21.796306999999999</v>
      </c>
      <c r="E526" s="23">
        <f>(B526 - D526)/($L$7 - D526)</f>
        <v>0.31288632451301596</v>
      </c>
      <c r="F526" s="23">
        <f t="shared" si="16"/>
        <v>-1.1619153348775804</v>
      </c>
      <c r="G526" s="23">
        <f>(C526 - D526)/($L$7 - D526)</f>
        <v>0.75194985417335491</v>
      </c>
      <c r="H526" s="23">
        <f t="shared" si="17"/>
        <v>-0.28508564053583912</v>
      </c>
      <c r="I526" s="23"/>
      <c r="J526" s="15"/>
      <c r="K526" s="15"/>
      <c r="L526" s="15"/>
      <c r="M526" s="15"/>
      <c r="N526" s="15"/>
      <c r="O526" s="15"/>
      <c r="P526" s="15"/>
      <c r="Q526" s="15"/>
    </row>
    <row r="527" spans="1:17">
      <c r="A527" s="14">
        <v>295.536</v>
      </c>
      <c r="B527" s="23">
        <v>39.068120999999998</v>
      </c>
      <c r="C527" s="23">
        <v>63.357596000000001</v>
      </c>
      <c r="D527" s="23">
        <v>21.793132</v>
      </c>
      <c r="E527" s="23">
        <f>(B527 - D527)/($L$7 - D527)</f>
        <v>0.31237517868685311</v>
      </c>
      <c r="F527" s="23">
        <f t="shared" si="16"/>
        <v>-1.1635503178004436</v>
      </c>
      <c r="G527" s="23">
        <f>(C527 - D527)/($L$7 - D527)</f>
        <v>0.75158987765626217</v>
      </c>
      <c r="H527" s="23">
        <f t="shared" si="17"/>
        <v>-0.28556447926068329</v>
      </c>
      <c r="I527" s="23"/>
      <c r="J527" s="15"/>
      <c r="K527" s="15"/>
      <c r="L527" s="15"/>
      <c r="M527" s="15"/>
      <c r="N527" s="15"/>
      <c r="O527" s="15"/>
      <c r="P527" s="15"/>
      <c r="Q527" s="15"/>
    </row>
    <row r="528" spans="1:17">
      <c r="A528" s="14">
        <v>296.10000000000002</v>
      </c>
      <c r="B528" s="23">
        <v>39.023159</v>
      </c>
      <c r="C528" s="23">
        <v>63.341819000000001</v>
      </c>
      <c r="D528" s="23">
        <v>21.798328999999999</v>
      </c>
      <c r="E528" s="23">
        <f>(B528 - D528)/($L$7 - D528)</f>
        <v>0.3114974509310719</v>
      </c>
      <c r="F528" s="23">
        <f t="shared" si="16"/>
        <v>-1.1663641239949436</v>
      </c>
      <c r="G528" s="23">
        <f>(C528 - D528)/($L$7 - D528)</f>
        <v>0.75128121657981395</v>
      </c>
      <c r="H528" s="23">
        <f t="shared" si="17"/>
        <v>-0.28597524114434975</v>
      </c>
      <c r="I528" s="23"/>
      <c r="J528" s="15"/>
      <c r="K528" s="15"/>
      <c r="L528" s="15"/>
      <c r="M528" s="15"/>
      <c r="N528" s="15"/>
      <c r="O528" s="15"/>
      <c r="P528" s="15"/>
      <c r="Q528" s="15"/>
    </row>
    <row r="529" spans="1:17">
      <c r="A529" s="14">
        <v>296.66399999999999</v>
      </c>
      <c r="B529" s="23">
        <v>38.986606000000002</v>
      </c>
      <c r="C529" s="23">
        <v>63.326272000000003</v>
      </c>
      <c r="D529" s="23">
        <v>21.795441</v>
      </c>
      <c r="E529" s="23">
        <f>(B529 - D529)/($L$7 - D529)</f>
        <v>0.31087240999031734</v>
      </c>
      <c r="F529" s="23">
        <f t="shared" si="16"/>
        <v>-1.1683727082472997</v>
      </c>
      <c r="G529" s="23">
        <f>(C529 - D529)/($L$7 - D529)</f>
        <v>0.75101306525012013</v>
      </c>
      <c r="H529" s="23">
        <f t="shared" si="17"/>
        <v>-0.28633223023202031</v>
      </c>
      <c r="I529" s="23"/>
      <c r="J529" s="15"/>
      <c r="K529" s="15"/>
      <c r="L529" s="15"/>
      <c r="M529" s="15"/>
      <c r="N529" s="15"/>
      <c r="O529" s="15"/>
      <c r="P529" s="15"/>
      <c r="Q529" s="15"/>
    </row>
    <row r="530" spans="1:17">
      <c r="A530" s="14">
        <v>297.22800000000001</v>
      </c>
      <c r="B530" s="23">
        <v>38.937372000000003</v>
      </c>
      <c r="C530" s="23">
        <v>63.302384000000004</v>
      </c>
      <c r="D530" s="23">
        <v>21.787068000000001</v>
      </c>
      <c r="E530" s="23">
        <f>(B530 - D530)/($L$7 - D530)</f>
        <v>0.31008655908342431</v>
      </c>
      <c r="F530" s="23">
        <f t="shared" si="16"/>
        <v>-1.1709037976286341</v>
      </c>
      <c r="G530" s="23">
        <f>(C530 - D530)/($L$7 - D530)</f>
        <v>0.75061885128689432</v>
      </c>
      <c r="H530" s="23">
        <f t="shared" si="17"/>
        <v>-0.28685727763936519</v>
      </c>
      <c r="I530" s="23"/>
      <c r="J530" s="15"/>
      <c r="K530" s="15"/>
      <c r="L530" s="15"/>
      <c r="M530" s="15"/>
      <c r="N530" s="15"/>
      <c r="O530" s="15"/>
      <c r="P530" s="15"/>
      <c r="Q530" s="15"/>
    </row>
    <row r="531" spans="1:17">
      <c r="A531" s="14">
        <v>297.79199999999997</v>
      </c>
      <c r="B531" s="23">
        <v>38.903219999999997</v>
      </c>
      <c r="C531" s="23">
        <v>63.283925000000004</v>
      </c>
      <c r="D531" s="23">
        <v>21.785046999999999</v>
      </c>
      <c r="E531" s="23">
        <f>(B531 - D531)/($L$7 - D531)</f>
        <v>0.30949430447101206</v>
      </c>
      <c r="F531" s="23">
        <f t="shared" si="16"/>
        <v>-1.1728155893821848</v>
      </c>
      <c r="G531" s="23">
        <f>(C531 - D531)/($L$7 - D531)</f>
        <v>0.75029422724828088</v>
      </c>
      <c r="H531" s="23">
        <f t="shared" si="17"/>
        <v>-0.28728984638477467</v>
      </c>
      <c r="I531" s="23"/>
      <c r="J531" s="15"/>
      <c r="K531" s="15"/>
      <c r="L531" s="15"/>
      <c r="M531" s="15"/>
      <c r="N531" s="15"/>
      <c r="O531" s="15"/>
      <c r="P531" s="15"/>
      <c r="Q531" s="15"/>
    </row>
    <row r="532" spans="1:17">
      <c r="A532" s="14">
        <v>298.35599999999999</v>
      </c>
      <c r="B532" s="23">
        <v>38.866790000000002</v>
      </c>
      <c r="C532" s="23">
        <v>63.256515</v>
      </c>
      <c r="D532" s="23">
        <v>21.786373999999999</v>
      </c>
      <c r="E532" s="23">
        <f>(B532 - D532)/($L$7 - D532)</f>
        <v>0.30881907208565612</v>
      </c>
      <c r="F532" s="23">
        <f t="shared" si="16"/>
        <v>-1.1749997008032909</v>
      </c>
      <c r="G532" s="23">
        <f>(C532 - D532)/($L$7 - D532)</f>
        <v>0.74979265510168602</v>
      </c>
      <c r="H532" s="23">
        <f t="shared" si="17"/>
        <v>-0.28795857053827262</v>
      </c>
      <c r="I532" s="23"/>
      <c r="J532" s="15"/>
      <c r="K532" s="15"/>
      <c r="L532" s="15"/>
      <c r="M532" s="15"/>
      <c r="N532" s="15"/>
      <c r="O532" s="15"/>
      <c r="P532" s="15"/>
      <c r="Q532" s="15"/>
    </row>
    <row r="533" spans="1:17">
      <c r="A533" s="14">
        <v>298.92</v>
      </c>
      <c r="B533" s="23">
        <v>38.81812</v>
      </c>
      <c r="C533" s="23">
        <v>63.248289999999997</v>
      </c>
      <c r="D533" s="23">
        <v>21.792148999999998</v>
      </c>
      <c r="E533" s="23">
        <f>(B533 - D533)/($L$7 - D533)</f>
        <v>0.30786683559530376</v>
      </c>
      <c r="F533" s="23">
        <f t="shared" si="16"/>
        <v>-1.1780879414629204</v>
      </c>
      <c r="G533" s="23">
        <f>(C533 - D533)/($L$7 - D533)</f>
        <v>0.74961780127915945</v>
      </c>
      <c r="H533" s="23">
        <f t="shared" si="17"/>
        <v>-0.28819180063557531</v>
      </c>
      <c r="I533" s="23"/>
      <c r="J533" s="15"/>
      <c r="K533" s="15"/>
      <c r="L533" s="15"/>
      <c r="M533" s="15"/>
      <c r="N533" s="15"/>
      <c r="O533" s="15"/>
      <c r="P533" s="15"/>
      <c r="Q533" s="15"/>
    </row>
    <row r="534" spans="1:17">
      <c r="A534" s="14">
        <v>299.48399999999998</v>
      </c>
      <c r="B534" s="23">
        <v>38.786527</v>
      </c>
      <c r="C534" s="23">
        <v>63.220878999999996</v>
      </c>
      <c r="D534" s="23">
        <v>21.780311000000001</v>
      </c>
      <c r="E534" s="23">
        <f>(B534 - D534)/($L$7 - D534)</f>
        <v>0.3074438114521636</v>
      </c>
      <c r="F534" s="23">
        <f t="shared" si="16"/>
        <v>-1.1794629354170079</v>
      </c>
      <c r="G534" s="23">
        <f>(C534 - D534)/($L$7 - D534)</f>
        <v>0.74917584103733392</v>
      </c>
      <c r="H534" s="23">
        <f t="shared" si="17"/>
        <v>-0.2887815552784524</v>
      </c>
      <c r="I534" s="23"/>
      <c r="J534" s="15"/>
      <c r="K534" s="15"/>
      <c r="L534" s="15"/>
      <c r="M534" s="15"/>
      <c r="N534" s="15"/>
      <c r="O534" s="15"/>
      <c r="P534" s="15"/>
      <c r="Q534" s="15"/>
    </row>
    <row r="535" spans="1:17">
      <c r="A535" s="14">
        <v>300.048</v>
      </c>
      <c r="B535" s="23">
        <v>38.747247000000002</v>
      </c>
      <c r="C535" s="23">
        <v>63.195819999999998</v>
      </c>
      <c r="D535" s="23">
        <v>21.790127999999999</v>
      </c>
      <c r="E535" s="23">
        <f>(B535 - D535)/($L$7 - D535)</f>
        <v>0.30661063586625298</v>
      </c>
      <c r="F535" s="23">
        <f t="shared" si="16"/>
        <v>-1.1821766234322912</v>
      </c>
      <c r="G535" s="23">
        <f>(C535 - D535)/($L$7 - D535)</f>
        <v>0.74867821312112182</v>
      </c>
      <c r="H535" s="23">
        <f t="shared" si="17"/>
        <v>-0.28944600978006302</v>
      </c>
      <c r="I535" s="23"/>
      <c r="J535" s="15"/>
      <c r="K535" s="15"/>
      <c r="L535" s="15"/>
      <c r="M535" s="15"/>
      <c r="N535" s="15"/>
      <c r="O535" s="15"/>
      <c r="P535" s="15"/>
      <c r="Q535" s="15"/>
    </row>
    <row r="536" spans="1:17">
      <c r="A536" s="14">
        <v>300.61200000000002</v>
      </c>
      <c r="B536" s="23">
        <v>38.708250999999997</v>
      </c>
      <c r="C536" s="23">
        <v>63.165612000000003</v>
      </c>
      <c r="D536" s="23">
        <v>21.785796999999999</v>
      </c>
      <c r="E536" s="23">
        <f>(B536 - D536)/($L$7 - D536)</f>
        <v>0.30595987961465276</v>
      </c>
      <c r="F536" s="23">
        <f t="shared" si="16"/>
        <v>-1.1843012979961502</v>
      </c>
      <c r="G536" s="23">
        <f>(C536 - D536)/($L$7 - D536)</f>
        <v>0.74815172881407188</v>
      </c>
      <c r="H536" s="23">
        <f t="shared" si="17"/>
        <v>-0.29014947557001214</v>
      </c>
      <c r="I536" s="23"/>
      <c r="J536" s="15"/>
      <c r="K536" s="15"/>
      <c r="L536" s="15"/>
      <c r="M536" s="15"/>
      <c r="N536" s="15"/>
      <c r="O536" s="15"/>
      <c r="P536" s="15"/>
      <c r="Q536" s="15"/>
    </row>
    <row r="537" spans="1:17">
      <c r="A537" s="14">
        <v>301.17599999999999</v>
      </c>
      <c r="B537" s="23">
        <v>38.667546000000002</v>
      </c>
      <c r="C537" s="23">
        <v>63.150393000000001</v>
      </c>
      <c r="D537" s="23">
        <v>21.794747000000001</v>
      </c>
      <c r="E537" s="23">
        <f>(B537 - D537)/($L$7 - D537)</f>
        <v>0.30511148383469433</v>
      </c>
      <c r="F537" s="23">
        <f t="shared" si="16"/>
        <v>-1.1870780483916783</v>
      </c>
      <c r="G537" s="23">
        <f>(C537 - D537)/($L$7 - D537)</f>
        <v>0.74783576311211564</v>
      </c>
      <c r="H537" s="23">
        <f t="shared" si="17"/>
        <v>-0.29057189314818016</v>
      </c>
      <c r="I537" s="23"/>
      <c r="J537" s="15"/>
      <c r="K537" s="15"/>
      <c r="L537" s="15"/>
      <c r="M537" s="15"/>
      <c r="N537" s="15"/>
      <c r="O537" s="15"/>
      <c r="P537" s="15"/>
      <c r="Q537" s="15"/>
    </row>
    <row r="538" spans="1:17">
      <c r="A538" s="14">
        <v>301.74</v>
      </c>
      <c r="B538" s="23">
        <v>38.637940999999998</v>
      </c>
      <c r="C538" s="23">
        <v>63.121862</v>
      </c>
      <c r="D538" s="23">
        <v>21.782793000000002</v>
      </c>
      <c r="E538" s="23">
        <f>(B538 - D538)/($L$7 - D538)</f>
        <v>0.30472642903010899</v>
      </c>
      <c r="F538" s="23">
        <f t="shared" si="16"/>
        <v>-1.1883408588783098</v>
      </c>
      <c r="G538" s="23">
        <f>(C538 - D538)/($L$7 - D538)</f>
        <v>0.74737444463847358</v>
      </c>
      <c r="H538" s="23">
        <f t="shared" si="17"/>
        <v>-0.29118895486416979</v>
      </c>
      <c r="I538" s="23"/>
      <c r="J538" s="15"/>
      <c r="K538" s="15"/>
      <c r="L538" s="15"/>
      <c r="M538" s="15"/>
      <c r="N538" s="15"/>
      <c r="O538" s="15"/>
      <c r="P538" s="15"/>
      <c r="Q538" s="15"/>
    </row>
    <row r="539" spans="1:17">
      <c r="A539" s="14">
        <v>302.30399999999997</v>
      </c>
      <c r="B539" s="23">
        <v>38.580880999999998</v>
      </c>
      <c r="C539" s="23">
        <v>63.101163</v>
      </c>
      <c r="D539" s="23">
        <v>21.781638000000001</v>
      </c>
      <c r="E539" s="23">
        <f>(B539 - D539)/($L$7 - D539)</f>
        <v>0.30370937333472076</v>
      </c>
      <c r="F539" s="23">
        <f t="shared" si="16"/>
        <v>-1.1916840436111209</v>
      </c>
      <c r="G539" s="23">
        <f>(C539 - D539)/($L$7 - D539)</f>
        <v>0.74700550758378403</v>
      </c>
      <c r="H539" s="23">
        <f t="shared" si="17"/>
        <v>-0.29168272093970715</v>
      </c>
      <c r="I539" s="23"/>
      <c r="J539" s="15"/>
      <c r="K539" s="15"/>
      <c r="L539" s="15"/>
      <c r="M539" s="15"/>
      <c r="N539" s="15"/>
      <c r="O539" s="15"/>
      <c r="P539" s="15"/>
      <c r="Q539" s="15"/>
    </row>
    <row r="540" spans="1:17">
      <c r="A540" s="14">
        <v>302.86799999999999</v>
      </c>
      <c r="B540" s="23">
        <v>38.544156999999998</v>
      </c>
      <c r="C540" s="23">
        <v>63.088016000000003</v>
      </c>
      <c r="D540" s="23">
        <v>21.788395000000001</v>
      </c>
      <c r="E540" s="23">
        <f>(B540 - D540)/($L$7 - D540)</f>
        <v>0.30296030011938313</v>
      </c>
      <c r="F540" s="23">
        <f t="shared" si="16"/>
        <v>-1.1941535047652994</v>
      </c>
      <c r="G540" s="23">
        <f>(C540 - D540)/($L$7 - D540)</f>
        <v>0.74673688806135952</v>
      </c>
      <c r="H540" s="23">
        <f t="shared" si="17"/>
        <v>-0.29204238071250771</v>
      </c>
      <c r="I540" s="23"/>
      <c r="J540" s="15"/>
      <c r="K540" s="15"/>
      <c r="L540" s="15"/>
      <c r="M540" s="15"/>
      <c r="N540" s="15"/>
      <c r="O540" s="15"/>
      <c r="P540" s="15"/>
      <c r="Q540" s="15"/>
    </row>
    <row r="541" spans="1:17">
      <c r="A541" s="14">
        <v>303.43200000000002</v>
      </c>
      <c r="B541" s="23">
        <v>38.513126</v>
      </c>
      <c r="C541" s="23">
        <v>63.057805000000002</v>
      </c>
      <c r="D541" s="23">
        <v>21.781927</v>
      </c>
      <c r="E541" s="23">
        <f>(B541 - D541)/($L$7 - D541)</f>
        <v>0.30248080302048375</v>
      </c>
      <c r="F541" s="23">
        <f t="shared" si="16"/>
        <v>-1.1957374646142909</v>
      </c>
      <c r="G541" s="23">
        <f>(C541 - D541)/($L$7 - D541)</f>
        <v>0.74622032305129593</v>
      </c>
      <c r="H541" s="23">
        <f t="shared" si="17"/>
        <v>-0.29273438317156336</v>
      </c>
      <c r="I541" s="23"/>
      <c r="J541" s="15"/>
      <c r="K541" s="15"/>
      <c r="L541" s="15"/>
      <c r="M541" s="15"/>
      <c r="N541" s="15"/>
      <c r="O541" s="15"/>
      <c r="P541" s="15"/>
      <c r="Q541" s="15"/>
    </row>
    <row r="542" spans="1:17">
      <c r="A542" s="14">
        <v>303.99599999999998</v>
      </c>
      <c r="B542" s="23">
        <v>38.465456000000003</v>
      </c>
      <c r="C542" s="23">
        <v>63.036546000000001</v>
      </c>
      <c r="D542" s="23">
        <v>21.784524999999999</v>
      </c>
      <c r="E542" s="23">
        <f>(B542 - D542)/($L$7 - D542)</f>
        <v>0.30158618064607845</v>
      </c>
      <c r="F542" s="23">
        <f t="shared" si="16"/>
        <v>-1.1986994640371078</v>
      </c>
      <c r="G542" s="23">
        <f>(C542 - D542)/($L$7 - D542)</f>
        <v>0.74582404647089651</v>
      </c>
      <c r="H542" s="23">
        <f t="shared" si="17"/>
        <v>-0.29326556923789204</v>
      </c>
      <c r="I542" s="23"/>
      <c r="J542" s="15"/>
      <c r="K542" s="15"/>
      <c r="L542" s="15"/>
      <c r="M542" s="15"/>
      <c r="N542" s="15"/>
      <c r="O542" s="15"/>
      <c r="P542" s="15"/>
      <c r="Q542" s="15"/>
    </row>
    <row r="543" spans="1:17">
      <c r="A543" s="14">
        <v>304.56</v>
      </c>
      <c r="B543" s="23">
        <v>38.426166000000002</v>
      </c>
      <c r="C543" s="23">
        <v>63.011090000000003</v>
      </c>
      <c r="D543" s="23">
        <v>21.802136999999998</v>
      </c>
      <c r="E543" s="23">
        <f>(B543 - D543)/($L$7 - D543)</f>
        <v>0.30065314358048884</v>
      </c>
      <c r="F543" s="23">
        <f t="shared" si="16"/>
        <v>-1.2017980256041449</v>
      </c>
      <c r="G543" s="23">
        <f>(C543 - D543)/($L$7 - D543)</f>
        <v>0.74528270271368124</v>
      </c>
      <c r="H543" s="23">
        <f t="shared" si="17"/>
        <v>-0.29399166585209496</v>
      </c>
      <c r="I543" s="23"/>
      <c r="J543" s="15"/>
      <c r="K543" s="15"/>
      <c r="L543" s="15"/>
      <c r="M543" s="15"/>
      <c r="N543" s="15"/>
      <c r="O543" s="15"/>
      <c r="P543" s="15"/>
      <c r="Q543" s="15"/>
    </row>
    <row r="544" spans="1:17">
      <c r="A544" s="14">
        <v>305.12400000000002</v>
      </c>
      <c r="B544" s="23">
        <v>38.384439</v>
      </c>
      <c r="C544" s="23">
        <v>62.996263999999996</v>
      </c>
      <c r="D544" s="23">
        <v>21.804908000000001</v>
      </c>
      <c r="E544" s="23">
        <f>(B544 - D544)/($L$7 - D544)</f>
        <v>0.29986340455730753</v>
      </c>
      <c r="F544" s="23">
        <f t="shared" si="16"/>
        <v>-1.2044282261570249</v>
      </c>
      <c r="G544" s="23">
        <f>(C544 - D544)/($L$7 - D544)</f>
        <v>0.74500178856036858</v>
      </c>
      <c r="H544" s="23">
        <f t="shared" si="17"/>
        <v>-0.29436865985328675</v>
      </c>
      <c r="I544" s="23"/>
      <c r="J544" s="15"/>
      <c r="K544" s="15"/>
      <c r="L544" s="15"/>
      <c r="M544" s="15"/>
      <c r="N544" s="15"/>
      <c r="O544" s="15"/>
      <c r="P544" s="15"/>
      <c r="Q544" s="15"/>
    </row>
    <row r="545" spans="1:17">
      <c r="A545" s="14">
        <v>305.68799999999999</v>
      </c>
      <c r="B545" s="23">
        <v>38.351284999999997</v>
      </c>
      <c r="C545" s="23">
        <v>62.974164000000002</v>
      </c>
      <c r="D545" s="23">
        <v>21.802136999999998</v>
      </c>
      <c r="E545" s="23">
        <f>(B545 - D545)/($L$7 - D545)</f>
        <v>0.29929888655624687</v>
      </c>
      <c r="F545" s="23">
        <f t="shared" si="16"/>
        <v>-1.2063125842899529</v>
      </c>
      <c r="G545" s="23">
        <f>(C545 - D545)/($L$7 - D545)</f>
        <v>0.74461487916862756</v>
      </c>
      <c r="H545" s="23">
        <f t="shared" si="17"/>
        <v>-0.29488813497574445</v>
      </c>
      <c r="I545" s="23"/>
      <c r="J545" s="15"/>
      <c r="K545" s="15"/>
      <c r="L545" s="15"/>
      <c r="M545" s="15"/>
      <c r="N545" s="15"/>
      <c r="O545" s="15"/>
      <c r="P545" s="15"/>
      <c r="Q545" s="15"/>
    </row>
    <row r="546" spans="1:17">
      <c r="A546" s="14">
        <v>306.25200000000001</v>
      </c>
      <c r="B546" s="23">
        <v>38.308005000000001</v>
      </c>
      <c r="C546" s="23">
        <v>62.948033000000002</v>
      </c>
      <c r="D546" s="23">
        <v>21.799710999999999</v>
      </c>
      <c r="E546" s="23">
        <f>(B546 - D546)/($L$7 - D546)</f>
        <v>0.29854692449969916</v>
      </c>
      <c r="F546" s="23">
        <f t="shared" si="16"/>
        <v>-1.208828157500246</v>
      </c>
      <c r="G546" s="23">
        <f>(C546 - D546)/($L$7 - D546)</f>
        <v>0.74415351346561376</v>
      </c>
      <c r="H546" s="23">
        <f t="shared" si="17"/>
        <v>-0.29550793013000182</v>
      </c>
      <c r="I546" s="23"/>
      <c r="J546" s="15"/>
      <c r="K546" s="15"/>
      <c r="L546" s="15"/>
      <c r="M546" s="15"/>
      <c r="N546" s="15"/>
      <c r="O546" s="15"/>
      <c r="P546" s="15"/>
      <c r="Q546" s="15"/>
    </row>
    <row r="547" spans="1:17">
      <c r="A547" s="14">
        <v>306.81599999999997</v>
      </c>
      <c r="B547" s="23">
        <v>38.262731000000002</v>
      </c>
      <c r="C547" s="23">
        <v>62.931528</v>
      </c>
      <c r="D547" s="23">
        <v>21.811259</v>
      </c>
      <c r="E547" s="23">
        <f>(B547 - D547)/($L$7 - D547)</f>
        <v>0.29758146522406059</v>
      </c>
      <c r="F547" s="23">
        <f t="shared" si="16"/>
        <v>-1.2120672587958616</v>
      </c>
      <c r="G547" s="23">
        <f>(C547 - D547)/($L$7 - D547)</f>
        <v>0.74380152119077936</v>
      </c>
      <c r="H547" s="23">
        <f t="shared" si="17"/>
        <v>-0.29598105233222166</v>
      </c>
      <c r="I547" s="23"/>
      <c r="J547" s="15"/>
      <c r="K547" s="15"/>
      <c r="L547" s="15"/>
      <c r="M547" s="15"/>
      <c r="N547" s="15"/>
      <c r="O547" s="15"/>
      <c r="P547" s="15"/>
      <c r="Q547" s="15"/>
    </row>
    <row r="548" spans="1:17">
      <c r="A548" s="14">
        <v>307.38</v>
      </c>
      <c r="B548" s="23">
        <v>38.225997999999997</v>
      </c>
      <c r="C548" s="23">
        <v>62.914462999999998</v>
      </c>
      <c r="D548" s="23">
        <v>21.819631999999999</v>
      </c>
      <c r="E548" s="23">
        <f>(B548 - D548)/($L$7 - D548)</f>
        <v>0.29681052133823932</v>
      </c>
      <c r="F548" s="23">
        <f t="shared" si="16"/>
        <v>-1.2146613190643938</v>
      </c>
      <c r="G548" s="23">
        <f>(C548 - D548)/($L$7 - D548)</f>
        <v>0.74345398691074172</v>
      </c>
      <c r="H548" s="23">
        <f t="shared" si="17"/>
        <v>-0.29644840213791424</v>
      </c>
      <c r="I548" s="23"/>
      <c r="J548" s="15"/>
      <c r="K548" s="15"/>
      <c r="L548" s="15"/>
      <c r="M548" s="15"/>
      <c r="N548" s="15"/>
      <c r="O548" s="15"/>
      <c r="P548" s="15"/>
      <c r="Q548" s="15"/>
    </row>
    <row r="549" spans="1:17">
      <c r="A549" s="14">
        <v>307.94400000000002</v>
      </c>
      <c r="B549" s="23">
        <v>38.188409</v>
      </c>
      <c r="C549" s="23">
        <v>62.893202000000002</v>
      </c>
      <c r="D549" s="23">
        <v>21.816051000000002</v>
      </c>
      <c r="E549" s="23">
        <f>(B549 - D549)/($L$7 - D549)</f>
        <v>0.29617608886246138</v>
      </c>
      <c r="F549" s="23">
        <f t="shared" si="16"/>
        <v>-1.2168011067322324</v>
      </c>
      <c r="G549" s="23">
        <f>(C549 - D549)/($L$7 - D549)</f>
        <v>0.7430859943810626</v>
      </c>
      <c r="H549" s="23">
        <f t="shared" si="17"/>
        <v>-0.29694350155243021</v>
      </c>
      <c r="I549" s="23"/>
      <c r="J549" s="15"/>
      <c r="K549" s="15"/>
      <c r="L549" s="15"/>
      <c r="M549" s="15"/>
      <c r="N549" s="15"/>
      <c r="O549" s="15"/>
      <c r="P549" s="15"/>
      <c r="Q549" s="15"/>
    </row>
    <row r="550" spans="1:17">
      <c r="A550" s="14">
        <v>308.50799999999998</v>
      </c>
      <c r="B550" s="23">
        <v>38.157243999999999</v>
      </c>
      <c r="C550" s="23">
        <v>62.874178000000001</v>
      </c>
      <c r="D550" s="23">
        <v>21.820381999999999</v>
      </c>
      <c r="E550" s="23">
        <f>(B550 - D550)/($L$7 - D550)</f>
        <v>0.29555712219259972</v>
      </c>
      <c r="F550" s="23">
        <f t="shared" si="16"/>
        <v>-1.218893153905007</v>
      </c>
      <c r="G550" s="23">
        <f>(C550 - D550)/($L$7 - D550)</f>
        <v>0.74272169287113177</v>
      </c>
      <c r="H550" s="23">
        <f t="shared" si="17"/>
        <v>-0.29743387661288612</v>
      </c>
      <c r="I550" s="23"/>
      <c r="J550" s="15"/>
      <c r="K550" s="15"/>
      <c r="L550" s="15"/>
      <c r="M550" s="15"/>
      <c r="N550" s="15"/>
      <c r="O550" s="15"/>
      <c r="P550" s="15"/>
      <c r="Q550" s="15"/>
    </row>
    <row r="551" spans="1:17">
      <c r="A551" s="14">
        <v>309.072</v>
      </c>
      <c r="B551" s="23">
        <v>38.121361999999998</v>
      </c>
      <c r="C551" s="23">
        <v>62.852075999999997</v>
      </c>
      <c r="D551" s="23">
        <v>21.827888000000002</v>
      </c>
      <c r="E551" s="23">
        <f>(B551 - D551)/($L$7 - D551)</f>
        <v>0.29481220522125029</v>
      </c>
      <c r="F551" s="23">
        <f t="shared" si="16"/>
        <v>-1.2214167178236759</v>
      </c>
      <c r="G551" s="23">
        <f>(C551 - D551)/($L$7 - D551)</f>
        <v>0.74228684022149949</v>
      </c>
      <c r="H551" s="23">
        <f t="shared" si="17"/>
        <v>-0.29801953339851545</v>
      </c>
      <c r="I551" s="23"/>
      <c r="J551" s="15"/>
      <c r="K551" s="15"/>
      <c r="L551" s="15"/>
      <c r="M551" s="15"/>
      <c r="N551" s="15"/>
      <c r="O551" s="15"/>
      <c r="P551" s="15"/>
      <c r="Q551" s="15"/>
    </row>
    <row r="552" spans="1:17">
      <c r="A552" s="14">
        <v>309.63600000000002</v>
      </c>
      <c r="B552" s="23">
        <v>38.075226999999998</v>
      </c>
      <c r="C552" s="23">
        <v>62.828856000000002</v>
      </c>
      <c r="D552" s="23">
        <v>21.827311000000002</v>
      </c>
      <c r="E552" s="23">
        <f>(B552 - D552)/($L$7 - D552)</f>
        <v>0.29398481486758804</v>
      </c>
      <c r="F552" s="23">
        <f t="shared" si="16"/>
        <v>-1.2242271630876131</v>
      </c>
      <c r="G552" s="23">
        <f>(C552 - D552)/($L$7 - D552)</f>
        <v>0.74186939519567208</v>
      </c>
      <c r="H552" s="23">
        <f t="shared" si="17"/>
        <v>-0.29858206856411856</v>
      </c>
      <c r="I552" s="23"/>
      <c r="J552" s="15"/>
      <c r="K552" s="15"/>
      <c r="L552" s="15"/>
      <c r="M552" s="15"/>
      <c r="N552" s="15"/>
      <c r="O552" s="15"/>
      <c r="P552" s="15"/>
      <c r="Q552" s="15"/>
    </row>
    <row r="553" spans="1:17">
      <c r="A553" s="14">
        <v>310.2</v>
      </c>
      <c r="B553" s="23">
        <v>38.043044999999999</v>
      </c>
      <c r="C553" s="23">
        <v>62.803116000000003</v>
      </c>
      <c r="D553" s="23">
        <v>21.830774999999999</v>
      </c>
      <c r="E553" s="23">
        <f>(B553 - D553)/($L$7 - D553)</f>
        <v>0.29335823374648834</v>
      </c>
      <c r="F553" s="23">
        <f t="shared" si="16"/>
        <v>-1.2263607760086384</v>
      </c>
      <c r="G553" s="23">
        <f>(C553 - D553)/($L$7 - D553)</f>
        <v>0.74138745457723243</v>
      </c>
      <c r="H553" s="23">
        <f t="shared" si="17"/>
        <v>-0.29923190966948543</v>
      </c>
      <c r="I553" s="23"/>
      <c r="J553" s="15"/>
      <c r="K553" s="15"/>
      <c r="L553" s="15"/>
      <c r="M553" s="15"/>
      <c r="N553" s="15"/>
      <c r="O553" s="15"/>
      <c r="P553" s="15"/>
      <c r="Q553" s="15"/>
    </row>
    <row r="554" spans="1:17">
      <c r="A554" s="14">
        <v>310.76400000000001</v>
      </c>
      <c r="B554" s="23">
        <v>37.999470000000002</v>
      </c>
      <c r="C554" s="23">
        <v>62.788733999999998</v>
      </c>
      <c r="D554" s="23">
        <v>21.833663000000001</v>
      </c>
      <c r="E554" s="23">
        <f>(B554 - D554)/($L$7 - D554)</f>
        <v>0.29253278090073631</v>
      </c>
      <c r="F554" s="23">
        <f t="shared" si="16"/>
        <v>-1.2291785471342536</v>
      </c>
      <c r="G554" s="23">
        <f>(C554 - D554)/($L$7 - D554)</f>
        <v>0.74111368591850069</v>
      </c>
      <c r="H554" s="23">
        <f t="shared" si="17"/>
        <v>-0.29960124316187275</v>
      </c>
      <c r="I554" s="23"/>
      <c r="J554" s="15"/>
      <c r="K554" s="15"/>
      <c r="L554" s="15"/>
      <c r="M554" s="15"/>
      <c r="N554" s="15"/>
      <c r="O554" s="15"/>
      <c r="P554" s="15"/>
      <c r="Q554" s="15"/>
    </row>
    <row r="555" spans="1:17">
      <c r="A555" s="14">
        <v>311.32799999999997</v>
      </c>
      <c r="B555" s="23">
        <v>37.971716999999998</v>
      </c>
      <c r="C555" s="23">
        <v>62.769987999999998</v>
      </c>
      <c r="D555" s="23">
        <v>21.823557999999998</v>
      </c>
      <c r="E555" s="23">
        <f>(B555 - D555)/($L$7 - D555)</f>
        <v>0.29216000295847988</v>
      </c>
      <c r="F555" s="23">
        <f t="shared" si="16"/>
        <v>-1.2304536714493017</v>
      </c>
      <c r="G555" s="23">
        <f>(C555 - D555)/($L$7 - D555)</f>
        <v>0.74082185529255629</v>
      </c>
      <c r="H555" s="23">
        <f t="shared" si="17"/>
        <v>-0.29999509380058309</v>
      </c>
      <c r="I555" s="23"/>
      <c r="J555" s="15"/>
      <c r="K555" s="15"/>
      <c r="L555" s="15"/>
      <c r="M555" s="15"/>
      <c r="N555" s="15"/>
      <c r="O555" s="15"/>
      <c r="P555" s="15"/>
      <c r="Q555" s="15"/>
    </row>
    <row r="556" spans="1:17">
      <c r="A556" s="14">
        <v>311.892</v>
      </c>
      <c r="B556" s="23">
        <v>37.928550999999999</v>
      </c>
      <c r="C556" s="23">
        <v>62.742849</v>
      </c>
      <c r="D556" s="23">
        <v>21.840185999999999</v>
      </c>
      <c r="E556" s="23">
        <f>(B556 - D556)/($L$7 - D556)</f>
        <v>0.29116577685277351</v>
      </c>
      <c r="F556" s="23">
        <f t="shared" si="16"/>
        <v>-1.2338624941102034</v>
      </c>
      <c r="G556" s="23">
        <f>(C556 - D556)/($L$7 - D556)</f>
        <v>0.74025270111302155</v>
      </c>
      <c r="H556" s="23">
        <f t="shared" si="17"/>
        <v>-0.30076366308710512</v>
      </c>
      <c r="I556" s="23"/>
      <c r="J556" s="15"/>
      <c r="K556" s="15"/>
      <c r="L556" s="15"/>
      <c r="M556" s="15"/>
      <c r="N556" s="15"/>
      <c r="O556" s="15"/>
      <c r="P556" s="15"/>
      <c r="Q556" s="15"/>
    </row>
    <row r="557" spans="1:17">
      <c r="A557" s="14">
        <v>312.45600000000002</v>
      </c>
      <c r="B557" s="23">
        <v>37.897505000000002</v>
      </c>
      <c r="C557" s="23">
        <v>62.721865000000001</v>
      </c>
      <c r="D557" s="23">
        <v>21.845672</v>
      </c>
      <c r="E557" s="23">
        <f>(B557 - D557)/($L$7 - D557)</f>
        <v>0.29053346966997762</v>
      </c>
      <c r="F557" s="23">
        <f t="shared" si="16"/>
        <v>-1.2360364953165455</v>
      </c>
      <c r="G557" s="23">
        <f>(C557 - D557)/($L$7 - D557)</f>
        <v>0.73984710526141462</v>
      </c>
      <c r="H557" s="23">
        <f t="shared" si="17"/>
        <v>-0.30131172864324224</v>
      </c>
      <c r="I557" s="23"/>
      <c r="J557" s="15"/>
      <c r="K557" s="15"/>
      <c r="L557" s="15"/>
      <c r="M557" s="15"/>
      <c r="N557" s="15"/>
      <c r="O557" s="15"/>
      <c r="P557" s="15"/>
      <c r="Q557" s="15"/>
    </row>
    <row r="558" spans="1:17">
      <c r="A558" s="14">
        <v>313.02</v>
      </c>
      <c r="B558" s="23">
        <v>37.854937999999997</v>
      </c>
      <c r="C558" s="23">
        <v>62.702838999999997</v>
      </c>
      <c r="D558" s="23">
        <v>21.839320000000001</v>
      </c>
      <c r="E558" s="23">
        <f>(B558 - D558)/($L$7 - D558)</f>
        <v>0.28984466554193533</v>
      </c>
      <c r="F558" s="23">
        <f t="shared" si="16"/>
        <v>-1.2384101355681512</v>
      </c>
      <c r="G558" s="23">
        <f>(C558 - D558)/($L$7 - D558)</f>
        <v>0.73953268599572752</v>
      </c>
      <c r="H558" s="23">
        <f t="shared" si="17"/>
        <v>-0.30173679767863054</v>
      </c>
      <c r="I558" s="23"/>
      <c r="J558" s="15"/>
      <c r="K558" s="15"/>
      <c r="L558" s="15"/>
      <c r="M558" s="15"/>
      <c r="N558" s="15"/>
      <c r="O558" s="15"/>
      <c r="P558" s="15"/>
      <c r="Q558" s="15"/>
    </row>
    <row r="559" spans="1:17">
      <c r="A559" s="14">
        <v>313.584</v>
      </c>
      <c r="B559" s="23">
        <v>37.823036000000002</v>
      </c>
      <c r="C559" s="23">
        <v>62.682974000000002</v>
      </c>
      <c r="D559" s="23">
        <v>21.832391000000001</v>
      </c>
      <c r="E559" s="23">
        <f>(B559 - D559)/($L$7 - D559)</f>
        <v>0.28935642867864358</v>
      </c>
      <c r="F559" s="23">
        <f t="shared" si="16"/>
        <v>-1.2400960335535125</v>
      </c>
      <c r="G559" s="23">
        <f>(C559 - D559)/($L$7 - D559)</f>
        <v>0.73920587983289665</v>
      </c>
      <c r="H559" s="23">
        <f t="shared" si="17"/>
        <v>-0.30217880436690325</v>
      </c>
      <c r="I559" s="23"/>
      <c r="J559" s="15"/>
      <c r="K559" s="15"/>
      <c r="L559" s="15"/>
      <c r="M559" s="15"/>
      <c r="N559" s="15"/>
      <c r="O559" s="15"/>
      <c r="P559" s="15"/>
      <c r="Q559" s="15"/>
    </row>
    <row r="560" spans="1:17">
      <c r="A560" s="14">
        <v>314.14800000000002</v>
      </c>
      <c r="B560" s="23">
        <v>37.798254</v>
      </c>
      <c r="C560" s="23">
        <v>62.661875000000002</v>
      </c>
      <c r="D560" s="23">
        <v>21.844111999999999</v>
      </c>
      <c r="E560" s="23">
        <f>(B560 - D560)/($L$7 - D560)</f>
        <v>0.2887571380060413</v>
      </c>
      <c r="F560" s="23">
        <f t="shared" si="16"/>
        <v>-1.2421692970844345</v>
      </c>
      <c r="G560" s="23">
        <f>(C560 - D560)/($L$7 - D560)</f>
        <v>0.738768679863128</v>
      </c>
      <c r="H560" s="23">
        <f t="shared" si="17"/>
        <v>-0.30277042481077715</v>
      </c>
      <c r="I560" s="23"/>
      <c r="J560" s="15"/>
      <c r="K560" s="15"/>
      <c r="L560" s="15"/>
      <c r="M560" s="15"/>
      <c r="N560" s="15"/>
      <c r="O560" s="15"/>
      <c r="P560" s="15"/>
      <c r="Q560" s="15"/>
    </row>
    <row r="561" spans="1:17">
      <c r="A561" s="14">
        <v>314.71199999999999</v>
      </c>
      <c r="B561" s="23">
        <v>37.757677999999999</v>
      </c>
      <c r="C561" s="23">
        <v>62.641449000000001</v>
      </c>
      <c r="D561" s="23">
        <v>21.836894000000001</v>
      </c>
      <c r="E561" s="23">
        <f>(B561 - D561)/($L$7 - D561)</f>
        <v>0.28811574559705894</v>
      </c>
      <c r="F561" s="23">
        <f t="shared" si="16"/>
        <v>-1.2443929851498954</v>
      </c>
      <c r="G561" s="23">
        <f>(C561 - D561)/($L$7 - D561)</f>
        <v>0.7384331567830581</v>
      </c>
      <c r="H561" s="23">
        <f t="shared" si="17"/>
        <v>-0.30322469324927509</v>
      </c>
      <c r="I561" s="23"/>
      <c r="J561" s="15"/>
      <c r="K561" s="15"/>
      <c r="L561" s="15"/>
      <c r="M561" s="15"/>
      <c r="N561" s="15"/>
      <c r="O561" s="15"/>
      <c r="P561" s="15"/>
      <c r="Q561" s="15"/>
    </row>
    <row r="562" spans="1:17">
      <c r="A562" s="14">
        <v>315.27600000000001</v>
      </c>
      <c r="B562" s="23">
        <v>37.723334999999999</v>
      </c>
      <c r="C562" s="23">
        <v>62.618670999999999</v>
      </c>
      <c r="D562" s="23">
        <v>21.845267</v>
      </c>
      <c r="E562" s="23">
        <f>(B562 - D562)/($L$7 - D562)</f>
        <v>0.28738626748031976</v>
      </c>
      <c r="F562" s="23">
        <f t="shared" si="16"/>
        <v>-1.2469280883844418</v>
      </c>
      <c r="G562" s="23">
        <f>(C562 - D562)/($L$7 - D562)</f>
        <v>0.7379812448231825</v>
      </c>
      <c r="H562" s="23">
        <f t="shared" si="17"/>
        <v>-0.3038368682233164</v>
      </c>
      <c r="I562" s="23"/>
      <c r="J562" s="15"/>
      <c r="K562" s="15"/>
      <c r="L562" s="15"/>
      <c r="M562" s="15"/>
      <c r="N562" s="15"/>
      <c r="O562" s="15"/>
      <c r="P562" s="15"/>
      <c r="Q562" s="15"/>
    </row>
    <row r="563" spans="1:17">
      <c r="A563" s="14">
        <v>315.83999999999997</v>
      </c>
      <c r="B563" s="23">
        <v>37.688580999999999</v>
      </c>
      <c r="C563" s="23">
        <v>62.601323000000001</v>
      </c>
      <c r="D563" s="23">
        <v>21.846420999999999</v>
      </c>
      <c r="E563" s="23">
        <f>(B563 - D563)/($L$7 - D563)</f>
        <v>0.28674233713640479</v>
      </c>
      <c r="F563" s="23">
        <f t="shared" si="16"/>
        <v>-1.2491712464808871</v>
      </c>
      <c r="G563" s="23">
        <f>(C563 - D563)/($L$7 - D563)</f>
        <v>0.73766177397811517</v>
      </c>
      <c r="H563" s="23">
        <f t="shared" si="17"/>
        <v>-0.3042698602762563</v>
      </c>
      <c r="I563" s="23"/>
      <c r="J563" s="15"/>
      <c r="K563" s="15"/>
      <c r="L563" s="15"/>
      <c r="M563" s="15"/>
      <c r="N563" s="15"/>
      <c r="O563" s="15"/>
      <c r="P563" s="15"/>
      <c r="Q563" s="15"/>
    </row>
    <row r="564" spans="1:17">
      <c r="A564" s="14">
        <v>316.404</v>
      </c>
      <c r="B564" s="23">
        <v>37.660251000000002</v>
      </c>
      <c r="C564" s="23">
        <v>62.568863999999998</v>
      </c>
      <c r="D564" s="23">
        <v>21.850636000000002</v>
      </c>
      <c r="E564" s="23">
        <f>(B564 - D564)/($L$7 - D564)</f>
        <v>0.28617510686574515</v>
      </c>
      <c r="F564" s="23">
        <f t="shared" si="16"/>
        <v>-1.2511513937497114</v>
      </c>
      <c r="G564" s="23">
        <f>(C564 - D564)/($L$7 - D564)</f>
        <v>0.73705420715708603</v>
      </c>
      <c r="H564" s="23">
        <f t="shared" si="17"/>
        <v>-0.30509383840245324</v>
      </c>
      <c r="I564" s="23"/>
      <c r="J564" s="15"/>
      <c r="K564" s="15"/>
      <c r="L564" s="15"/>
      <c r="M564" s="15"/>
      <c r="N564" s="15"/>
      <c r="O564" s="15"/>
      <c r="P564" s="15"/>
      <c r="Q564" s="15"/>
    </row>
    <row r="565" spans="1:17">
      <c r="A565" s="14">
        <v>316.96800000000002</v>
      </c>
      <c r="B565" s="23">
        <v>37.616663000000003</v>
      </c>
      <c r="C565" s="23">
        <v>62.551070000000003</v>
      </c>
      <c r="D565" s="23">
        <v>21.864609999999999</v>
      </c>
      <c r="E565" s="23">
        <f>(B565 - D565)/($L$7 - D565)</f>
        <v>0.28520530004974065</v>
      </c>
      <c r="F565" s="23">
        <f t="shared" si="16"/>
        <v>-1.2545460069900529</v>
      </c>
      <c r="G565" s="23">
        <f>(C565 - D565)/($L$7 - D565)</f>
        <v>0.73666550209434722</v>
      </c>
      <c r="H565" s="23">
        <f t="shared" si="17"/>
        <v>-0.30562135400709978</v>
      </c>
      <c r="I565" s="23"/>
      <c r="J565" s="15"/>
      <c r="K565" s="15"/>
      <c r="L565" s="15"/>
      <c r="M565" s="15"/>
      <c r="N565" s="15"/>
      <c r="O565" s="15"/>
      <c r="P565" s="15"/>
      <c r="Q565" s="15"/>
    </row>
    <row r="566" spans="1:17">
      <c r="A566" s="14">
        <v>317.53199999999998</v>
      </c>
      <c r="B566" s="23">
        <v>37.589756999999999</v>
      </c>
      <c r="C566" s="23">
        <v>62.531087999999997</v>
      </c>
      <c r="D566" s="23">
        <v>21.866226000000001</v>
      </c>
      <c r="E566" s="23">
        <f>(B566 - D566)/($L$7 - D566)</f>
        <v>0.28469721320119007</v>
      </c>
      <c r="F566" s="23">
        <f t="shared" si="16"/>
        <v>-1.2563290732912233</v>
      </c>
      <c r="G566" s="23">
        <f>(C566 - D566)/($L$7 - D566)</f>
        <v>0.73629599398576395</v>
      </c>
      <c r="H566" s="23">
        <f t="shared" si="17"/>
        <v>-0.30612307535870031</v>
      </c>
      <c r="I566" s="23"/>
      <c r="J566" s="15"/>
      <c r="K566" s="15"/>
      <c r="L566" s="15"/>
      <c r="M566" s="15"/>
      <c r="N566" s="15"/>
      <c r="O566" s="15"/>
      <c r="P566" s="15"/>
      <c r="Q566" s="15"/>
    </row>
    <row r="567" spans="1:17">
      <c r="A567" s="14">
        <v>318.096</v>
      </c>
      <c r="B567" s="23">
        <v>37.546576999999999</v>
      </c>
      <c r="C567" s="23">
        <v>62.513458999999997</v>
      </c>
      <c r="D567" s="23">
        <v>21.863627000000001</v>
      </c>
      <c r="E567" s="23">
        <f>(B567 - D567)/($L$7 - D567)</f>
        <v>0.28394907339117476</v>
      </c>
      <c r="F567" s="23">
        <f t="shared" si="16"/>
        <v>-1.2589603759456727</v>
      </c>
      <c r="G567" s="23">
        <f>(C567 - D567)/($L$7 - D567)</f>
        <v>0.73598921949677354</v>
      </c>
      <c r="H567" s="23">
        <f t="shared" si="17"/>
        <v>-0.3065398077833974</v>
      </c>
      <c r="I567" s="23"/>
      <c r="J567" s="15"/>
      <c r="K567" s="15"/>
      <c r="L567" s="15"/>
      <c r="M567" s="15"/>
      <c r="N567" s="15"/>
      <c r="O567" s="15"/>
      <c r="P567" s="15"/>
      <c r="Q567" s="15"/>
    </row>
    <row r="568" spans="1:17">
      <c r="A568" s="14">
        <v>318.66000000000003</v>
      </c>
      <c r="B568" s="23">
        <v>37.52008</v>
      </c>
      <c r="C568" s="23">
        <v>62.486874999999998</v>
      </c>
      <c r="D568" s="23">
        <v>21.879217000000001</v>
      </c>
      <c r="E568" s="23">
        <f>(B568 - D568)/($L$7 - D568)</f>
        <v>0.28326702008978599</v>
      </c>
      <c r="F568" s="23">
        <f t="shared" si="16"/>
        <v>-1.2613652923010295</v>
      </c>
      <c r="G568" s="23">
        <f>(C568 - D568)/($L$7 - D568)</f>
        <v>0.73543322222598317</v>
      </c>
      <c r="H568" s="23">
        <f t="shared" si="17"/>
        <v>-0.30729553541332449</v>
      </c>
      <c r="I568" s="23"/>
      <c r="J568" s="15"/>
      <c r="K568" s="15"/>
      <c r="L568" s="15"/>
      <c r="M568" s="15"/>
      <c r="N568" s="15"/>
      <c r="O568" s="15"/>
      <c r="P568" s="15"/>
      <c r="Q568" s="15"/>
    </row>
    <row r="569" spans="1:17">
      <c r="A569" s="14">
        <v>319.22399999999999</v>
      </c>
      <c r="B569" s="23">
        <v>37.476931</v>
      </c>
      <c r="C569" s="23">
        <v>62.471764</v>
      </c>
      <c r="D569" s="23">
        <v>21.875464000000001</v>
      </c>
      <c r="E569" s="23">
        <f>(B569 - D569)/($L$7 - D569)</f>
        <v>0.28253432713768462</v>
      </c>
      <c r="F569" s="23">
        <f t="shared" si="16"/>
        <v>-1.2639552237858216</v>
      </c>
      <c r="G569" s="23">
        <f>(C569 - D569)/($L$7 - D569)</f>
        <v>0.73517755123794359</v>
      </c>
      <c r="H569" s="23">
        <f t="shared" si="17"/>
        <v>-0.30764324263161619</v>
      </c>
      <c r="I569" s="23"/>
      <c r="J569" s="15"/>
      <c r="K569" s="15"/>
      <c r="L569" s="15"/>
      <c r="M569" s="15"/>
      <c r="N569" s="15"/>
      <c r="O569" s="15"/>
      <c r="P569" s="15"/>
      <c r="Q569" s="15"/>
    </row>
    <row r="570" spans="1:17">
      <c r="A570" s="14">
        <v>319.78800000000001</v>
      </c>
      <c r="B570" s="23">
        <v>37.438181</v>
      </c>
      <c r="C570" s="23">
        <v>62.446465000000003</v>
      </c>
      <c r="D570" s="23">
        <v>21.871711000000001</v>
      </c>
      <c r="E570" s="23">
        <f>(B570 - D570)/($L$7 - D570)</f>
        <v>0.28188139192616907</v>
      </c>
      <c r="F570" s="23">
        <f t="shared" si="16"/>
        <v>-1.2662688925258256</v>
      </c>
      <c r="G570" s="23">
        <f>(C570 - D570)/($L$7 - D570)</f>
        <v>0.73473742824043586</v>
      </c>
      <c r="H570" s="23">
        <f t="shared" si="17"/>
        <v>-0.30824208408408804</v>
      </c>
      <c r="I570" s="23"/>
      <c r="J570" s="15"/>
      <c r="K570" s="15"/>
      <c r="L570" s="15"/>
      <c r="M570" s="15"/>
      <c r="N570" s="15"/>
      <c r="O570" s="15"/>
      <c r="P570" s="15"/>
      <c r="Q570" s="15"/>
    </row>
    <row r="571" spans="1:17">
      <c r="A571" s="14">
        <v>320.35199999999998</v>
      </c>
      <c r="B571" s="23">
        <v>37.413105999999999</v>
      </c>
      <c r="C571" s="23">
        <v>62.428108999999999</v>
      </c>
      <c r="D571" s="23">
        <v>21.879390000000001</v>
      </c>
      <c r="E571" s="23">
        <f>(B571 - D571)/($L$7 - D571)</f>
        <v>0.28132739406672685</v>
      </c>
      <c r="F571" s="23">
        <f t="shared" si="16"/>
        <v>-1.2682361844143597</v>
      </c>
      <c r="G571" s="23">
        <f>(C571 - D571)/($L$7 - D571)</f>
        <v>0.73436809640487666</v>
      </c>
      <c r="H571" s="23">
        <f t="shared" si="17"/>
        <v>-0.30874488233396752</v>
      </c>
      <c r="I571" s="23"/>
      <c r="J571" s="15"/>
      <c r="K571" s="15"/>
      <c r="L571" s="15"/>
      <c r="M571" s="15"/>
      <c r="N571" s="15"/>
      <c r="O571" s="15"/>
      <c r="P571" s="15"/>
      <c r="Q571" s="15"/>
    </row>
    <row r="572" spans="1:17">
      <c r="A572" s="14">
        <v>320.916</v>
      </c>
      <c r="B572" s="23">
        <v>37.378912999999997</v>
      </c>
      <c r="C572" s="23">
        <v>62.403368999999998</v>
      </c>
      <c r="D572" s="23">
        <v>21.890937999999998</v>
      </c>
      <c r="E572" s="23">
        <f>(B572 - D572)/($L$7 - D572)</f>
        <v>0.28055766650421538</v>
      </c>
      <c r="F572" s="23">
        <f t="shared" si="16"/>
        <v>-1.2709759904637616</v>
      </c>
      <c r="G572" s="23">
        <f>(C572 - D572)/($L$7 - D572)</f>
        <v>0.7338643757994856</v>
      </c>
      <c r="H572" s="23">
        <f t="shared" si="17"/>
        <v>-0.30943104155560364</v>
      </c>
      <c r="I572" s="23"/>
      <c r="J572" s="15"/>
      <c r="K572" s="15"/>
      <c r="L572" s="15"/>
      <c r="M572" s="15"/>
      <c r="N572" s="15"/>
      <c r="O572" s="15"/>
      <c r="P572" s="15"/>
      <c r="Q572" s="15"/>
    </row>
    <row r="573" spans="1:17">
      <c r="A573" s="14">
        <v>321.48</v>
      </c>
      <c r="B573" s="23">
        <v>37.347158</v>
      </c>
      <c r="C573" s="23">
        <v>62.381821000000002</v>
      </c>
      <c r="D573" s="23">
        <v>21.887473</v>
      </c>
      <c r="E573" s="23">
        <f>(B573 - D573)/($L$7 - D573)</f>
        <v>0.2800276294727152</v>
      </c>
      <c r="F573" s="23">
        <f t="shared" si="16"/>
        <v>-1.2728670039928429</v>
      </c>
      <c r="G573" s="23">
        <f>(C573 - D573)/($L$7 - D573)</f>
        <v>0.73349077147970254</v>
      </c>
      <c r="H573" s="23">
        <f t="shared" si="17"/>
        <v>-0.30994026296467964</v>
      </c>
      <c r="I573" s="23"/>
      <c r="J573" s="15"/>
      <c r="K573" s="15"/>
      <c r="L573" s="15"/>
      <c r="M573" s="15"/>
      <c r="N573" s="15"/>
      <c r="O573" s="15"/>
      <c r="P573" s="15"/>
      <c r="Q573" s="15"/>
    </row>
    <row r="574" spans="1:17">
      <c r="A574" s="14">
        <v>322.04399999999998</v>
      </c>
      <c r="B574" s="23">
        <v>37.311253000000001</v>
      </c>
      <c r="C574" s="23">
        <v>62.359152000000002</v>
      </c>
      <c r="D574" s="23">
        <v>21.894691000000002</v>
      </c>
      <c r="E574" s="23">
        <f>(B574 - D574)/($L$7 - D574)</f>
        <v>0.27928303903796514</v>
      </c>
      <c r="F574" s="23">
        <f t="shared" si="16"/>
        <v>-1.2755295345560584</v>
      </c>
      <c r="G574" s="23">
        <f>(C574 - D574)/($L$7 - D574)</f>
        <v>0.73304525620648875</v>
      </c>
      <c r="H574" s="23">
        <f t="shared" si="17"/>
        <v>-0.31054783792841478</v>
      </c>
      <c r="I574" s="23"/>
      <c r="J574" s="15"/>
      <c r="K574" s="15"/>
      <c r="L574" s="15"/>
      <c r="M574" s="15"/>
      <c r="N574" s="15"/>
      <c r="O574" s="15"/>
      <c r="P574" s="15"/>
      <c r="Q574" s="15"/>
    </row>
    <row r="575" spans="1:17">
      <c r="A575" s="14">
        <v>322.608</v>
      </c>
      <c r="B575" s="23">
        <v>37.277056000000002</v>
      </c>
      <c r="C575" s="23">
        <v>62.325009999999999</v>
      </c>
      <c r="D575" s="23">
        <v>21.895845000000001</v>
      </c>
      <c r="E575" s="23">
        <f>(B575 - D575)/($L$7 - D575)</f>
        <v>0.27864845342990602</v>
      </c>
      <c r="F575" s="23">
        <f t="shared" si="16"/>
        <v>-1.2778043152066272</v>
      </c>
      <c r="G575" s="23">
        <f>(C575 - D575)/($L$7 - D575)</f>
        <v>0.73242115336123303</v>
      </c>
      <c r="H575" s="23">
        <f t="shared" si="17"/>
        <v>-0.31139958434704551</v>
      </c>
      <c r="I575" s="23"/>
      <c r="J575" s="15"/>
      <c r="K575" s="15"/>
      <c r="L575" s="15"/>
      <c r="M575" s="15"/>
      <c r="N575" s="15"/>
      <c r="O575" s="15"/>
      <c r="P575" s="15"/>
      <c r="Q575" s="15"/>
    </row>
    <row r="576" spans="1:17">
      <c r="A576" s="14">
        <v>323.17200000000003</v>
      </c>
      <c r="B576" s="23">
        <v>37.240580000000001</v>
      </c>
      <c r="C576" s="23">
        <v>62.310457</v>
      </c>
      <c r="D576" s="23">
        <v>21.889493999999999</v>
      </c>
      <c r="E576" s="23">
        <f>(B576 - D576)/($L$7 - D576)</f>
        <v>0.27807071053470361</v>
      </c>
      <c r="F576" s="23">
        <f t="shared" si="16"/>
        <v>-1.2798798431927267</v>
      </c>
      <c r="G576" s="23">
        <f>(C576 - D576)/($L$7 - D576)</f>
        <v>0.73218832217518437</v>
      </c>
      <c r="H576" s="23">
        <f t="shared" si="17"/>
        <v>-0.31171752737813885</v>
      </c>
      <c r="I576" s="23"/>
      <c r="J576" s="15"/>
      <c r="K576" s="15"/>
      <c r="L576" s="15"/>
      <c r="M576" s="15"/>
      <c r="N576" s="15"/>
      <c r="O576" s="15"/>
      <c r="P576" s="15"/>
      <c r="Q576" s="15"/>
    </row>
    <row r="577" spans="1:17">
      <c r="A577" s="14">
        <v>323.73599999999999</v>
      </c>
      <c r="B577" s="23">
        <v>37.209390999999997</v>
      </c>
      <c r="C577" s="23">
        <v>62.29439</v>
      </c>
      <c r="D577" s="23">
        <v>21.894691000000002</v>
      </c>
      <c r="E577" s="23">
        <f>(B577 - D577)/($L$7 - D577)</f>
        <v>0.27743772949862128</v>
      </c>
      <c r="F577" s="23">
        <f t="shared" si="16"/>
        <v>-1.2821587691798584</v>
      </c>
      <c r="G577" s="23">
        <f>(C577 - D577)/($L$7 - D577)</f>
        <v>0.73187204208947765</v>
      </c>
      <c r="H577" s="23">
        <f t="shared" si="17"/>
        <v>-0.31214958618984734</v>
      </c>
      <c r="I577" s="23"/>
      <c r="J577" s="15"/>
      <c r="K577" s="15"/>
      <c r="L577" s="15"/>
      <c r="M577" s="15"/>
      <c r="N577" s="15"/>
      <c r="O577" s="15"/>
      <c r="P577" s="15"/>
      <c r="Q577" s="15"/>
    </row>
    <row r="578" spans="1:17">
      <c r="A578" s="14">
        <v>324.3</v>
      </c>
      <c r="B578" s="23">
        <v>37.176617</v>
      </c>
      <c r="C578" s="23">
        <v>62.284481</v>
      </c>
      <c r="D578" s="23">
        <v>21.891226</v>
      </c>
      <c r="E578" s="23">
        <f>(B578 - D578)/($L$7 - D578)</f>
        <v>0.2768893934420647</v>
      </c>
      <c r="F578" s="23">
        <f t="shared" si="16"/>
        <v>-1.2841371541901279</v>
      </c>
      <c r="G578" s="23">
        <f>(C578 - D578)/($L$7 - D578)</f>
        <v>0.7317093737478253</v>
      </c>
      <c r="H578" s="23">
        <f t="shared" si="17"/>
        <v>-0.31237187425740809</v>
      </c>
      <c r="I578" s="23"/>
      <c r="J578" s="15"/>
      <c r="K578" s="15"/>
      <c r="L578" s="15"/>
      <c r="M578" s="15"/>
      <c r="N578" s="15"/>
      <c r="O578" s="15"/>
      <c r="P578" s="15"/>
      <c r="Q578" s="15"/>
    </row>
    <row r="579" spans="1:17">
      <c r="A579" s="14">
        <v>324.86399999999998</v>
      </c>
      <c r="B579" s="23">
        <v>37.141688000000002</v>
      </c>
      <c r="C579" s="23">
        <v>62.251289999999997</v>
      </c>
      <c r="D579" s="23">
        <v>21.883603999999998</v>
      </c>
      <c r="E579" s="23">
        <f>(B579 - D579)/($L$7 - D579)</f>
        <v>0.27635658040010525</v>
      </c>
      <c r="F579" s="23">
        <f t="shared" si="16"/>
        <v>-1.2860632891531607</v>
      </c>
      <c r="G579" s="23">
        <f>(C579 - D579)/($L$7 - D579)</f>
        <v>0.73114525137135178</v>
      </c>
      <c r="H579" s="23">
        <f t="shared" si="17"/>
        <v>-0.31314313668465221</v>
      </c>
      <c r="I579" s="23"/>
      <c r="J579" s="15"/>
      <c r="K579" s="15"/>
      <c r="L579" s="15"/>
      <c r="M579" s="15"/>
      <c r="N579" s="15"/>
      <c r="O579" s="15"/>
      <c r="P579" s="15"/>
      <c r="Q579" s="15"/>
    </row>
    <row r="580" spans="1:17">
      <c r="A580" s="14">
        <v>325.428</v>
      </c>
      <c r="B580" s="23">
        <v>37.103371000000003</v>
      </c>
      <c r="C580" s="23">
        <v>62.223582</v>
      </c>
      <c r="D580" s="23">
        <v>21.891110000000001</v>
      </c>
      <c r="E580" s="23">
        <f>(B580 - D580)/($L$7 - D580)</f>
        <v>0.27556409059360037</v>
      </c>
      <c r="F580" s="23">
        <f t="shared" ref="F580:F643" si="18">LN(E580)</f>
        <v>-1.2889350437106224</v>
      </c>
      <c r="G580" s="23">
        <f>(C580 - D580)/($L$7 - D580)</f>
        <v>0.73060677620978554</v>
      </c>
      <c r="H580" s="23">
        <f t="shared" ref="H580:H643" si="19">LN(G580)</f>
        <v>-0.31387988980797715</v>
      </c>
      <c r="I580" s="23"/>
      <c r="J580" s="15"/>
      <c r="K580" s="15"/>
      <c r="L580" s="15"/>
      <c r="M580" s="15"/>
      <c r="N580" s="15"/>
      <c r="O580" s="15"/>
      <c r="P580" s="15"/>
      <c r="Q580" s="15"/>
    </row>
    <row r="581" spans="1:17">
      <c r="A581" s="14">
        <v>325.99200000000002</v>
      </c>
      <c r="B581" s="23">
        <v>37.071733999999999</v>
      </c>
      <c r="C581" s="23">
        <v>62.202030999999998</v>
      </c>
      <c r="D581" s="23">
        <v>21.881005999999999</v>
      </c>
      <c r="E581" s="23">
        <f>(B581 - D581)/($L$7 - D581)</f>
        <v>0.27512367294053813</v>
      </c>
      <c r="F581" s="23">
        <f t="shared" si="18"/>
        <v>-1.2905345626254245</v>
      </c>
      <c r="G581" s="23">
        <f>(C581 - D581)/($L$7 - D581)</f>
        <v>0.73026575781800973</v>
      </c>
      <c r="H581" s="23">
        <f t="shared" si="19"/>
        <v>-0.31434675928498734</v>
      </c>
      <c r="I581" s="23"/>
      <c r="J581" s="15"/>
      <c r="K581" s="15"/>
      <c r="L581" s="15"/>
      <c r="M581" s="15"/>
      <c r="N581" s="15"/>
      <c r="O581" s="15"/>
      <c r="P581" s="15"/>
      <c r="Q581" s="15"/>
    </row>
    <row r="582" spans="1:17">
      <c r="A582" s="14">
        <v>326.55599999999998</v>
      </c>
      <c r="B582" s="23">
        <v>37.039527</v>
      </c>
      <c r="C582" s="23">
        <v>62.192794999999997</v>
      </c>
      <c r="D582" s="23">
        <v>21.878696000000001</v>
      </c>
      <c r="E582" s="23">
        <f>(B582 - D582)/($L$7 - D582)</f>
        <v>0.27457071248099979</v>
      </c>
      <c r="F582" s="23">
        <f t="shared" si="18"/>
        <v>-1.2925464465402707</v>
      </c>
      <c r="G582" s="23">
        <f>(C582 - D582)/($L$7 - D582)</f>
        <v>0.73010977336661576</v>
      </c>
      <c r="H582" s="23">
        <f t="shared" si="19"/>
        <v>-0.31456038166999217</v>
      </c>
      <c r="I582" s="23"/>
      <c r="J582" s="15"/>
      <c r="K582" s="15"/>
      <c r="L582" s="15"/>
      <c r="M582" s="15"/>
      <c r="N582" s="15"/>
      <c r="O582" s="15"/>
      <c r="P582" s="15"/>
      <c r="Q582" s="15"/>
    </row>
    <row r="583" spans="1:17">
      <c r="A583" s="14">
        <v>327.12</v>
      </c>
      <c r="B583" s="23">
        <v>37.011594000000002</v>
      </c>
      <c r="C583" s="23">
        <v>62.165531999999999</v>
      </c>
      <c r="D583" s="23">
        <v>21.884758999999999</v>
      </c>
      <c r="E583" s="23">
        <f>(B583 - D583)/($L$7 - D583)</f>
        <v>0.27398511154423794</v>
      </c>
      <c r="F583" s="23">
        <f t="shared" si="18"/>
        <v>-1.2946815115001871</v>
      </c>
      <c r="G583" s="23">
        <f>(C583 - D583)/($L$7 - D583)</f>
        <v>0.72958633339314694</v>
      </c>
      <c r="H583" s="23">
        <f t="shared" si="19"/>
        <v>-0.31527757204061968</v>
      </c>
      <c r="I583" s="23"/>
      <c r="J583" s="15"/>
      <c r="K583" s="15"/>
      <c r="L583" s="15"/>
      <c r="M583" s="15"/>
      <c r="N583" s="15"/>
      <c r="O583" s="15"/>
      <c r="P583" s="15"/>
      <c r="Q583" s="15"/>
    </row>
    <row r="584" spans="1:17">
      <c r="A584" s="14">
        <v>327.68400000000003</v>
      </c>
      <c r="B584" s="23">
        <v>36.971848000000001</v>
      </c>
      <c r="C584" s="23">
        <v>62.149411999999998</v>
      </c>
      <c r="D584" s="23">
        <v>21.876097999999999</v>
      </c>
      <c r="E584" s="23">
        <f>(B584 - D584)/($L$7 - D584)</f>
        <v>0.27337919814974132</v>
      </c>
      <c r="F584" s="23">
        <f t="shared" si="18"/>
        <v>-1.2968954433596662</v>
      </c>
      <c r="G584" s="23">
        <f>(C584 - D584)/($L$7 - D584)</f>
        <v>0.7293368191810774</v>
      </c>
      <c r="H584" s="23">
        <f t="shared" si="19"/>
        <v>-0.31561962462106169</v>
      </c>
      <c r="I584" s="23"/>
      <c r="J584" s="15"/>
      <c r="K584" s="15"/>
      <c r="L584" s="15"/>
      <c r="M584" s="15"/>
      <c r="N584" s="15"/>
      <c r="O584" s="15"/>
      <c r="P584" s="15"/>
      <c r="Q584" s="15"/>
    </row>
    <row r="585" spans="1:17">
      <c r="A585" s="14">
        <v>328.24799999999999</v>
      </c>
      <c r="B585" s="23">
        <v>36.941918999999999</v>
      </c>
      <c r="C585" s="23">
        <v>62.123828000000003</v>
      </c>
      <c r="D585" s="23">
        <v>21.878985</v>
      </c>
      <c r="E585" s="23">
        <f>(B585 - D585)/($L$7 - D585)</f>
        <v>0.27279917356139732</v>
      </c>
      <c r="F585" s="23">
        <f t="shared" si="18"/>
        <v>-1.2990193824844374</v>
      </c>
      <c r="G585" s="23">
        <f>(C585 - D585)/($L$7 - D585)</f>
        <v>0.72885932518247687</v>
      </c>
      <c r="H585" s="23">
        <f t="shared" si="19"/>
        <v>-0.31627453516586451</v>
      </c>
      <c r="I585" s="23"/>
      <c r="J585" s="15"/>
      <c r="K585" s="15"/>
      <c r="L585" s="15"/>
      <c r="M585" s="15"/>
      <c r="N585" s="15"/>
      <c r="O585" s="15"/>
      <c r="P585" s="15"/>
      <c r="Q585" s="15"/>
    </row>
    <row r="586" spans="1:17">
      <c r="A586" s="14">
        <v>328.81200000000001</v>
      </c>
      <c r="B586" s="23">
        <v>36.900871000000002</v>
      </c>
      <c r="C586" s="23">
        <v>62.109158999999998</v>
      </c>
      <c r="D586" s="23">
        <v>21.877714000000001</v>
      </c>
      <c r="E586" s="23">
        <f>(B586 - D586)/($L$7 - D586)</f>
        <v>0.27207252443574381</v>
      </c>
      <c r="F586" s="23">
        <f t="shared" si="18"/>
        <v>-1.3016866142717147</v>
      </c>
      <c r="G586" s="23">
        <f>(C586 - D586)/($L$7 - D586)</f>
        <v>0.72859990765241833</v>
      </c>
      <c r="H586" s="23">
        <f t="shared" si="19"/>
        <v>-0.31663052115429391</v>
      </c>
      <c r="I586" s="23"/>
      <c r="J586" s="15"/>
      <c r="K586" s="15"/>
      <c r="L586" s="15"/>
      <c r="M586" s="15"/>
      <c r="N586" s="15"/>
      <c r="O586" s="15"/>
      <c r="P586" s="15"/>
      <c r="Q586" s="15"/>
    </row>
    <row r="587" spans="1:17">
      <c r="A587" s="14">
        <v>329.37599999999998</v>
      </c>
      <c r="B587" s="23">
        <v>36.871668999999997</v>
      </c>
      <c r="C587" s="23">
        <v>62.084808000000002</v>
      </c>
      <c r="D587" s="23">
        <v>21.879446000000002</v>
      </c>
      <c r="E587" s="23">
        <f>(B587 - D587)/($L$7 - D587)</f>
        <v>0.27152081996908844</v>
      </c>
      <c r="F587" s="23">
        <f t="shared" si="18"/>
        <v>-1.3037164575792706</v>
      </c>
      <c r="G587" s="23">
        <f>(C587 - D587)/($L$7 - D587)</f>
        <v>0.72815037885936151</v>
      </c>
      <c r="H587" s="23">
        <f t="shared" si="19"/>
        <v>-0.31724768774967765</v>
      </c>
      <c r="I587" s="23"/>
      <c r="J587" s="15"/>
      <c r="K587" s="15"/>
      <c r="L587" s="15"/>
      <c r="M587" s="15"/>
      <c r="N587" s="15"/>
      <c r="O587" s="15"/>
      <c r="P587" s="15"/>
      <c r="Q587" s="15"/>
    </row>
    <row r="588" spans="1:17">
      <c r="A588" s="14">
        <v>329.94</v>
      </c>
      <c r="B588" s="23">
        <v>36.841737000000002</v>
      </c>
      <c r="C588" s="23">
        <v>62.063254999999998</v>
      </c>
      <c r="D588" s="23">
        <v>21.882504999999998</v>
      </c>
      <c r="E588" s="23">
        <f>(B588 - D588)/($L$7 - D588)</f>
        <v>0.27093833751706431</v>
      </c>
      <c r="F588" s="23">
        <f t="shared" si="18"/>
        <v>-1.3058640208302708</v>
      </c>
      <c r="G588" s="23">
        <f>(C588 - D588)/($L$7 - D588)</f>
        <v>0.72774495409849782</v>
      </c>
      <c r="H588" s="23">
        <f t="shared" si="19"/>
        <v>-0.31780462994485559</v>
      </c>
      <c r="I588" s="23"/>
      <c r="J588" s="15"/>
      <c r="K588" s="15"/>
      <c r="L588" s="15"/>
      <c r="M588" s="15"/>
      <c r="N588" s="15"/>
      <c r="O588" s="15"/>
      <c r="P588" s="15"/>
      <c r="Q588" s="15"/>
    </row>
    <row r="589" spans="1:17">
      <c r="A589" s="14">
        <v>330.50400000000002</v>
      </c>
      <c r="B589" s="23">
        <v>36.799830999999998</v>
      </c>
      <c r="C589" s="23">
        <v>62.038621999999997</v>
      </c>
      <c r="D589" s="23">
        <v>21.880196000000002</v>
      </c>
      <c r="E589" s="23">
        <f>(B589 - D589)/($L$7 - D589)</f>
        <v>0.2702098651109055</v>
      </c>
      <c r="F589" s="23">
        <f t="shared" si="18"/>
        <v>-1.308556343719472</v>
      </c>
      <c r="G589" s="23">
        <f>(C589 - D589)/($L$7 - D589)</f>
        <v>0.72731021050624101</v>
      </c>
      <c r="H589" s="23">
        <f t="shared" si="19"/>
        <v>-0.31840219300056483</v>
      </c>
      <c r="I589" s="23"/>
      <c r="J589" s="15"/>
      <c r="K589" s="15"/>
      <c r="L589" s="15"/>
      <c r="M589" s="15"/>
      <c r="N589" s="15"/>
      <c r="O589" s="15"/>
      <c r="P589" s="15"/>
      <c r="Q589" s="15"/>
    </row>
    <row r="590" spans="1:17">
      <c r="A590" s="14">
        <v>331.06799999999998</v>
      </c>
      <c r="B590" s="23">
        <v>36.767172000000002</v>
      </c>
      <c r="C590" s="23">
        <v>62.024906999999999</v>
      </c>
      <c r="D590" s="23">
        <v>21.881927999999998</v>
      </c>
      <c r="E590" s="23">
        <f>(B590 - D590)/($L$7 - D590)</f>
        <v>0.26959546563979264</v>
      </c>
      <c r="F590" s="23">
        <f t="shared" si="18"/>
        <v>-1.3108327189289226</v>
      </c>
      <c r="G590" s="23">
        <f>(C590 - D590)/($L$7 - D590)</f>
        <v>0.72705325594081049</v>
      </c>
      <c r="H590" s="23">
        <f t="shared" si="19"/>
        <v>-0.31875554974257908</v>
      </c>
      <c r="I590" s="23"/>
      <c r="J590" s="15"/>
      <c r="K590" s="15"/>
      <c r="L590" s="15"/>
      <c r="M590" s="15"/>
      <c r="N590" s="15"/>
      <c r="O590" s="15"/>
      <c r="P590" s="15"/>
      <c r="Q590" s="15"/>
    </row>
    <row r="591" spans="1:17">
      <c r="A591" s="14">
        <v>331.63200000000001</v>
      </c>
      <c r="B591" s="23">
        <v>36.734831</v>
      </c>
      <c r="C591" s="23">
        <v>61.997641000000002</v>
      </c>
      <c r="D591" s="23">
        <v>21.873556000000001</v>
      </c>
      <c r="E591" s="23">
        <f>(B591 - D591)/($L$7 - D591)</f>
        <v>0.26912054207744318</v>
      </c>
      <c r="F591" s="23">
        <f t="shared" si="18"/>
        <v>-1.3125958879403554</v>
      </c>
      <c r="G591" s="23">
        <f>(C591 - D591)/($L$7 - D591)</f>
        <v>0.7266008808504929</v>
      </c>
      <c r="H591" s="23">
        <f t="shared" si="19"/>
        <v>-0.31937794690497356</v>
      </c>
      <c r="I591" s="23"/>
      <c r="J591" s="15"/>
      <c r="K591" s="15"/>
      <c r="L591" s="15"/>
      <c r="M591" s="15"/>
      <c r="N591" s="15"/>
      <c r="O591" s="15"/>
      <c r="P591" s="15"/>
      <c r="Q591" s="15"/>
    </row>
    <row r="592" spans="1:17">
      <c r="A592" s="14">
        <v>332.19600000000003</v>
      </c>
      <c r="B592" s="23">
        <v>36.712183000000003</v>
      </c>
      <c r="C592" s="23">
        <v>61.971608000000003</v>
      </c>
      <c r="D592" s="23">
        <v>21.868475</v>
      </c>
      <c r="E592" s="23">
        <f>(B592 - D592)/($L$7 - D592)</f>
        <v>0.26877769346068797</v>
      </c>
      <c r="F592" s="23">
        <f t="shared" si="18"/>
        <v>-1.3138706594139626</v>
      </c>
      <c r="G592" s="23">
        <f>(C592 - D592)/($L$7 - D592)</f>
        <v>0.72615465005692637</v>
      </c>
      <c r="H592" s="23">
        <f t="shared" si="19"/>
        <v>-0.31999227023482041</v>
      </c>
      <c r="I592" s="23"/>
      <c r="J592" s="15"/>
      <c r="K592" s="15"/>
      <c r="L592" s="15"/>
      <c r="M592" s="15"/>
      <c r="N592" s="15"/>
      <c r="O592" s="15"/>
      <c r="P592" s="15"/>
      <c r="Q592" s="15"/>
    </row>
    <row r="593" spans="1:17">
      <c r="A593" s="14">
        <v>332.76</v>
      </c>
      <c r="B593" s="23">
        <v>36.672108999999999</v>
      </c>
      <c r="C593" s="23">
        <v>61.953246</v>
      </c>
      <c r="D593" s="23">
        <v>21.881639</v>
      </c>
      <c r="E593" s="23">
        <f>(B593 - D593)/($L$7 - D593)</f>
        <v>0.26787755548470737</v>
      </c>
      <c r="F593" s="23">
        <f t="shared" si="18"/>
        <v>-1.3172252853936484</v>
      </c>
      <c r="G593" s="23">
        <f>(C593 - D593)/($L$7 - D593)</f>
        <v>0.72575679660645609</v>
      </c>
      <c r="H593" s="23">
        <f t="shared" si="19"/>
        <v>-0.3205403111795247</v>
      </c>
      <c r="I593" s="23"/>
      <c r="J593" s="15"/>
      <c r="K593" s="15"/>
      <c r="L593" s="15"/>
      <c r="M593" s="15"/>
      <c r="N593" s="15"/>
      <c r="O593" s="15"/>
      <c r="P593" s="15"/>
      <c r="Q593" s="15"/>
    </row>
    <row r="594" spans="1:17">
      <c r="A594" s="14">
        <v>333.32400000000001</v>
      </c>
      <c r="B594" s="23">
        <v>36.634917999999999</v>
      </c>
      <c r="C594" s="23">
        <v>61.932251000000001</v>
      </c>
      <c r="D594" s="23">
        <v>21.876730999999999</v>
      </c>
      <c r="E594" s="23">
        <f>(B594 - D594)/($L$7 - D594)</f>
        <v>0.2672691041428088</v>
      </c>
      <c r="F594" s="23">
        <f t="shared" si="18"/>
        <v>-1.319499247467929</v>
      </c>
      <c r="G594" s="23">
        <f>(C594 - D594)/($L$7 - D594)</f>
        <v>0.72540095516978886</v>
      </c>
      <c r="H594" s="23">
        <f t="shared" si="19"/>
        <v>-0.3210307353851134</v>
      </c>
      <c r="I594" s="23"/>
      <c r="J594" s="15"/>
      <c r="K594" s="15"/>
      <c r="L594" s="15"/>
      <c r="M594" s="15"/>
      <c r="N594" s="15"/>
      <c r="O594" s="15"/>
      <c r="P594" s="15"/>
      <c r="Q594" s="15"/>
    </row>
    <row r="595" spans="1:17">
      <c r="A595" s="14">
        <v>333.88799999999998</v>
      </c>
      <c r="B595" s="23">
        <v>36.600988999999998</v>
      </c>
      <c r="C595" s="23">
        <v>61.915900999999998</v>
      </c>
      <c r="D595" s="23">
        <v>21.877481</v>
      </c>
      <c r="E595" s="23">
        <f>(B595 - D595)/($L$7 - D595)</f>
        <v>0.26664469303822025</v>
      </c>
      <c r="F595" s="23">
        <f t="shared" si="18"/>
        <v>-1.3218382444841512</v>
      </c>
      <c r="G595" s="23">
        <f>(C595 - D595)/($L$7 - D595)</f>
        <v>0.72510112472077581</v>
      </c>
      <c r="H595" s="23">
        <f t="shared" si="19"/>
        <v>-0.32144415148074018</v>
      </c>
      <c r="I595" s="23"/>
      <c r="J595" s="15"/>
      <c r="K595" s="15"/>
      <c r="L595" s="15"/>
      <c r="M595" s="15"/>
      <c r="N595" s="15"/>
      <c r="O595" s="15"/>
      <c r="P595" s="15"/>
      <c r="Q595" s="15"/>
    </row>
    <row r="596" spans="1:17">
      <c r="A596" s="14">
        <v>334.452</v>
      </c>
      <c r="B596" s="23">
        <v>36.574756999999998</v>
      </c>
      <c r="C596" s="23">
        <v>61.891547000000003</v>
      </c>
      <c r="D596" s="23">
        <v>21.878636</v>
      </c>
      <c r="E596" s="23">
        <f>(B596 - D596)/($L$7 - D596)</f>
        <v>0.26615427801990521</v>
      </c>
      <c r="F596" s="23">
        <f t="shared" si="18"/>
        <v>-1.3236791457750794</v>
      </c>
      <c r="G596" s="23">
        <f>(C596 - D596)/($L$7 - D596)</f>
        <v>0.72465431107159006</v>
      </c>
      <c r="H596" s="23">
        <f t="shared" si="19"/>
        <v>-0.32206055015364971</v>
      </c>
      <c r="I596" s="23"/>
      <c r="J596" s="15"/>
      <c r="K596" s="15"/>
      <c r="L596" s="15"/>
      <c r="M596" s="15"/>
      <c r="N596" s="15"/>
      <c r="O596" s="15"/>
      <c r="P596" s="15"/>
      <c r="Q596" s="15"/>
    </row>
    <row r="597" spans="1:17">
      <c r="A597" s="14">
        <v>335.01600000000002</v>
      </c>
      <c r="B597" s="23">
        <v>36.537278999999998</v>
      </c>
      <c r="C597" s="23">
        <v>61.866632000000003</v>
      </c>
      <c r="D597" s="23">
        <v>21.882504999999998</v>
      </c>
      <c r="E597" s="23">
        <f>(B597 - D597)/($L$7 - D597)</f>
        <v>0.265424060823998</v>
      </c>
      <c r="F597" s="23">
        <f t="shared" si="18"/>
        <v>-1.326426502474376</v>
      </c>
      <c r="G597" s="23">
        <f>(C597 - D597)/($L$7 - D597)</f>
        <v>0.72418376133555262</v>
      </c>
      <c r="H597" s="23">
        <f t="shared" si="19"/>
        <v>-0.32271010480236245</v>
      </c>
      <c r="I597" s="23"/>
      <c r="J597" s="15"/>
      <c r="K597" s="15"/>
      <c r="L597" s="15"/>
      <c r="M597" s="15"/>
      <c r="N597" s="15"/>
      <c r="O597" s="15"/>
      <c r="P597" s="15"/>
      <c r="Q597" s="15"/>
    </row>
    <row r="598" spans="1:17">
      <c r="A598" s="14">
        <v>335.58</v>
      </c>
      <c r="B598" s="23">
        <v>36.503186999999997</v>
      </c>
      <c r="C598" s="23">
        <v>61.848714999999999</v>
      </c>
      <c r="D598" s="23">
        <v>21.882967000000001</v>
      </c>
      <c r="E598" s="23">
        <f>(B598 - D598)/($L$7 - D598)</f>
        <v>0.26480044209054515</v>
      </c>
      <c r="F598" s="23">
        <f t="shared" si="18"/>
        <v>-1.3287787853944497</v>
      </c>
      <c r="G598" s="23">
        <f>(C598 - D598)/($L$7 - D598)</f>
        <v>0.72385694188454919</v>
      </c>
      <c r="H598" s="23">
        <f t="shared" si="19"/>
        <v>-0.3231615002028177</v>
      </c>
      <c r="I598" s="23"/>
      <c r="J598" s="15"/>
      <c r="K598" s="15"/>
      <c r="L598" s="15"/>
      <c r="M598" s="15"/>
      <c r="N598" s="15"/>
      <c r="O598" s="15"/>
      <c r="P598" s="15"/>
      <c r="Q598" s="15"/>
    </row>
    <row r="599" spans="1:17">
      <c r="A599" s="14">
        <v>336.14400000000001</v>
      </c>
      <c r="B599" s="23">
        <v>36.466562000000003</v>
      </c>
      <c r="C599" s="23">
        <v>61.832923999999998</v>
      </c>
      <c r="D599" s="23">
        <v>21.878636</v>
      </c>
      <c r="E599" s="23">
        <f>(B599 - D599)/($L$7 - D599)</f>
        <v>0.2641948111571622</v>
      </c>
      <c r="F599" s="23">
        <f t="shared" si="18"/>
        <v>-1.3310685269158367</v>
      </c>
      <c r="G599" s="23">
        <f>(C599 - D599)/($L$7 - D599)</f>
        <v>0.72359261851745538</v>
      </c>
      <c r="H599" s="23">
        <f t="shared" si="19"/>
        <v>-0.32352672656684872</v>
      </c>
      <c r="I599" s="23"/>
      <c r="J599" s="15"/>
      <c r="K599" s="15"/>
      <c r="L599" s="15"/>
      <c r="M599" s="15"/>
      <c r="N599" s="15"/>
      <c r="O599" s="15"/>
      <c r="P599" s="15"/>
      <c r="Q599" s="15"/>
    </row>
    <row r="600" spans="1:17">
      <c r="A600" s="14">
        <v>336.70800000000003</v>
      </c>
      <c r="B600" s="23">
        <v>36.425499000000002</v>
      </c>
      <c r="C600" s="23">
        <v>61.804648999999998</v>
      </c>
      <c r="D600" s="23">
        <v>21.871707000000001</v>
      </c>
      <c r="E600" s="23">
        <f>(B600 - D600)/($L$7 - D600)</f>
        <v>0.26354355545039099</v>
      </c>
      <c r="F600" s="23">
        <f t="shared" si="18"/>
        <v>-1.3335366288336592</v>
      </c>
      <c r="G600" s="23">
        <f>(C600 - D600)/($L$7 - D600)</f>
        <v>0.7231152894224574</v>
      </c>
      <c r="H600" s="23">
        <f t="shared" si="19"/>
        <v>-0.32418660975363328</v>
      </c>
      <c r="I600" s="23"/>
      <c r="J600" s="15"/>
      <c r="K600" s="15"/>
      <c r="L600" s="15"/>
      <c r="M600" s="15"/>
      <c r="N600" s="15"/>
      <c r="O600" s="15"/>
      <c r="P600" s="15"/>
      <c r="Q600" s="15"/>
    </row>
    <row r="601" spans="1:17">
      <c r="A601" s="14">
        <v>337.27199999999999</v>
      </c>
      <c r="B601" s="23">
        <v>36.405822000000001</v>
      </c>
      <c r="C601" s="23">
        <v>61.787851000000003</v>
      </c>
      <c r="D601" s="23">
        <v>21.876788000000001</v>
      </c>
      <c r="E601" s="23">
        <f>(B601 - D601)/($L$7 - D601)</f>
        <v>0.26311944073422777</v>
      </c>
      <c r="F601" s="23">
        <f t="shared" si="18"/>
        <v>-1.3351472026196032</v>
      </c>
      <c r="G601" s="23">
        <f>(C601 - D601)/($L$7 - D601)</f>
        <v>0.72278560127731351</v>
      </c>
      <c r="H601" s="23">
        <f t="shared" si="19"/>
        <v>-0.32464264121882996</v>
      </c>
      <c r="I601" s="23"/>
      <c r="J601" s="15"/>
      <c r="K601" s="15"/>
      <c r="L601" s="15"/>
      <c r="M601" s="15"/>
      <c r="N601" s="15"/>
      <c r="O601" s="15"/>
      <c r="P601" s="15"/>
      <c r="Q601" s="15"/>
    </row>
    <row r="602" spans="1:17">
      <c r="A602" s="14">
        <v>337.83600000000001</v>
      </c>
      <c r="B602" s="23">
        <v>36.367894</v>
      </c>
      <c r="C602" s="23">
        <v>61.765734000000002</v>
      </c>
      <c r="D602" s="23">
        <v>21.880541000000001</v>
      </c>
      <c r="E602" s="23">
        <f>(B602 - D602)/($L$7 - D602)</f>
        <v>0.26238243495000285</v>
      </c>
      <c r="F602" s="23">
        <f t="shared" si="18"/>
        <v>-1.3379521641299066</v>
      </c>
      <c r="G602" s="23">
        <f>(C602 - D602)/($L$7 - D602)</f>
        <v>0.72236619469345498</v>
      </c>
      <c r="H602" s="23">
        <f t="shared" si="19"/>
        <v>-0.32522307380287102</v>
      </c>
      <c r="I602" s="23"/>
      <c r="J602" s="15"/>
      <c r="K602" s="15"/>
      <c r="L602" s="15"/>
      <c r="M602" s="15"/>
      <c r="N602" s="15"/>
      <c r="O602" s="15"/>
      <c r="P602" s="15"/>
      <c r="Q602" s="15"/>
    </row>
    <row r="603" spans="1:17">
      <c r="A603" s="14">
        <v>338.4</v>
      </c>
      <c r="B603" s="23">
        <v>36.338394000000001</v>
      </c>
      <c r="C603" s="23">
        <v>61.744177000000001</v>
      </c>
      <c r="D603" s="23">
        <v>21.868414999999999</v>
      </c>
      <c r="E603" s="23">
        <f>(B603 - D603)/($L$7 - D603)</f>
        <v>0.26201023050940281</v>
      </c>
      <c r="F603" s="23">
        <f t="shared" si="18"/>
        <v>-1.3393717282375712</v>
      </c>
      <c r="G603" s="23">
        <f>(C603 - D603)/($L$7 - D603)</f>
        <v>0.72203681797728136</v>
      </c>
      <c r="H603" s="23">
        <f t="shared" si="19"/>
        <v>-0.32567914696111494</v>
      </c>
      <c r="I603" s="23"/>
      <c r="J603" s="15"/>
      <c r="K603" s="15"/>
      <c r="L603" s="15"/>
      <c r="M603" s="15"/>
      <c r="N603" s="15"/>
      <c r="O603" s="15"/>
      <c r="P603" s="15"/>
      <c r="Q603" s="15"/>
    </row>
    <row r="604" spans="1:17">
      <c r="A604" s="14">
        <v>338.964</v>
      </c>
      <c r="B604" s="23">
        <v>36.307434000000001</v>
      </c>
      <c r="C604" s="23">
        <v>61.724299000000002</v>
      </c>
      <c r="D604" s="23">
        <v>21.868993</v>
      </c>
      <c r="E604" s="23">
        <f>(B604 - D604)/($L$7 - D604)</f>
        <v>0.26144190312013726</v>
      </c>
      <c r="F604" s="23">
        <f t="shared" si="18"/>
        <v>-1.3415431879607036</v>
      </c>
      <c r="G604" s="23">
        <f>(C604 - D604)/($L$7 - D604)</f>
        <v>0.72167397090000396</v>
      </c>
      <c r="H604" s="23">
        <f t="shared" si="19"/>
        <v>-0.32618180592537954</v>
      </c>
      <c r="I604" s="23"/>
      <c r="J604" s="15"/>
      <c r="K604" s="15"/>
      <c r="L604" s="15"/>
      <c r="M604" s="15"/>
      <c r="N604" s="15"/>
      <c r="O604" s="15"/>
      <c r="P604" s="15"/>
      <c r="Q604" s="15"/>
    </row>
    <row r="605" spans="1:17">
      <c r="A605" s="14">
        <v>339.52800000000002</v>
      </c>
      <c r="B605" s="23">
        <v>36.271943999999998</v>
      </c>
      <c r="C605" s="23">
        <v>61.699660999999999</v>
      </c>
      <c r="D605" s="23">
        <v>21.872457000000001</v>
      </c>
      <c r="E605" s="23">
        <f>(B605 - D605)/($L$7 - D605)</f>
        <v>0.26075290484104829</v>
      </c>
      <c r="F605" s="23">
        <f t="shared" si="18"/>
        <v>-1.3441820448333053</v>
      </c>
      <c r="G605" s="23">
        <f>(C605 - D605)/($L$7 - D605)</f>
        <v>0.72121035525064314</v>
      </c>
      <c r="H605" s="23">
        <f t="shared" si="19"/>
        <v>-0.3268244293940985</v>
      </c>
      <c r="I605" s="23"/>
      <c r="J605" s="15"/>
      <c r="K605" s="15"/>
      <c r="L605" s="15"/>
      <c r="M605" s="15"/>
      <c r="N605" s="15"/>
      <c r="O605" s="15"/>
      <c r="P605" s="15"/>
      <c r="Q605" s="15"/>
    </row>
    <row r="606" spans="1:17">
      <c r="A606" s="14">
        <v>340.09199999999998</v>
      </c>
      <c r="B606" s="23">
        <v>36.249572999999998</v>
      </c>
      <c r="C606" s="23">
        <v>61.679389</v>
      </c>
      <c r="D606" s="23">
        <v>21.872919</v>
      </c>
      <c r="E606" s="23">
        <f>(B606 - D606)/($L$7 - D606)</f>
        <v>0.26034161183567489</v>
      </c>
      <c r="F606" s="23">
        <f t="shared" si="18"/>
        <v>-1.3457606186912865</v>
      </c>
      <c r="G606" s="23">
        <f>(C606 - D606)/($L$7 - D606)</f>
        <v>0.72084092454951199</v>
      </c>
      <c r="H606" s="23">
        <f t="shared" si="19"/>
        <v>-0.32733679773271168</v>
      </c>
      <c r="I606" s="23"/>
      <c r="J606" s="15"/>
      <c r="K606" s="15"/>
      <c r="L606" s="15"/>
      <c r="M606" s="15"/>
      <c r="N606" s="15"/>
      <c r="O606" s="15"/>
      <c r="P606" s="15"/>
      <c r="Q606" s="15"/>
    </row>
    <row r="607" spans="1:17">
      <c r="A607" s="14">
        <v>340.65600000000001</v>
      </c>
      <c r="B607" s="23">
        <v>36.208216999999998</v>
      </c>
      <c r="C607" s="23">
        <v>61.657831000000002</v>
      </c>
      <c r="D607" s="23">
        <v>21.862814</v>
      </c>
      <c r="E607" s="23">
        <f>(B607 - D607)/($L$7 - D607)</f>
        <v>0.25972817173233115</v>
      </c>
      <c r="F607" s="23">
        <f t="shared" si="18"/>
        <v>-1.348119688213183</v>
      </c>
      <c r="G607" s="23">
        <f>(C607 - D607)/($L$7 - D607)</f>
        <v>0.72050168332440989</v>
      </c>
      <c r="H607" s="23">
        <f t="shared" si="19"/>
        <v>-0.32780752721717027</v>
      </c>
      <c r="I607" s="23"/>
      <c r="J607" s="15"/>
      <c r="K607" s="15"/>
      <c r="L607" s="15"/>
      <c r="M607" s="15"/>
      <c r="N607" s="15"/>
      <c r="O607" s="15"/>
      <c r="P607" s="15"/>
      <c r="Q607" s="15"/>
    </row>
    <row r="608" spans="1:17">
      <c r="A608" s="14">
        <v>341.22</v>
      </c>
      <c r="B608" s="23">
        <v>36.162582</v>
      </c>
      <c r="C608" s="23">
        <v>61.646352</v>
      </c>
      <c r="D608" s="23">
        <v>21.863969000000001</v>
      </c>
      <c r="E608" s="23">
        <f>(B608 - D608)/($L$7 - D608)</f>
        <v>0.25888643735661299</v>
      </c>
      <c r="F608" s="23">
        <f t="shared" si="18"/>
        <v>-1.3513657792414211</v>
      </c>
      <c r="G608" s="23">
        <f>(C608 - D608)/($L$7 - D608)</f>
        <v>0.72028800306898899</v>
      </c>
      <c r="H608" s="23">
        <f t="shared" si="19"/>
        <v>-0.32810414268992871</v>
      </c>
      <c r="I608" s="23"/>
      <c r="J608" s="15"/>
      <c r="K608" s="15"/>
      <c r="L608" s="15"/>
      <c r="M608" s="15"/>
      <c r="N608" s="15"/>
      <c r="O608" s="15"/>
      <c r="P608" s="15"/>
      <c r="Q608" s="15"/>
    </row>
    <row r="609" spans="1:17">
      <c r="A609" s="14">
        <v>341.78399999999999</v>
      </c>
      <c r="B609" s="23">
        <v>36.141759999999998</v>
      </c>
      <c r="C609" s="23">
        <v>61.615158999999998</v>
      </c>
      <c r="D609" s="23">
        <v>21.864834999999999</v>
      </c>
      <c r="E609" s="23">
        <f>(B609 - D609)/($L$7 - D609)</f>
        <v>0.25849781400085614</v>
      </c>
      <c r="F609" s="23">
        <f t="shared" si="18"/>
        <v>-1.3528680415457881</v>
      </c>
      <c r="G609" s="23">
        <f>(C609 - D609)/($L$7 - D609)</f>
        <v>0.7197188372023926</v>
      </c>
      <c r="H609" s="23">
        <f t="shared" si="19"/>
        <v>-0.32889464712409977</v>
      </c>
      <c r="I609" s="23"/>
      <c r="J609" s="15"/>
      <c r="K609" s="15"/>
      <c r="L609" s="15"/>
      <c r="M609" s="15"/>
      <c r="N609" s="15"/>
      <c r="O609" s="15"/>
      <c r="P609" s="15"/>
      <c r="Q609" s="15"/>
    </row>
    <row r="610" spans="1:17">
      <c r="A610" s="14">
        <v>342.34800000000001</v>
      </c>
      <c r="B610" s="23">
        <v>36.103254</v>
      </c>
      <c r="C610" s="23">
        <v>61.591752999999997</v>
      </c>
      <c r="D610" s="23">
        <v>21.859638</v>
      </c>
      <c r="E610" s="23">
        <f>(B610 - D610)/($L$7 - D610)</f>
        <v>0.25787045690213845</v>
      </c>
      <c r="F610" s="23">
        <f t="shared" si="18"/>
        <v>-1.3552979251879327</v>
      </c>
      <c r="G610" s="23">
        <f>(C610 - D610)/($L$7 - D610)</f>
        <v>0.71932145943405856</v>
      </c>
      <c r="H610" s="23">
        <f t="shared" si="19"/>
        <v>-0.3294469287792603</v>
      </c>
      <c r="I610" s="23"/>
      <c r="J610" s="15"/>
      <c r="K610" s="15"/>
      <c r="L610" s="15"/>
      <c r="M610" s="15"/>
      <c r="N610" s="15"/>
      <c r="O610" s="15"/>
      <c r="P610" s="15"/>
      <c r="Q610" s="15"/>
    </row>
    <row r="611" spans="1:17">
      <c r="A611" s="14">
        <v>342.91199999999998</v>
      </c>
      <c r="B611" s="23">
        <v>36.072161999999999</v>
      </c>
      <c r="C611" s="23">
        <v>61.567954</v>
      </c>
      <c r="D611" s="23">
        <v>21.866855999999999</v>
      </c>
      <c r="E611" s="23">
        <f>(B611 - D611)/($L$7 - D611)</f>
        <v>0.25721049323780026</v>
      </c>
      <c r="F611" s="23">
        <f t="shared" si="18"/>
        <v>-1.3578604894812127</v>
      </c>
      <c r="G611" s="23">
        <f>(C611 - D611)/($L$7 - D611)</f>
        <v>0.71885385634510413</v>
      </c>
      <c r="H611" s="23">
        <f t="shared" si="19"/>
        <v>-0.33009720152459449</v>
      </c>
      <c r="I611" s="23"/>
      <c r="J611" s="15"/>
      <c r="K611" s="15"/>
      <c r="L611" s="15"/>
      <c r="M611" s="15"/>
      <c r="N611" s="15"/>
      <c r="O611" s="15"/>
      <c r="P611" s="15"/>
      <c r="Q611" s="15"/>
    </row>
    <row r="612" spans="1:17">
      <c r="A612" s="14">
        <v>343.476</v>
      </c>
      <c r="B612" s="23">
        <v>36.042656000000001</v>
      </c>
      <c r="C612" s="23">
        <v>61.545160000000003</v>
      </c>
      <c r="D612" s="23">
        <v>21.871648</v>
      </c>
      <c r="E612" s="23">
        <f>(B612 - D612)/($L$7 - D612)</f>
        <v>0.25661173682859656</v>
      </c>
      <c r="F612" s="23">
        <f t="shared" si="18"/>
        <v>-1.3601910880625467</v>
      </c>
      <c r="G612" s="23">
        <f>(C612 - D612)/($L$7 - D612)</f>
        <v>0.71841670122620549</v>
      </c>
      <c r="H612" s="23">
        <f t="shared" si="19"/>
        <v>-0.33070551445506724</v>
      </c>
      <c r="I612" s="23"/>
      <c r="J612" s="15"/>
      <c r="K612" s="15"/>
      <c r="L612" s="15"/>
      <c r="M612" s="15"/>
      <c r="N612" s="15"/>
      <c r="O612" s="15"/>
      <c r="P612" s="15"/>
      <c r="Q612" s="15"/>
    </row>
    <row r="613" spans="1:17">
      <c r="A613" s="14">
        <v>344.04</v>
      </c>
      <c r="B613" s="23">
        <v>36.007694999999998</v>
      </c>
      <c r="C613" s="23">
        <v>61.53396</v>
      </c>
      <c r="D613" s="23">
        <v>21.864142000000001</v>
      </c>
      <c r="E613" s="23">
        <f>(B613 - D613)/($L$7 - D613)</f>
        <v>0.25607976919646852</v>
      </c>
      <c r="F613" s="23">
        <f t="shared" si="18"/>
        <v>-1.362266284615576</v>
      </c>
      <c r="G613" s="23">
        <f>(C613 - D613)/($L$7 - D613)</f>
        <v>0.71825218440556726</v>
      </c>
      <c r="H613" s="23">
        <f t="shared" si="19"/>
        <v>-0.33093453983872062</v>
      </c>
      <c r="I613" s="23"/>
      <c r="J613" s="15"/>
      <c r="K613" s="15"/>
      <c r="L613" s="15"/>
      <c r="M613" s="15"/>
      <c r="N613" s="15"/>
      <c r="O613" s="15"/>
      <c r="P613" s="15"/>
      <c r="Q613" s="15"/>
    </row>
    <row r="614" spans="1:17">
      <c r="A614" s="14">
        <v>344.60399999999998</v>
      </c>
      <c r="B614" s="23">
        <v>35.972481999999999</v>
      </c>
      <c r="C614" s="23">
        <v>61.517439000000003</v>
      </c>
      <c r="D614" s="23">
        <v>21.859521999999998</v>
      </c>
      <c r="E614" s="23">
        <f>(B614 - D614)/($L$7 - D614)</f>
        <v>0.25550448710094265</v>
      </c>
      <c r="F614" s="23">
        <f t="shared" si="18"/>
        <v>-1.3645153074536742</v>
      </c>
      <c r="G614" s="23">
        <f>(C614 - D614)/($L$7 - D614)</f>
        <v>0.71797665001365796</v>
      </c>
      <c r="H614" s="23">
        <f t="shared" si="19"/>
        <v>-0.3313182313350706</v>
      </c>
      <c r="I614" s="23"/>
      <c r="J614" s="15"/>
      <c r="K614" s="15"/>
      <c r="L614" s="15"/>
      <c r="M614" s="15"/>
      <c r="N614" s="15"/>
      <c r="O614" s="15"/>
      <c r="P614" s="15"/>
      <c r="Q614" s="15"/>
    </row>
    <row r="615" spans="1:17">
      <c r="A615" s="14">
        <v>345.16800000000001</v>
      </c>
      <c r="B615" s="23">
        <v>35.941102000000001</v>
      </c>
      <c r="C615" s="23">
        <v>61.494312000000001</v>
      </c>
      <c r="D615" s="23">
        <v>21.859521999999998</v>
      </c>
      <c r="E615" s="23">
        <f>(B615 - D615)/($L$7 - D615)</f>
        <v>0.25493637588931678</v>
      </c>
      <c r="F615" s="23">
        <f t="shared" si="18"/>
        <v>-1.3667412712719951</v>
      </c>
      <c r="G615" s="23">
        <f>(C615 - D615)/($L$7 - D615)</f>
        <v>0.71755795313694437</v>
      </c>
      <c r="H615" s="23">
        <f t="shared" si="19"/>
        <v>-0.33190156368758567</v>
      </c>
      <c r="I615" s="23"/>
      <c r="J615" s="15"/>
      <c r="K615" s="15"/>
      <c r="L615" s="15"/>
      <c r="M615" s="15"/>
      <c r="N615" s="15"/>
      <c r="O615" s="15"/>
      <c r="P615" s="15"/>
      <c r="Q615" s="15"/>
    </row>
    <row r="616" spans="1:17">
      <c r="A616" s="14">
        <v>345.73200000000003</v>
      </c>
      <c r="B616" s="23">
        <v>35.919991000000003</v>
      </c>
      <c r="C616" s="23">
        <v>61.476837000000003</v>
      </c>
      <c r="D616" s="23">
        <v>21.877133000000001</v>
      </c>
      <c r="E616" s="23">
        <f>(B616 - D616)/($L$7 - D616)</f>
        <v>0.25431642799864751</v>
      </c>
      <c r="F616" s="23">
        <f t="shared" si="18"/>
        <v>-1.3691760077808073</v>
      </c>
      <c r="G616" s="23">
        <f>(C616 - D616)/($L$7 - D616)</f>
        <v>0.7171513997423995</v>
      </c>
      <c r="H616" s="23">
        <f t="shared" si="19"/>
        <v>-0.33246830343122896</v>
      </c>
      <c r="I616" s="23"/>
      <c r="J616" s="15"/>
      <c r="K616" s="15"/>
      <c r="L616" s="15"/>
      <c r="M616" s="15"/>
      <c r="N616" s="15"/>
      <c r="O616" s="15"/>
      <c r="P616" s="15"/>
      <c r="Q616" s="15"/>
    </row>
    <row r="617" spans="1:17">
      <c r="A617" s="14">
        <v>346.29599999999999</v>
      </c>
      <c r="B617" s="23">
        <v>35.887058000000003</v>
      </c>
      <c r="C617" s="23">
        <v>61.443235000000001</v>
      </c>
      <c r="D617" s="23">
        <v>21.880482000000001</v>
      </c>
      <c r="E617" s="23">
        <f>(B617 - D617)/($L$7 - D617)</f>
        <v>0.25367474577061944</v>
      </c>
      <c r="F617" s="23">
        <f t="shared" si="18"/>
        <v>-1.3717023610028896</v>
      </c>
      <c r="G617" s="23">
        <f>(C617 - D617)/($L$7 - D617)</f>
        <v>0.71652567403059886</v>
      </c>
      <c r="H617" s="23">
        <f t="shared" si="19"/>
        <v>-0.33334119979398491</v>
      </c>
      <c r="I617" s="23"/>
      <c r="J617" s="15"/>
      <c r="K617" s="15"/>
      <c r="L617" s="15"/>
      <c r="M617" s="15"/>
      <c r="N617" s="15"/>
      <c r="O617" s="15"/>
      <c r="P617" s="15"/>
      <c r="Q617" s="15"/>
    </row>
    <row r="618" spans="1:17">
      <c r="A618" s="14">
        <v>346.86</v>
      </c>
      <c r="B618" s="23">
        <v>35.858243000000002</v>
      </c>
      <c r="C618" s="23">
        <v>61.429679999999998</v>
      </c>
      <c r="D618" s="23">
        <v>21.866451000000001</v>
      </c>
      <c r="E618" s="23">
        <f>(B618 - D618)/($L$7 - D618)</f>
        <v>0.25334261231947464</v>
      </c>
      <c r="F618" s="23">
        <f t="shared" si="18"/>
        <v>-1.3730125074637698</v>
      </c>
      <c r="G618" s="23">
        <f>(C618 - D618)/($L$7 - D618)</f>
        <v>0.71635225757026655</v>
      </c>
      <c r="H618" s="23">
        <f t="shared" si="19"/>
        <v>-0.33358325315715626</v>
      </c>
      <c r="I618" s="23"/>
      <c r="J618" s="15"/>
      <c r="K618" s="15"/>
      <c r="L618" s="15"/>
      <c r="M618" s="15"/>
      <c r="N618" s="15"/>
      <c r="O618" s="15"/>
      <c r="P618" s="15"/>
      <c r="Q618" s="15"/>
    </row>
    <row r="619" spans="1:17">
      <c r="A619" s="14">
        <v>347.42399999999998</v>
      </c>
      <c r="B619" s="23">
        <v>35.828572000000001</v>
      </c>
      <c r="C619" s="23">
        <v>61.415792000000003</v>
      </c>
      <c r="D619" s="23">
        <v>21.875978</v>
      </c>
      <c r="E619" s="23">
        <f>(B619 - D619)/($L$7 - D619)</f>
        <v>0.25267645997385552</v>
      </c>
      <c r="F619" s="23">
        <f t="shared" si="18"/>
        <v>-1.3756454229680315</v>
      </c>
      <c r="G619" s="23">
        <f>(C619 - D619)/($L$7 - D619)</f>
        <v>0.71605181298507592</v>
      </c>
      <c r="H619" s="23">
        <f t="shared" si="19"/>
        <v>-0.33400275013537989</v>
      </c>
      <c r="I619" s="23"/>
      <c r="J619" s="15"/>
      <c r="K619" s="15"/>
      <c r="L619" s="15"/>
      <c r="M619" s="15"/>
      <c r="N619" s="15"/>
      <c r="O619" s="15"/>
      <c r="P619" s="15"/>
      <c r="Q619" s="15"/>
    </row>
    <row r="620" spans="1:17">
      <c r="A620" s="14">
        <v>347.988</v>
      </c>
      <c r="B620" s="23">
        <v>35.810186999999999</v>
      </c>
      <c r="C620" s="23">
        <v>61.394956999999998</v>
      </c>
      <c r="D620" s="23">
        <v>21.886832999999999</v>
      </c>
      <c r="E620" s="23">
        <f>(B620 - D620)/($L$7 - D620)</f>
        <v>0.25219651091565798</v>
      </c>
      <c r="F620" s="23">
        <f t="shared" si="18"/>
        <v>-1.3775466901399669</v>
      </c>
      <c r="G620" s="23">
        <f>(C620 - D620)/($L$7 - D620)</f>
        <v>0.71561859488907398</v>
      </c>
      <c r="H620" s="23">
        <f t="shared" si="19"/>
        <v>-0.33460794265293381</v>
      </c>
      <c r="I620" s="23"/>
      <c r="J620" s="15"/>
      <c r="K620" s="15"/>
      <c r="L620" s="15"/>
      <c r="M620" s="15"/>
      <c r="N620" s="15"/>
      <c r="O620" s="15"/>
      <c r="P620" s="15"/>
      <c r="Q620" s="15"/>
    </row>
    <row r="621" spans="1:17">
      <c r="A621" s="14">
        <v>348.55200000000002</v>
      </c>
      <c r="B621" s="23">
        <v>35.779214000000003</v>
      </c>
      <c r="C621" s="23">
        <v>61.376474000000002</v>
      </c>
      <c r="D621" s="23">
        <v>21.889143000000001</v>
      </c>
      <c r="E621" s="23">
        <f>(B621 - D621)/($L$7 - D621)</f>
        <v>0.25160417673840535</v>
      </c>
      <c r="F621" s="23">
        <f t="shared" si="18"/>
        <v>-1.3798981535845585</v>
      </c>
      <c r="G621" s="23">
        <f>(C621 - D621)/($L$7 - D621)</f>
        <v>0.71527189514379796</v>
      </c>
      <c r="H621" s="23">
        <f t="shared" si="19"/>
        <v>-0.33509253564516578</v>
      </c>
      <c r="I621" s="23"/>
      <c r="J621" s="15"/>
      <c r="K621" s="15"/>
      <c r="L621" s="15"/>
      <c r="M621" s="15"/>
      <c r="N621" s="15"/>
      <c r="O621" s="15"/>
      <c r="P621" s="15"/>
      <c r="Q621" s="15"/>
    </row>
    <row r="622" spans="1:17">
      <c r="A622" s="14">
        <v>349.11599999999999</v>
      </c>
      <c r="B622" s="23">
        <v>35.748398999999999</v>
      </c>
      <c r="C622" s="23">
        <v>61.344270000000002</v>
      </c>
      <c r="D622" s="23">
        <v>21.889430999999998</v>
      </c>
      <c r="E622" s="23">
        <f>(B622 - D622)/($L$7 - D622)</f>
        <v>0.25104208791275479</v>
      </c>
      <c r="F622" s="23">
        <f t="shared" si="18"/>
        <v>-1.3821346729799187</v>
      </c>
      <c r="G622" s="23">
        <f>(C622 - D622)/($L$7 - D622)</f>
        <v>0.71468706478156141</v>
      </c>
      <c r="H622" s="23">
        <f t="shared" si="19"/>
        <v>-0.3359105037284944</v>
      </c>
      <c r="I622" s="23"/>
      <c r="J622" s="15"/>
      <c r="K622" s="15"/>
      <c r="L622" s="15"/>
      <c r="M622" s="15"/>
      <c r="N622" s="15"/>
      <c r="O622" s="15"/>
      <c r="P622" s="15"/>
      <c r="Q622" s="15"/>
    </row>
    <row r="623" spans="1:17">
      <c r="A623" s="14">
        <v>349.68</v>
      </c>
      <c r="B623" s="23">
        <v>35.719582000000003</v>
      </c>
      <c r="C623" s="23">
        <v>61.338669000000003</v>
      </c>
      <c r="D623" s="23">
        <v>21.892029999999998</v>
      </c>
      <c r="E623" s="23">
        <f>(B623 - D623)/($L$7 - D623)</f>
        <v>0.25048480923808059</v>
      </c>
      <c r="F623" s="23">
        <f t="shared" si="18"/>
        <v>-1.384357002060153</v>
      </c>
      <c r="G623" s="23">
        <f>(C623 - D623)/($L$7 - D623)</f>
        <v>0.71457217047518085</v>
      </c>
      <c r="H623" s="23">
        <f t="shared" si="19"/>
        <v>-0.33607127835047179</v>
      </c>
      <c r="I623" s="23"/>
      <c r="J623" s="15"/>
      <c r="K623" s="15"/>
      <c r="L623" s="15"/>
      <c r="M623" s="15"/>
      <c r="N623" s="15"/>
      <c r="O623" s="15"/>
      <c r="P623" s="15"/>
      <c r="Q623" s="15"/>
    </row>
    <row r="624" spans="1:17">
      <c r="A624" s="14">
        <v>350.24400000000003</v>
      </c>
      <c r="B624" s="23">
        <v>35.687499000000003</v>
      </c>
      <c r="C624" s="23">
        <v>61.315705999999999</v>
      </c>
      <c r="D624" s="23">
        <v>21.906752999999998</v>
      </c>
      <c r="E624" s="23">
        <f>(B624 - D624)/($L$7 - D624)</f>
        <v>0.24970352030107473</v>
      </c>
      <c r="F624" s="23">
        <f t="shared" si="18"/>
        <v>-1.3874809836737416</v>
      </c>
      <c r="G624" s="23">
        <f>(C624 - D624)/($L$7 - D624)</f>
        <v>0.71407994135292796</v>
      </c>
      <c r="H624" s="23">
        <f t="shared" si="19"/>
        <v>-0.3367603602307348</v>
      </c>
      <c r="I624" s="23"/>
      <c r="J624" s="15"/>
      <c r="K624" s="15"/>
      <c r="L624" s="15"/>
      <c r="M624" s="15"/>
      <c r="N624" s="15"/>
      <c r="O624" s="15"/>
      <c r="P624" s="15"/>
      <c r="Q624" s="15"/>
    </row>
    <row r="625" spans="1:17">
      <c r="A625" s="14">
        <v>350.80799999999999</v>
      </c>
      <c r="B625" s="23">
        <v>35.653829000000002</v>
      </c>
      <c r="C625" s="23">
        <v>61.2821</v>
      </c>
      <c r="D625" s="23">
        <v>21.906175999999999</v>
      </c>
      <c r="E625" s="23">
        <f>(B625 - D625)/($L$7 - D625)</f>
        <v>0.24910127940327256</v>
      </c>
      <c r="F625" s="23">
        <f t="shared" si="18"/>
        <v>-1.3898957206241307</v>
      </c>
      <c r="G625" s="23">
        <f>(C625 - D625)/($L$7 - D625)</f>
        <v>0.71347400506006542</v>
      </c>
      <c r="H625" s="23">
        <f t="shared" si="19"/>
        <v>-0.33760927572114335</v>
      </c>
      <c r="I625" s="23"/>
      <c r="J625" s="15"/>
      <c r="K625" s="15"/>
      <c r="L625" s="15"/>
      <c r="M625" s="15"/>
      <c r="N625" s="15"/>
      <c r="O625" s="15"/>
      <c r="P625" s="15"/>
      <c r="Q625" s="15"/>
    </row>
    <row r="626" spans="1:17">
      <c r="A626" s="14">
        <v>351.37200000000001</v>
      </c>
      <c r="B626" s="23">
        <v>35.626435999999998</v>
      </c>
      <c r="C626" s="23">
        <v>61.265462999999997</v>
      </c>
      <c r="D626" s="23">
        <v>21.91039</v>
      </c>
      <c r="E626" s="23">
        <f>(B626 - D626)/($L$7 - D626)</f>
        <v>0.24854755284408406</v>
      </c>
      <c r="F626" s="23">
        <f t="shared" si="18"/>
        <v>-1.3921210922188163</v>
      </c>
      <c r="G626" s="23">
        <f>(C626 - D626)/($L$7 - D626)</f>
        <v>0.71315064750805635</v>
      </c>
      <c r="H626" s="23">
        <f t="shared" si="19"/>
        <v>-0.33806259405819078</v>
      </c>
      <c r="I626" s="23"/>
      <c r="J626" s="15"/>
      <c r="K626" s="15"/>
      <c r="L626" s="15"/>
      <c r="M626" s="15"/>
      <c r="N626" s="15"/>
      <c r="O626" s="15"/>
      <c r="P626" s="15"/>
      <c r="Q626" s="15"/>
    </row>
    <row r="627" spans="1:17">
      <c r="A627" s="14">
        <v>351.93599999999998</v>
      </c>
      <c r="B627" s="23">
        <v>35.599041999999997</v>
      </c>
      <c r="C627" s="23">
        <v>61.248493000000003</v>
      </c>
      <c r="D627" s="23">
        <v>21.899419999999999</v>
      </c>
      <c r="E627" s="23">
        <f>(B627 - D627)/($L$7 - D627)</f>
        <v>0.24820059567612485</v>
      </c>
      <c r="F627" s="23">
        <f t="shared" si="18"/>
        <v>-1.3935180062301231</v>
      </c>
      <c r="G627" s="23">
        <f>(C627 - D627)/($L$7 - D627)</f>
        <v>0.71290020687456357</v>
      </c>
      <c r="H627" s="23">
        <f t="shared" si="19"/>
        <v>-0.33841383067124392</v>
      </c>
      <c r="I627" s="23"/>
      <c r="J627" s="15"/>
      <c r="K627" s="15"/>
      <c r="L627" s="15"/>
      <c r="M627" s="15"/>
      <c r="N627" s="15"/>
      <c r="O627" s="15"/>
      <c r="P627" s="15"/>
      <c r="Q627" s="15"/>
    </row>
    <row r="628" spans="1:17">
      <c r="A628" s="14">
        <v>352.5</v>
      </c>
      <c r="B628" s="23">
        <v>35.570380999999998</v>
      </c>
      <c r="C628" s="23">
        <v>61.230176</v>
      </c>
      <c r="D628" s="23">
        <v>21.920494000000001</v>
      </c>
      <c r="E628" s="23">
        <f>(B628 - D628)/($L$7 - D628)</f>
        <v>0.24739398635881824</v>
      </c>
      <c r="F628" s="23">
        <f t="shared" si="18"/>
        <v>-1.3967731266804626</v>
      </c>
      <c r="G628" s="23">
        <f>(C628 - D628)/($L$7 - D628)</f>
        <v>0.71245856705461985</v>
      </c>
      <c r="H628" s="23">
        <f t="shared" si="19"/>
        <v>-0.33903352003248355</v>
      </c>
      <c r="I628" s="23"/>
      <c r="J628" s="15"/>
      <c r="K628" s="15"/>
      <c r="L628" s="15"/>
      <c r="M628" s="15"/>
      <c r="N628" s="15"/>
      <c r="O628" s="15"/>
      <c r="P628" s="15"/>
      <c r="Q628" s="15"/>
    </row>
    <row r="629" spans="1:17">
      <c r="A629" s="14">
        <v>353.06400000000002</v>
      </c>
      <c r="B629" s="23">
        <v>35.542414999999998</v>
      </c>
      <c r="C629" s="23">
        <v>61.202168999999998</v>
      </c>
      <c r="D629" s="23">
        <v>21.907215000000001</v>
      </c>
      <c r="E629" s="23">
        <f>(B629 - D629)/($L$7 - D629)</f>
        <v>0.24706833306120274</v>
      </c>
      <c r="F629" s="23">
        <f t="shared" si="18"/>
        <v>-1.3980903285456405</v>
      </c>
      <c r="G629" s="23">
        <f>(C629 - D629)/($L$7 - D629)</f>
        <v>0.71202026977944155</v>
      </c>
      <c r="H629" s="23">
        <f t="shared" si="19"/>
        <v>-0.33964889918403912</v>
      </c>
      <c r="I629" s="23"/>
      <c r="J629" s="15"/>
      <c r="K629" s="15"/>
      <c r="L629" s="15"/>
      <c r="M629" s="15"/>
      <c r="N629" s="15"/>
      <c r="O629" s="15"/>
      <c r="P629" s="15"/>
      <c r="Q629" s="15"/>
    </row>
    <row r="630" spans="1:17">
      <c r="A630" s="14">
        <v>353.62799999999999</v>
      </c>
      <c r="B630" s="23">
        <v>35.508741000000001</v>
      </c>
      <c r="C630" s="23">
        <v>61.191972999999997</v>
      </c>
      <c r="D630" s="23">
        <v>21.914892999999999</v>
      </c>
      <c r="E630" s="23">
        <f>(B630 - D630)/($L$7 - D630)</f>
        <v>0.24635331312938119</v>
      </c>
      <c r="F630" s="23">
        <f t="shared" si="18"/>
        <v>-1.4009885412115581</v>
      </c>
      <c r="G630" s="23">
        <f>(C630 - D630)/($L$7 - D630)</f>
        <v>0.71179542305076193</v>
      </c>
      <c r="H630" s="23">
        <f t="shared" si="19"/>
        <v>-0.33996473603241911</v>
      </c>
      <c r="I630" s="23"/>
      <c r="J630" s="15"/>
      <c r="K630" s="15"/>
      <c r="L630" s="15"/>
      <c r="M630" s="15"/>
      <c r="N630" s="15"/>
      <c r="O630" s="15"/>
      <c r="P630" s="15"/>
      <c r="Q630" s="15"/>
    </row>
    <row r="631" spans="1:17">
      <c r="A631" s="14">
        <v>354.19200000000001</v>
      </c>
      <c r="B631" s="23">
        <v>35.486071000000003</v>
      </c>
      <c r="C631" s="23">
        <v>61.162565999999998</v>
      </c>
      <c r="D631" s="23">
        <v>21.916336999999999</v>
      </c>
      <c r="E631" s="23">
        <f>(B631 - D631)/($L$7 - D631)</f>
        <v>0.24592274478215384</v>
      </c>
      <c r="F631" s="23">
        <f t="shared" si="18"/>
        <v>-1.4027378379734212</v>
      </c>
      <c r="G631" s="23">
        <f>(C631 - D631)/($L$7 - D631)</f>
        <v>0.71125494118226351</v>
      </c>
      <c r="H631" s="23">
        <f t="shared" si="19"/>
        <v>-0.34072434638504107</v>
      </c>
      <c r="I631" s="23"/>
      <c r="J631" s="15"/>
      <c r="K631" s="15"/>
      <c r="L631" s="15"/>
      <c r="M631" s="15"/>
      <c r="N631" s="15"/>
      <c r="O631" s="15"/>
      <c r="P631" s="15"/>
      <c r="Q631" s="15"/>
    </row>
    <row r="632" spans="1:17">
      <c r="A632" s="14">
        <v>354.75599999999997</v>
      </c>
      <c r="B632" s="23">
        <v>35.460670999999998</v>
      </c>
      <c r="C632" s="23">
        <v>61.147722000000002</v>
      </c>
      <c r="D632" s="23">
        <v>21.914892999999999</v>
      </c>
      <c r="E632" s="23">
        <f>(B632 - D632)/($L$7 - D632)</f>
        <v>0.24548216878804899</v>
      </c>
      <c r="F632" s="23">
        <f t="shared" si="18"/>
        <v>-1.4045309666133161</v>
      </c>
      <c r="G632" s="23">
        <f>(C632 - D632)/($L$7 - D632)</f>
        <v>0.71099348820057917</v>
      </c>
      <c r="H632" s="23">
        <f t="shared" si="19"/>
        <v>-0.34109200786981131</v>
      </c>
      <c r="I632" s="23"/>
      <c r="J632" s="15"/>
      <c r="K632" s="15"/>
      <c r="L632" s="15"/>
      <c r="M632" s="15"/>
      <c r="N632" s="15"/>
      <c r="O632" s="15"/>
      <c r="P632" s="15"/>
      <c r="Q632" s="15"/>
    </row>
    <row r="633" spans="1:17">
      <c r="A633" s="14">
        <v>355.32</v>
      </c>
      <c r="B633" s="23">
        <v>35.419289999999997</v>
      </c>
      <c r="C633" s="23">
        <v>61.123635</v>
      </c>
      <c r="D633" s="23">
        <v>21.914432000000001</v>
      </c>
      <c r="E633" s="23">
        <f>(B633 - D633)/($L$7 - D633)</f>
        <v>0.24473855504040407</v>
      </c>
      <c r="F633" s="23">
        <f t="shared" si="18"/>
        <v>-1.407564760501846</v>
      </c>
      <c r="G633" s="23">
        <f>(C633 - D633)/($L$7 - D633)</f>
        <v>0.71055939177634297</v>
      </c>
      <c r="H633" s="23">
        <f t="shared" si="19"/>
        <v>-0.34170274341661183</v>
      </c>
      <c r="I633" s="23"/>
      <c r="J633" s="15"/>
      <c r="K633" s="15"/>
      <c r="L633" s="15"/>
      <c r="M633" s="15"/>
      <c r="N633" s="15"/>
      <c r="O633" s="15"/>
      <c r="P633" s="15"/>
      <c r="Q633" s="15"/>
    </row>
    <row r="634" spans="1:17">
      <c r="A634" s="14">
        <v>355.88400000000001</v>
      </c>
      <c r="B634" s="23">
        <v>35.400452999999999</v>
      </c>
      <c r="C634" s="23">
        <v>61.117359999999998</v>
      </c>
      <c r="D634" s="23">
        <v>21.930194</v>
      </c>
      <c r="E634" s="23">
        <f>(B634 - D634)/($L$7 - D634)</f>
        <v>0.24418129164235172</v>
      </c>
      <c r="F634" s="23">
        <f t="shared" si="18"/>
        <v>-1.4098443310414706</v>
      </c>
      <c r="G634" s="23">
        <f>(C634 - D634)/($L$7 - D634)</f>
        <v>0.71036294177292725</v>
      </c>
      <c r="H634" s="23">
        <f t="shared" si="19"/>
        <v>-0.34197925396195133</v>
      </c>
      <c r="I634" s="23"/>
      <c r="J634" s="15"/>
      <c r="K634" s="15"/>
      <c r="L634" s="15"/>
      <c r="M634" s="15"/>
      <c r="N634" s="15"/>
      <c r="O634" s="15"/>
      <c r="P634" s="15"/>
      <c r="Q634" s="15"/>
    </row>
    <row r="635" spans="1:17">
      <c r="A635" s="14">
        <v>356.44799999999998</v>
      </c>
      <c r="B635" s="23">
        <v>35.367792000000001</v>
      </c>
      <c r="C635" s="23">
        <v>61.091591999999999</v>
      </c>
      <c r="D635" s="23">
        <v>21.928056999999999</v>
      </c>
      <c r="E635" s="23">
        <f>(B635 - D635)/($L$7 - D635)</f>
        <v>0.24361853233290429</v>
      </c>
      <c r="F635" s="23">
        <f t="shared" si="18"/>
        <v>-1.4121516691398317</v>
      </c>
      <c r="G635" s="23">
        <f>(C635 - D635)/($L$7 - D635)</f>
        <v>0.70990707165493416</v>
      </c>
      <c r="H635" s="23">
        <f t="shared" si="19"/>
        <v>-0.34262120250601458</v>
      </c>
      <c r="I635" s="23"/>
      <c r="J635" s="15"/>
      <c r="K635" s="15"/>
      <c r="L635" s="15"/>
      <c r="M635" s="15"/>
      <c r="N635" s="15"/>
      <c r="O635" s="15"/>
      <c r="P635" s="15"/>
      <c r="Q635" s="15"/>
    </row>
    <row r="636" spans="1:17">
      <c r="A636" s="14">
        <v>357.012</v>
      </c>
      <c r="B636" s="23">
        <v>35.345815000000002</v>
      </c>
      <c r="C636" s="23">
        <v>61.074787000000001</v>
      </c>
      <c r="D636" s="23">
        <v>21.923553999999999</v>
      </c>
      <c r="E636" s="23">
        <f>(B636 - D636)/($L$7 - D636)</f>
        <v>0.24328192792991879</v>
      </c>
      <c r="F636" s="23">
        <f t="shared" si="18"/>
        <v>-1.4135343109078335</v>
      </c>
      <c r="G636" s="23">
        <f>(C636 - D636)/($L$7 - D636)</f>
        <v>0.7096261535275955</v>
      </c>
      <c r="H636" s="23">
        <f t="shared" si="19"/>
        <v>-0.34301699194725105</v>
      </c>
      <c r="I636" s="23"/>
      <c r="J636" s="15"/>
      <c r="K636" s="15"/>
      <c r="L636" s="15"/>
      <c r="M636" s="15"/>
      <c r="N636" s="15"/>
      <c r="O636" s="15"/>
      <c r="P636" s="15"/>
      <c r="Q636" s="15"/>
    </row>
    <row r="637" spans="1:17">
      <c r="A637" s="14">
        <v>357.57600000000002</v>
      </c>
      <c r="B637" s="23">
        <v>35.314990000000002</v>
      </c>
      <c r="C637" s="23">
        <v>61.056860999999998</v>
      </c>
      <c r="D637" s="23">
        <v>21.920262999999998</v>
      </c>
      <c r="E637" s="23">
        <f>(B637 - D637)/($L$7 - D637)</f>
        <v>0.24276838592053862</v>
      </c>
      <c r="F637" s="23">
        <f t="shared" si="18"/>
        <v>-1.4156474345324428</v>
      </c>
      <c r="G637" s="23">
        <f>(C637 - D637)/($L$7 - D637)</f>
        <v>0.70931857938433374</v>
      </c>
      <c r="H637" s="23">
        <f t="shared" si="19"/>
        <v>-0.34345051714516034</v>
      </c>
      <c r="I637" s="23"/>
      <c r="J637" s="15"/>
      <c r="K637" s="15"/>
      <c r="L637" s="15"/>
      <c r="M637" s="15"/>
      <c r="N637" s="15"/>
      <c r="O637" s="15"/>
      <c r="P637" s="15"/>
      <c r="Q637" s="15"/>
    </row>
    <row r="638" spans="1:17">
      <c r="A638" s="14">
        <v>358.14</v>
      </c>
      <c r="B638" s="23">
        <v>35.279311999999997</v>
      </c>
      <c r="C638" s="23">
        <v>61.023249</v>
      </c>
      <c r="D638" s="23">
        <v>21.926324999999999</v>
      </c>
      <c r="E638" s="23">
        <f>(B638 - D638)/($L$7 - D638)</f>
        <v>0.24203847529134231</v>
      </c>
      <c r="F638" s="23">
        <f t="shared" si="18"/>
        <v>-1.4186585766556319</v>
      </c>
      <c r="G638" s="23">
        <f>(C638 - D638)/($L$7 - D638)</f>
        <v>0.7086773823371123</v>
      </c>
      <c r="H638" s="23">
        <f t="shared" si="19"/>
        <v>-0.34435488797305075</v>
      </c>
      <c r="I638" s="23"/>
      <c r="J638" s="15"/>
      <c r="K638" s="15"/>
      <c r="L638" s="15"/>
      <c r="M638" s="15"/>
      <c r="N638" s="15"/>
      <c r="O638" s="15"/>
      <c r="P638" s="15"/>
      <c r="Q638" s="15"/>
    </row>
    <row r="639" spans="1:17">
      <c r="A639" s="14">
        <v>358.70400000000001</v>
      </c>
      <c r="B639" s="23">
        <v>35.249056000000003</v>
      </c>
      <c r="C639" s="23">
        <v>61.007004000000002</v>
      </c>
      <c r="D639" s="23">
        <v>21.919397</v>
      </c>
      <c r="E639" s="23">
        <f>(B639 - D639)/($L$7 - D639)</f>
        <v>0.24158529024387859</v>
      </c>
      <c r="F639" s="23">
        <f t="shared" si="18"/>
        <v>-1.420532699527187</v>
      </c>
      <c r="G639" s="23">
        <f>(C639 - D639)/($L$7 - D639)</f>
        <v>0.70841953886694775</v>
      </c>
      <c r="H639" s="23">
        <f t="shared" si="19"/>
        <v>-0.34471879176699999</v>
      </c>
      <c r="I639" s="23"/>
      <c r="J639" s="15"/>
      <c r="K639" s="15"/>
      <c r="L639" s="15"/>
      <c r="M639" s="15"/>
      <c r="N639" s="15"/>
      <c r="O639" s="15"/>
      <c r="P639" s="15"/>
      <c r="Q639" s="15"/>
    </row>
    <row r="640" spans="1:17">
      <c r="A640" s="14">
        <v>359.26799999999997</v>
      </c>
      <c r="B640" s="23">
        <v>35.223936999999999</v>
      </c>
      <c r="C640" s="23">
        <v>60.992325000000001</v>
      </c>
      <c r="D640" s="23">
        <v>21.925170999999999</v>
      </c>
      <c r="E640" s="23">
        <f>(B640 - D640)/($L$7 - D640)</f>
        <v>0.24105061417873461</v>
      </c>
      <c r="F640" s="23">
        <f t="shared" si="18"/>
        <v>-1.4227483502028884</v>
      </c>
      <c r="G640" s="23">
        <f>(C640 - D640)/($L$7 - D640)</f>
        <v>0.70812295410831416</v>
      </c>
      <c r="H640" s="23">
        <f t="shared" si="19"/>
        <v>-0.34513753637146921</v>
      </c>
      <c r="I640" s="23"/>
      <c r="J640" s="15"/>
      <c r="K640" s="15"/>
      <c r="L640" s="15"/>
      <c r="M640" s="15"/>
      <c r="N640" s="15"/>
      <c r="O640" s="15"/>
      <c r="P640" s="15"/>
      <c r="Q640" s="15"/>
    </row>
    <row r="641" spans="1:17">
      <c r="A641" s="14">
        <v>359.83199999999999</v>
      </c>
      <c r="B641" s="23">
        <v>35.196123999999998</v>
      </c>
      <c r="C641" s="23">
        <v>60.969076000000001</v>
      </c>
      <c r="D641" s="23">
        <v>21.921129000000001</v>
      </c>
      <c r="E641" s="23">
        <f>(B641 - D641)/($L$7 - D641)</f>
        <v>0.24060211849202964</v>
      </c>
      <c r="F641" s="23">
        <f t="shared" si="18"/>
        <v>-1.424610670442793</v>
      </c>
      <c r="G641" s="23">
        <f>(C641 - D641)/($L$7 - D641)</f>
        <v>0.70772296117358202</v>
      </c>
      <c r="H641" s="23">
        <f t="shared" si="19"/>
        <v>-0.34570255964279606</v>
      </c>
      <c r="I641" s="23"/>
      <c r="J641" s="15"/>
      <c r="K641" s="15"/>
      <c r="L641" s="15"/>
      <c r="M641" s="15"/>
      <c r="N641" s="15"/>
      <c r="O641" s="15"/>
      <c r="P641" s="15"/>
      <c r="Q641" s="15"/>
    </row>
    <row r="642" spans="1:17">
      <c r="A642" s="14">
        <v>360.39600000000002</v>
      </c>
      <c r="B642" s="23">
        <v>35.167864000000002</v>
      </c>
      <c r="C642" s="23">
        <v>60.947226999999998</v>
      </c>
      <c r="D642" s="23">
        <v>21.936025000000001</v>
      </c>
      <c r="E642" s="23">
        <f>(B642 - D642)/($L$7 - D642)</f>
        <v>0.23988470383006735</v>
      </c>
      <c r="F642" s="23">
        <f t="shared" si="18"/>
        <v>-1.4275968717775882</v>
      </c>
      <c r="G642" s="23">
        <f>(C642 - D642)/($L$7 - D642)</f>
        <v>0.70724792206320908</v>
      </c>
      <c r="H642" s="23">
        <f t="shared" si="19"/>
        <v>-0.34637400685608927</v>
      </c>
      <c r="I642" s="23"/>
      <c r="J642" s="15"/>
      <c r="K642" s="15"/>
      <c r="L642" s="15"/>
      <c r="M642" s="15"/>
      <c r="N642" s="15"/>
      <c r="O642" s="15"/>
      <c r="P642" s="15"/>
      <c r="Q642" s="15"/>
    </row>
    <row r="643" spans="1:17">
      <c r="A643" s="14">
        <v>360.96</v>
      </c>
      <c r="B643" s="23">
        <v>35.142619000000003</v>
      </c>
      <c r="C643" s="23">
        <v>60.927059</v>
      </c>
      <c r="D643" s="23">
        <v>21.932272000000001</v>
      </c>
      <c r="E643" s="23">
        <f>(B643 - D643)/($L$7 - D643)</f>
        <v>0.23947877372830598</v>
      </c>
      <c r="F643" s="23">
        <f t="shared" si="18"/>
        <v>-1.4292904934980342</v>
      </c>
      <c r="G643" s="23">
        <f>(C643 - D643)/($L$7 - D643)</f>
        <v>0.70690223145209485</v>
      </c>
      <c r="H643" s="23">
        <f t="shared" si="19"/>
        <v>-0.34686290913728007</v>
      </c>
      <c r="I643" s="23"/>
      <c r="J643" s="15"/>
      <c r="K643" s="15"/>
      <c r="L643" s="15"/>
      <c r="M643" s="15"/>
      <c r="N643" s="15"/>
      <c r="O643" s="15"/>
      <c r="P643" s="15"/>
      <c r="Q643" s="15"/>
    </row>
    <row r="644" spans="1:17">
      <c r="A644" s="14">
        <v>361.524</v>
      </c>
      <c r="B644" s="23">
        <v>35.107632000000002</v>
      </c>
      <c r="C644" s="23">
        <v>60.914340000000003</v>
      </c>
      <c r="D644" s="23">
        <v>21.927942000000002</v>
      </c>
      <c r="E644" s="23">
        <f>(B644 - D644)/($L$7 - D644)</f>
        <v>0.2389042671770952</v>
      </c>
      <c r="F644" s="23">
        <f t="shared" ref="F644:F707" si="20">LN(E644)</f>
        <v>-1.4316923630388789</v>
      </c>
      <c r="G644" s="23">
        <f>(C644 - D644)/($L$7 - D644)</f>
        <v>0.70669468280851588</v>
      </c>
      <c r="H644" s="23">
        <f t="shared" ref="H644:H707" si="21">LN(G644)</f>
        <v>-0.34715655528630113</v>
      </c>
      <c r="I644" s="23"/>
      <c r="J644" s="15"/>
      <c r="K644" s="15"/>
      <c r="L644" s="15"/>
      <c r="M644" s="15"/>
      <c r="N644" s="15"/>
      <c r="O644" s="15"/>
      <c r="P644" s="15"/>
      <c r="Q644" s="15"/>
    </row>
    <row r="645" spans="1:17">
      <c r="A645" s="14">
        <v>362.08800000000002</v>
      </c>
      <c r="B645" s="23">
        <v>35.073250000000002</v>
      </c>
      <c r="C645" s="23">
        <v>60.890642999999997</v>
      </c>
      <c r="D645" s="23">
        <v>21.936025000000001</v>
      </c>
      <c r="E645" s="23">
        <f>(B645 - D645)/($L$7 - D645)</f>
        <v>0.23816941305543066</v>
      </c>
      <c r="F645" s="23">
        <f t="shared" si="20"/>
        <v>-1.4347730389734137</v>
      </c>
      <c r="G645" s="23">
        <f>(C645 - D645)/($L$7 - D645)</f>
        <v>0.70622209065145136</v>
      </c>
      <c r="H645" s="23">
        <f t="shared" si="21"/>
        <v>-0.3478255149639915</v>
      </c>
      <c r="I645" s="23"/>
      <c r="J645" s="15"/>
      <c r="K645" s="15"/>
      <c r="L645" s="15"/>
      <c r="M645" s="15"/>
      <c r="N645" s="15"/>
      <c r="O645" s="15"/>
      <c r="P645" s="15"/>
      <c r="Q645" s="15"/>
    </row>
    <row r="646" spans="1:17">
      <c r="A646" s="14">
        <v>362.65199999999999</v>
      </c>
      <c r="B646" s="23">
        <v>35.046985999999997</v>
      </c>
      <c r="C646" s="23">
        <v>60.875683000000002</v>
      </c>
      <c r="D646" s="23">
        <v>21.930828999999999</v>
      </c>
      <c r="E646" s="23">
        <f>(B646 - D646)/($L$7 - D646)</f>
        <v>0.23776506630902991</v>
      </c>
      <c r="F646" s="23">
        <f t="shared" si="20"/>
        <v>-1.4364722091794715</v>
      </c>
      <c r="G646" s="23">
        <f>(C646 - D646)/($L$7 - D646)</f>
        <v>0.70597857235968531</v>
      </c>
      <c r="H646" s="23">
        <f t="shared" si="21"/>
        <v>-0.34817039271480704</v>
      </c>
      <c r="I646" s="23"/>
      <c r="J646" s="15"/>
      <c r="K646" s="15"/>
      <c r="L646" s="15"/>
      <c r="M646" s="15"/>
      <c r="N646" s="15"/>
      <c r="O646" s="15"/>
      <c r="P646" s="15"/>
      <c r="Q646" s="15"/>
    </row>
    <row r="647" spans="1:17">
      <c r="A647" s="14">
        <v>363.21600000000001</v>
      </c>
      <c r="B647" s="23">
        <v>35.017580000000002</v>
      </c>
      <c r="C647" s="23">
        <v>60.853833000000002</v>
      </c>
      <c r="D647" s="23">
        <v>21.929385</v>
      </c>
      <c r="E647" s="23">
        <f>(B647 - D647)/($L$7 - D647)</f>
        <v>0.23725197065479031</v>
      </c>
      <c r="F647" s="23">
        <f t="shared" si="20"/>
        <v>-1.4386325352893348</v>
      </c>
      <c r="G647" s="23">
        <f>(C647 - D647)/($L$7 - D647)</f>
        <v>0.70559018983518429</v>
      </c>
      <c r="H647" s="23">
        <f t="shared" si="21"/>
        <v>-0.34872067768101406</v>
      </c>
      <c r="I647" s="23"/>
      <c r="J647" s="15"/>
      <c r="K647" s="15"/>
      <c r="L647" s="15"/>
      <c r="M647" s="15"/>
      <c r="N647" s="15"/>
      <c r="O647" s="15"/>
      <c r="P647" s="15"/>
      <c r="Q647" s="15"/>
    </row>
    <row r="648" spans="1:17">
      <c r="A648" s="14">
        <v>363.78</v>
      </c>
      <c r="B648" s="23">
        <v>35.006607000000002</v>
      </c>
      <c r="C648" s="23">
        <v>60.834223999999999</v>
      </c>
      <c r="D648" s="23">
        <v>21.925516999999999</v>
      </c>
      <c r="E648" s="23">
        <f>(B648 - D648)/($L$7 - D648)</f>
        <v>0.23710655215277807</v>
      </c>
      <c r="F648" s="23">
        <f t="shared" si="20"/>
        <v>-1.4392456517385004</v>
      </c>
      <c r="G648" s="23">
        <f>(C648 - D648)/($L$7 - D648)</f>
        <v>0.70525540039038481</v>
      </c>
      <c r="H648" s="23">
        <f t="shared" si="21"/>
        <v>-0.34919527171653841</v>
      </c>
      <c r="I648" s="23"/>
      <c r="J648" s="15"/>
      <c r="K648" s="15"/>
      <c r="L648" s="15"/>
      <c r="M648" s="15"/>
      <c r="N648" s="15"/>
      <c r="O648" s="15"/>
      <c r="P648" s="15"/>
      <c r="Q648" s="15"/>
    </row>
    <row r="649" spans="1:17">
      <c r="A649" s="14">
        <v>364.34399999999999</v>
      </c>
      <c r="B649" s="23">
        <v>34.966762000000003</v>
      </c>
      <c r="C649" s="23">
        <v>60.809572000000003</v>
      </c>
      <c r="D649" s="23">
        <v>21.934176999999998</v>
      </c>
      <c r="E649" s="23">
        <f>(B649 - D649)/($L$7 - D649)</f>
        <v>0.23626444179075848</v>
      </c>
      <c r="F649" s="23">
        <f t="shared" si="20"/>
        <v>-1.442803585203551</v>
      </c>
      <c r="G649" s="23">
        <f>(C649 - D649)/($L$7 - D649)</f>
        <v>0.70476221709432485</v>
      </c>
      <c r="H649" s="23">
        <f t="shared" si="21"/>
        <v>-0.34989481377907194</v>
      </c>
      <c r="I649" s="23"/>
      <c r="J649" s="15"/>
      <c r="K649" s="15"/>
      <c r="L649" s="15"/>
      <c r="M649" s="15"/>
      <c r="N649" s="15"/>
      <c r="O649" s="15"/>
      <c r="P649" s="15"/>
      <c r="Q649" s="15"/>
    </row>
    <row r="650" spans="1:17">
      <c r="A650" s="14">
        <v>364.90800000000002</v>
      </c>
      <c r="B650" s="23">
        <v>34.942084000000001</v>
      </c>
      <c r="C650" s="23">
        <v>60.791643000000001</v>
      </c>
      <c r="D650" s="23">
        <v>21.922630000000002</v>
      </c>
      <c r="E650" s="23">
        <f>(B650 - D650)/($L$7 - D650)</f>
        <v>0.23597699551929405</v>
      </c>
      <c r="F650" s="23">
        <f t="shared" si="20"/>
        <v>-1.4440209553208416</v>
      </c>
      <c r="G650" s="23">
        <f>(C650 - D650)/($L$7 - D650)</f>
        <v>0.70449904477871195</v>
      </c>
      <c r="H650" s="23">
        <f t="shared" si="21"/>
        <v>-0.35026830352975508</v>
      </c>
      <c r="I650" s="23"/>
      <c r="J650" s="15"/>
      <c r="K650" s="15"/>
      <c r="L650" s="15"/>
      <c r="M650" s="15"/>
      <c r="N650" s="15"/>
      <c r="O650" s="15"/>
      <c r="P650" s="15"/>
      <c r="Q650" s="15"/>
    </row>
    <row r="651" spans="1:17">
      <c r="A651" s="14">
        <v>365.47199999999998</v>
      </c>
      <c r="B651" s="23">
        <v>34.915816999999997</v>
      </c>
      <c r="C651" s="23">
        <v>60.771472000000003</v>
      </c>
      <c r="D651" s="23">
        <v>21.923669</v>
      </c>
      <c r="E651" s="23">
        <f>(B651 - D651)/($L$7 - D651)</f>
        <v>0.23548651018604397</v>
      </c>
      <c r="F651" s="23">
        <f t="shared" si="20"/>
        <v>-1.4461016487542411</v>
      </c>
      <c r="G651" s="23">
        <f>(C651 - D651)/($L$7 - D651)</f>
        <v>0.70412787453352066</v>
      </c>
      <c r="H651" s="23">
        <f t="shared" si="21"/>
        <v>-0.35079529935624798</v>
      </c>
      <c r="I651" s="23"/>
      <c r="J651" s="15"/>
      <c r="K651" s="15"/>
      <c r="L651" s="15"/>
      <c r="M651" s="15"/>
      <c r="N651" s="15"/>
      <c r="O651" s="15"/>
      <c r="P651" s="15"/>
      <c r="Q651" s="15"/>
    </row>
    <row r="652" spans="1:17">
      <c r="A652" s="14">
        <v>366.036</v>
      </c>
      <c r="B652" s="23">
        <v>34.882697</v>
      </c>
      <c r="C652" s="23">
        <v>60.755110999999999</v>
      </c>
      <c r="D652" s="23">
        <v>21.912410000000001</v>
      </c>
      <c r="E652" s="23">
        <f>(B652 - D652)/($L$7 - D652)</f>
        <v>0.23504230740403489</v>
      </c>
      <c r="F652" s="23">
        <f t="shared" si="20"/>
        <v>-1.4479897495351735</v>
      </c>
      <c r="G652" s="23">
        <f>(C652 - D652)/($L$7 - D652)</f>
        <v>0.70389175419518579</v>
      </c>
      <c r="H652" s="23">
        <f t="shared" si="21"/>
        <v>-0.35113069289158022</v>
      </c>
      <c r="I652" s="23"/>
      <c r="J652" s="15"/>
      <c r="K652" s="15"/>
      <c r="L652" s="15"/>
      <c r="M652" s="15"/>
      <c r="N652" s="15"/>
      <c r="O652" s="15"/>
      <c r="P652" s="15"/>
      <c r="Q652" s="15"/>
    </row>
    <row r="653" spans="1:17">
      <c r="A653" s="14">
        <v>366.6</v>
      </c>
      <c r="B653" s="23">
        <v>34.858713000000002</v>
      </c>
      <c r="C653" s="23">
        <v>60.732137999999999</v>
      </c>
      <c r="D653" s="23">
        <v>21.913679999999999</v>
      </c>
      <c r="E653" s="23">
        <f>(B653 - D653)/($L$7 - D653)</f>
        <v>0.23459006356223772</v>
      </c>
      <c r="F653" s="23">
        <f t="shared" si="20"/>
        <v>-1.449915698466923</v>
      </c>
      <c r="G653" s="23">
        <f>(C653 - D653)/($L$7 - D653)</f>
        <v>0.70346862225905904</v>
      </c>
      <c r="H653" s="23">
        <f t="shared" si="21"/>
        <v>-0.35173200575494562</v>
      </c>
      <c r="I653" s="23"/>
      <c r="J653" s="15"/>
      <c r="K653" s="15"/>
      <c r="L653" s="15"/>
      <c r="M653" s="15"/>
      <c r="N653" s="15"/>
      <c r="O653" s="15"/>
      <c r="P653" s="15"/>
      <c r="Q653" s="15"/>
    </row>
    <row r="654" spans="1:17">
      <c r="A654" s="14">
        <v>367.16399999999999</v>
      </c>
      <c r="B654" s="23">
        <v>34.825876999999998</v>
      </c>
      <c r="C654" s="23">
        <v>60.727936</v>
      </c>
      <c r="D654" s="23">
        <v>21.920781999999999</v>
      </c>
      <c r="E654" s="23">
        <f>(B654 - D654)/($L$7 - D654)</f>
        <v>0.23389640964676303</v>
      </c>
      <c r="F654" s="23">
        <f t="shared" si="20"/>
        <v>-1.4528769554595244</v>
      </c>
      <c r="G654" s="23">
        <f>(C654 - D654)/($L$7 - D654)</f>
        <v>0.70335429450221154</v>
      </c>
      <c r="H654" s="23">
        <f t="shared" si="21"/>
        <v>-0.35189453901444406</v>
      </c>
      <c r="I654" s="23"/>
      <c r="J654" s="15"/>
      <c r="K654" s="15"/>
      <c r="L654" s="15"/>
      <c r="M654" s="15"/>
      <c r="N654" s="15"/>
      <c r="O654" s="15"/>
      <c r="P654" s="15"/>
      <c r="Q654" s="15"/>
    </row>
    <row r="655" spans="1:17">
      <c r="A655" s="14">
        <v>367.72800000000001</v>
      </c>
      <c r="B655" s="23">
        <v>34.801766000000001</v>
      </c>
      <c r="C655" s="23">
        <v>60.694597000000002</v>
      </c>
      <c r="D655" s="23">
        <v>21.909811999999999</v>
      </c>
      <c r="E655" s="23">
        <f>(B655 - D655)/($L$7 - D655)</f>
        <v>0.23361178996449319</v>
      </c>
      <c r="F655" s="23">
        <f t="shared" si="20"/>
        <v>-1.4540945585632572</v>
      </c>
      <c r="G655" s="23">
        <f>(C655 - D655)/($L$7 - D655)</f>
        <v>0.70280913562350777</v>
      </c>
      <c r="H655" s="23">
        <f t="shared" si="21"/>
        <v>-0.35266992385853502</v>
      </c>
      <c r="I655" s="23"/>
      <c r="J655" s="15"/>
      <c r="K655" s="15"/>
      <c r="L655" s="15"/>
      <c r="M655" s="15"/>
      <c r="N655" s="15"/>
      <c r="O655" s="15"/>
      <c r="P655" s="15"/>
      <c r="Q655" s="15"/>
    </row>
    <row r="656" spans="1:17">
      <c r="A656" s="14">
        <v>368.29199999999997</v>
      </c>
      <c r="B656" s="23">
        <v>34.766770000000001</v>
      </c>
      <c r="C656" s="23">
        <v>60.683391</v>
      </c>
      <c r="D656" s="23">
        <v>21.914431</v>
      </c>
      <c r="E656" s="23">
        <f>(B656 - D656)/($L$7 - D656)</f>
        <v>0.23291343150342908</v>
      </c>
      <c r="F656" s="23">
        <f t="shared" si="20"/>
        <v>-1.4570884330658995</v>
      </c>
      <c r="G656" s="23">
        <f>(C656 - D656)/($L$7 - D656)</f>
        <v>0.70258118070330866</v>
      </c>
      <c r="H656" s="23">
        <f t="shared" si="21"/>
        <v>-0.352994324730734</v>
      </c>
      <c r="I656" s="23"/>
      <c r="J656" s="15"/>
      <c r="K656" s="15"/>
      <c r="L656" s="15"/>
      <c r="M656" s="15"/>
      <c r="N656" s="15"/>
      <c r="O656" s="15"/>
      <c r="P656" s="15"/>
      <c r="Q656" s="15"/>
    </row>
    <row r="657" spans="1:17">
      <c r="A657" s="14">
        <v>368.85599999999999</v>
      </c>
      <c r="B657" s="23">
        <v>34.747227000000002</v>
      </c>
      <c r="C657" s="23">
        <v>60.658175999999997</v>
      </c>
      <c r="D657" s="23">
        <v>21.913969000000002</v>
      </c>
      <c r="E657" s="23">
        <f>(B657 - D657)/($L$7 - D657)</f>
        <v>0.23256569350400522</v>
      </c>
      <c r="F657" s="23">
        <f t="shared" si="20"/>
        <v>-1.4585825411598252</v>
      </c>
      <c r="G657" s="23">
        <f>(C657 - D657)/($L$7 - D657)</f>
        <v>0.70212672185174896</v>
      </c>
      <c r="H657" s="23">
        <f t="shared" si="21"/>
        <v>-0.35364137578894894</v>
      </c>
      <c r="I657" s="23"/>
      <c r="J657" s="15"/>
      <c r="K657" s="15"/>
      <c r="L657" s="15"/>
      <c r="M657" s="15"/>
      <c r="N657" s="15"/>
      <c r="O657" s="15"/>
      <c r="P657" s="15"/>
      <c r="Q657" s="15"/>
    </row>
    <row r="658" spans="1:17">
      <c r="A658" s="14">
        <v>369.42</v>
      </c>
      <c r="B658" s="23">
        <v>34.714674000000002</v>
      </c>
      <c r="C658" s="23">
        <v>60.644894999999998</v>
      </c>
      <c r="D658" s="23">
        <v>21.922514</v>
      </c>
      <c r="E658" s="23">
        <f>(B658 - D658)/($L$7 - D658)</f>
        <v>0.23185681491010626</v>
      </c>
      <c r="F658" s="23">
        <f t="shared" si="20"/>
        <v>-1.4616352749596304</v>
      </c>
      <c r="G658" s="23">
        <f>(C658 - D658)/($L$7 - D658)</f>
        <v>0.70183987101440359</v>
      </c>
      <c r="H658" s="23">
        <f t="shared" si="21"/>
        <v>-0.35405000494407896</v>
      </c>
      <c r="I658" s="23"/>
      <c r="J658" s="15"/>
      <c r="K658" s="15"/>
      <c r="L658" s="15"/>
      <c r="M658" s="15"/>
      <c r="N658" s="15"/>
      <c r="O658" s="15"/>
      <c r="P658" s="15"/>
      <c r="Q658" s="15"/>
    </row>
    <row r="659" spans="1:17">
      <c r="A659" s="14">
        <v>369.98399999999998</v>
      </c>
      <c r="B659" s="23">
        <v>34.692971</v>
      </c>
      <c r="C659" s="23">
        <v>60.620240000000003</v>
      </c>
      <c r="D659" s="23">
        <v>21.927306000000002</v>
      </c>
      <c r="E659" s="23">
        <f>(B659 - D659)/($L$7 - D659)</f>
        <v>0.23139669314825945</v>
      </c>
      <c r="F659" s="23">
        <f t="shared" si="20"/>
        <v>-1.4636217549544939</v>
      </c>
      <c r="G659" s="23">
        <f>(C659 - D659)/($L$7 - D659)</f>
        <v>0.70136706358845047</v>
      </c>
      <c r="H659" s="23">
        <f t="shared" si="21"/>
        <v>-0.35472390047892416</v>
      </c>
      <c r="I659" s="23"/>
      <c r="J659" s="15"/>
      <c r="K659" s="15"/>
      <c r="L659" s="15"/>
      <c r="M659" s="15"/>
      <c r="N659" s="15"/>
      <c r="O659" s="15"/>
      <c r="P659" s="15"/>
      <c r="Q659" s="15"/>
    </row>
    <row r="660" spans="1:17">
      <c r="A660" s="14">
        <v>370.548</v>
      </c>
      <c r="B660" s="23">
        <v>34.655150999999996</v>
      </c>
      <c r="C660" s="23">
        <v>60.609313</v>
      </c>
      <c r="D660" s="23">
        <v>21.926845</v>
      </c>
      <c r="E660" s="23">
        <f>(B660 - D660)/($L$7 - D660)</f>
        <v>0.2307175776773856</v>
      </c>
      <c r="F660" s="23">
        <f t="shared" si="20"/>
        <v>-1.4665609239117769</v>
      </c>
      <c r="G660" s="23">
        <f>(C660 - D660)/($L$7 - D660)</f>
        <v>0.70117149254134725</v>
      </c>
      <c r="H660" s="23">
        <f t="shared" si="21"/>
        <v>-0.35500278200772922</v>
      </c>
      <c r="I660" s="23"/>
      <c r="J660" s="15"/>
      <c r="K660" s="15"/>
      <c r="L660" s="15"/>
      <c r="M660" s="15"/>
      <c r="N660" s="15"/>
      <c r="O660" s="15"/>
      <c r="P660" s="15"/>
      <c r="Q660" s="15"/>
    </row>
    <row r="661" spans="1:17">
      <c r="A661" s="14">
        <v>371.11200000000002</v>
      </c>
      <c r="B661" s="23">
        <v>34.633161000000001</v>
      </c>
      <c r="C661" s="23">
        <v>60.588859999999997</v>
      </c>
      <c r="D661" s="23">
        <v>21.917028999999999</v>
      </c>
      <c r="E661" s="23">
        <f>(B661 - D661)/($L$7 - D661)</f>
        <v>0.23045590304873723</v>
      </c>
      <c r="F661" s="23">
        <f t="shared" si="20"/>
        <v>-1.4676957448313095</v>
      </c>
      <c r="G661" s="23">
        <f>(C661 - D661)/($L$7 - D661)</f>
        <v>0.70085398104180974</v>
      </c>
      <c r="H661" s="23">
        <f t="shared" si="21"/>
        <v>-0.35545571458413117</v>
      </c>
      <c r="I661" s="23"/>
      <c r="J661" s="15"/>
      <c r="K661" s="15"/>
      <c r="L661" s="15"/>
      <c r="M661" s="15"/>
      <c r="N661" s="15"/>
      <c r="O661" s="15"/>
      <c r="P661" s="15"/>
      <c r="Q661" s="15"/>
    </row>
    <row r="662" spans="1:17">
      <c r="A662" s="14">
        <v>371.67599999999999</v>
      </c>
      <c r="B662" s="23">
        <v>34.602032999999999</v>
      </c>
      <c r="C662" s="23">
        <v>60.564763999999997</v>
      </c>
      <c r="D662" s="23">
        <v>21.922514</v>
      </c>
      <c r="E662" s="23">
        <f>(B662 - D662)/($L$7 - D662)</f>
        <v>0.22981520633983432</v>
      </c>
      <c r="F662" s="23">
        <f t="shared" si="20"/>
        <v>-1.4704797436948138</v>
      </c>
      <c r="G662" s="23">
        <f>(C662 - D662)/($L$7 - D662)</f>
        <v>0.70038750343648393</v>
      </c>
      <c r="H662" s="23">
        <f t="shared" si="21"/>
        <v>-0.35612152076775533</v>
      </c>
      <c r="I662" s="23"/>
      <c r="J662" s="15"/>
      <c r="K662" s="15"/>
      <c r="L662" s="15"/>
      <c r="M662" s="15"/>
      <c r="N662" s="15"/>
      <c r="O662" s="15"/>
      <c r="P662" s="15"/>
      <c r="Q662" s="15"/>
    </row>
    <row r="663" spans="1:17">
      <c r="A663" s="14">
        <v>372.24</v>
      </c>
      <c r="B663" s="23">
        <v>34.572206000000001</v>
      </c>
      <c r="C663" s="23">
        <v>60.543750000000003</v>
      </c>
      <c r="D663" s="23">
        <v>21.940586</v>
      </c>
      <c r="E663" s="23">
        <f>(B663 - D663)/($L$7 - D663)</f>
        <v>0.22902205799697578</v>
      </c>
      <c r="F663" s="23">
        <f t="shared" si="20"/>
        <v>-1.4739369569357736</v>
      </c>
      <c r="G663" s="23">
        <f>(C663 - D663)/($L$7 - D663)</f>
        <v>0.6999083304021787</v>
      </c>
      <c r="H663" s="23">
        <f t="shared" si="21"/>
        <v>-0.35680590908260862</v>
      </c>
      <c r="I663" s="23"/>
      <c r="J663" s="15"/>
      <c r="K663" s="15"/>
      <c r="L663" s="15"/>
      <c r="M663" s="15"/>
      <c r="N663" s="15"/>
      <c r="O663" s="15"/>
      <c r="P663" s="15"/>
      <c r="Q663" s="15"/>
    </row>
    <row r="664" spans="1:17">
      <c r="A664" s="14">
        <v>372.80399999999997</v>
      </c>
      <c r="B664" s="23">
        <v>34.542344</v>
      </c>
      <c r="C664" s="23">
        <v>60.519933999999999</v>
      </c>
      <c r="D664" s="23">
        <v>21.938565000000001</v>
      </c>
      <c r="E664" s="23">
        <f>(B664 - D664)/($L$7 - D664)</f>
        <v>0.22850890376333965</v>
      </c>
      <c r="F664" s="23">
        <f t="shared" si="20"/>
        <v>-1.4761801032655077</v>
      </c>
      <c r="G664" s="23">
        <f>(C664 - D664)/($L$7 - D664)</f>
        <v>0.69948753749799131</v>
      </c>
      <c r="H664" s="23">
        <f t="shared" si="21"/>
        <v>-0.35740730133554022</v>
      </c>
      <c r="I664" s="23"/>
      <c r="J664" s="15"/>
      <c r="K664" s="15"/>
      <c r="L664" s="15"/>
      <c r="M664" s="15"/>
      <c r="N664" s="15"/>
      <c r="O664" s="15"/>
      <c r="P664" s="15"/>
      <c r="Q664" s="15"/>
    </row>
    <row r="665" spans="1:17">
      <c r="A665" s="14">
        <v>373.36799999999999</v>
      </c>
      <c r="B665" s="23">
        <v>34.507945999999997</v>
      </c>
      <c r="C665" s="23">
        <v>60.497405999999998</v>
      </c>
      <c r="D665" s="23">
        <v>21.947803</v>
      </c>
      <c r="E665" s="23">
        <f>(B665 - D665)/($L$7 - D665)</f>
        <v>0.2277559208929279</v>
      </c>
      <c r="F665" s="23">
        <f t="shared" si="20"/>
        <v>-1.4794807458455139</v>
      </c>
      <c r="G665" s="23">
        <f>(C665 - D665)/($L$7 - D665)</f>
        <v>0.69902869189640415</v>
      </c>
      <c r="H665" s="23">
        <f t="shared" si="21"/>
        <v>-0.35806349052863978</v>
      </c>
      <c r="I665" s="23"/>
      <c r="J665" s="15"/>
      <c r="K665" s="15"/>
      <c r="L665" s="15"/>
      <c r="M665" s="15"/>
      <c r="N665" s="15"/>
      <c r="O665" s="15"/>
      <c r="P665" s="15"/>
      <c r="Q665" s="15"/>
    </row>
    <row r="666" spans="1:17">
      <c r="A666" s="14">
        <v>373.93200000000002</v>
      </c>
      <c r="B666" s="23">
        <v>34.481955999999997</v>
      </c>
      <c r="C666" s="23">
        <v>60.482554999999998</v>
      </c>
      <c r="D666" s="23">
        <v>21.943762</v>
      </c>
      <c r="E666" s="23">
        <f>(B666 - D666)/($L$7 - D666)</f>
        <v>0.22734125595741639</v>
      </c>
      <c r="F666" s="23">
        <f t="shared" si="20"/>
        <v>-1.4813030601614758</v>
      </c>
      <c r="G666" s="23">
        <f>(C666 - D666)/($L$7 - D666)</f>
        <v>0.69878146754651338</v>
      </c>
      <c r="H666" s="23">
        <f t="shared" si="21"/>
        <v>-0.35841722147099769</v>
      </c>
      <c r="I666" s="23"/>
      <c r="J666" s="15"/>
      <c r="K666" s="15"/>
      <c r="L666" s="15"/>
      <c r="M666" s="15"/>
      <c r="N666" s="15"/>
      <c r="O666" s="15"/>
      <c r="P666" s="15"/>
      <c r="Q666" s="15"/>
    </row>
    <row r="667" spans="1:17">
      <c r="A667" s="14">
        <v>374.49599999999998</v>
      </c>
      <c r="B667" s="23">
        <v>34.457963999999997</v>
      </c>
      <c r="C667" s="23">
        <v>60.465463</v>
      </c>
      <c r="D667" s="23">
        <v>21.942029000000002</v>
      </c>
      <c r="E667" s="23">
        <f>(B667 - D667)/($L$7 - D667)</f>
        <v>0.22693052729511018</v>
      </c>
      <c r="F667" s="23">
        <f t="shared" si="20"/>
        <v>-1.4831113555008284</v>
      </c>
      <c r="G667" s="23">
        <f>(C667 - D667)/($L$7 - D667)</f>
        <v>0.69848103164792541</v>
      </c>
      <c r="H667" s="23">
        <f t="shared" si="21"/>
        <v>-0.35884725649074689</v>
      </c>
      <c r="I667" s="23"/>
      <c r="J667" s="15"/>
      <c r="K667" s="15"/>
      <c r="L667" s="15"/>
      <c r="M667" s="15"/>
      <c r="N667" s="15"/>
      <c r="O667" s="15"/>
      <c r="P667" s="15"/>
      <c r="Q667" s="15"/>
    </row>
    <row r="668" spans="1:17">
      <c r="A668" s="14">
        <v>375.06</v>
      </c>
      <c r="B668" s="23">
        <v>34.418422999999997</v>
      </c>
      <c r="C668" s="23">
        <v>60.443326999999996</v>
      </c>
      <c r="D668" s="23">
        <v>21.954153999999999</v>
      </c>
      <c r="E668" s="23">
        <f>(B668 - D668)/($L$7 - D668)</f>
        <v>0.22604344800800971</v>
      </c>
      <c r="F668" s="23">
        <f t="shared" si="20"/>
        <v>-1.4870280503640441</v>
      </c>
      <c r="G668" s="23">
        <f>(C668 - D668)/($L$7 - D668)</f>
        <v>0.69801328709263177</v>
      </c>
      <c r="H668" s="23">
        <f t="shared" si="21"/>
        <v>-0.35951714045161676</v>
      </c>
      <c r="I668" s="23"/>
      <c r="J668" s="15"/>
      <c r="K668" s="15"/>
      <c r="L668" s="15"/>
      <c r="M668" s="15"/>
      <c r="N668" s="15"/>
      <c r="O668" s="15"/>
      <c r="P668" s="15"/>
      <c r="Q668" s="15"/>
    </row>
    <row r="669" spans="1:17">
      <c r="A669" s="14">
        <v>375.62400000000002</v>
      </c>
      <c r="B669" s="23">
        <v>34.395572000000001</v>
      </c>
      <c r="C669" s="23">
        <v>60.423712000000002</v>
      </c>
      <c r="D669" s="23">
        <v>21.946936999999998</v>
      </c>
      <c r="E669" s="23">
        <f>(B669 - D669)/($L$7 - D669)</f>
        <v>0.22573037631711576</v>
      </c>
      <c r="F669" s="23">
        <f t="shared" si="20"/>
        <v>-1.4884140170763769</v>
      </c>
      <c r="G669" s="23">
        <f>(C669 - D669)/($L$7 - D669)</f>
        <v>0.69769712906025361</v>
      </c>
      <c r="H669" s="23">
        <f t="shared" si="21"/>
        <v>-0.35997018290817046</v>
      </c>
      <c r="I669" s="23"/>
      <c r="J669" s="15"/>
      <c r="K669" s="15"/>
      <c r="L669" s="15"/>
      <c r="M669" s="15"/>
      <c r="N669" s="15"/>
      <c r="O669" s="15"/>
      <c r="P669" s="15"/>
      <c r="Q669" s="15"/>
    </row>
    <row r="670" spans="1:17">
      <c r="A670" s="14">
        <v>376.18799999999999</v>
      </c>
      <c r="B670" s="23">
        <v>34.369292999999999</v>
      </c>
      <c r="C670" s="23">
        <v>60.394289999999998</v>
      </c>
      <c r="D670" s="23">
        <v>21.946822000000001</v>
      </c>
      <c r="E670" s="23">
        <f>(B670 - D670)/($L$7 - D670)</f>
        <v>0.22525547630025794</v>
      </c>
      <c r="F670" s="23">
        <f t="shared" si="20"/>
        <v>-1.4905200706904096</v>
      </c>
      <c r="G670" s="23">
        <f>(C670 - D670)/($L$7 - D670)</f>
        <v>0.69716425314085473</v>
      </c>
      <c r="H670" s="23">
        <f t="shared" si="21"/>
        <v>-0.36073423868048177</v>
      </c>
      <c r="I670" s="23"/>
      <c r="J670" s="15"/>
      <c r="K670" s="15"/>
      <c r="L670" s="15"/>
      <c r="M670" s="15"/>
      <c r="N670" s="15"/>
      <c r="O670" s="15"/>
      <c r="P670" s="15"/>
      <c r="Q670" s="15"/>
    </row>
    <row r="671" spans="1:17">
      <c r="A671" s="14">
        <v>376.75200000000001</v>
      </c>
      <c r="B671" s="23">
        <v>34.333587999999999</v>
      </c>
      <c r="C671" s="23">
        <v>60.378317000000003</v>
      </c>
      <c r="D671" s="23">
        <v>21.947687999999999</v>
      </c>
      <c r="E671" s="23">
        <f>(B671 - D671)/($L$7 - D671)</f>
        <v>0.22459586471175899</v>
      </c>
      <c r="F671" s="23">
        <f t="shared" si="20"/>
        <v>-1.4934526486382149</v>
      </c>
      <c r="G671" s="23">
        <f>(C671 - D671)/($L$7 - D671)</f>
        <v>0.69686985618096409</v>
      </c>
      <c r="H671" s="23">
        <f t="shared" si="21"/>
        <v>-0.36115660562587942</v>
      </c>
      <c r="I671" s="23"/>
      <c r="J671" s="15"/>
      <c r="K671" s="15"/>
      <c r="L671" s="15"/>
      <c r="M671" s="15"/>
      <c r="N671" s="15"/>
      <c r="O671" s="15"/>
      <c r="P671" s="15"/>
      <c r="Q671" s="15"/>
    </row>
    <row r="672" spans="1:17">
      <c r="A672" s="14">
        <v>377.31599999999997</v>
      </c>
      <c r="B672" s="23">
        <v>34.303879999999999</v>
      </c>
      <c r="C672" s="23">
        <v>60.350575999999997</v>
      </c>
      <c r="D672" s="23">
        <v>21.940759</v>
      </c>
      <c r="E672" s="23">
        <f>(B672 - D672)/($L$7 - D672)</f>
        <v>0.2241546449208873</v>
      </c>
      <c r="F672" s="23">
        <f t="shared" si="20"/>
        <v>-1.495419086218025</v>
      </c>
      <c r="G672" s="23">
        <f>(C672 - D672)/($L$7 - D672)</f>
        <v>0.6964049685440481</v>
      </c>
      <c r="H672" s="23">
        <f t="shared" si="21"/>
        <v>-0.36182393650119343</v>
      </c>
      <c r="I672" s="23"/>
      <c r="J672" s="15"/>
      <c r="K672" s="15"/>
      <c r="L672" s="15"/>
      <c r="M672" s="15"/>
      <c r="N672" s="15"/>
      <c r="O672" s="15"/>
      <c r="P672" s="15"/>
      <c r="Q672" s="15"/>
    </row>
    <row r="673" spans="1:17">
      <c r="A673" s="14">
        <v>377.88</v>
      </c>
      <c r="B673" s="23">
        <v>34.276457000000001</v>
      </c>
      <c r="C673" s="23">
        <v>60.337964999999997</v>
      </c>
      <c r="D673" s="23">
        <v>21.952594999999999</v>
      </c>
      <c r="E673" s="23">
        <f>(B673 - D673)/($L$7 - D673)</f>
        <v>0.22349080405017607</v>
      </c>
      <c r="F673" s="23">
        <f t="shared" si="20"/>
        <v>-1.4983850109643688</v>
      </c>
      <c r="G673" s="23">
        <f>(C673 - D673)/($L$7 - D673)</f>
        <v>0.69611110584194347</v>
      </c>
      <c r="H673" s="23">
        <f t="shared" si="21"/>
        <v>-0.36224599655762257</v>
      </c>
      <c r="I673" s="23"/>
      <c r="J673" s="15"/>
      <c r="K673" s="15"/>
      <c r="L673" s="15"/>
      <c r="M673" s="15"/>
      <c r="N673" s="15"/>
      <c r="O673" s="15"/>
      <c r="P673" s="15"/>
      <c r="Q673" s="15"/>
    </row>
    <row r="674" spans="1:17">
      <c r="A674" s="14">
        <v>378.44400000000002</v>
      </c>
      <c r="B674" s="23">
        <v>34.258620999999998</v>
      </c>
      <c r="C674" s="23">
        <v>60.301141999999999</v>
      </c>
      <c r="D674" s="23">
        <v>21.952594999999999</v>
      </c>
      <c r="E674" s="23">
        <f>(B674 - D674)/($L$7 - D674)</f>
        <v>0.22316735171185553</v>
      </c>
      <c r="F674" s="23">
        <f t="shared" si="20"/>
        <v>-1.4998333328664246</v>
      </c>
      <c r="G674" s="23">
        <f>(C674 - D674)/($L$7 - D674)</f>
        <v>0.69544332800756492</v>
      </c>
      <c r="H674" s="23">
        <f t="shared" si="21"/>
        <v>-0.36320575475233541</v>
      </c>
      <c r="I674" s="23"/>
      <c r="J674" s="15"/>
      <c r="K674" s="15"/>
      <c r="L674" s="15"/>
      <c r="M674" s="15"/>
      <c r="N674" s="15"/>
      <c r="O674" s="15"/>
      <c r="P674" s="15"/>
      <c r="Q674" s="15"/>
    </row>
    <row r="675" spans="1:17">
      <c r="A675" s="14">
        <v>379.00799999999998</v>
      </c>
      <c r="B675" s="23">
        <v>34.217894999999999</v>
      </c>
      <c r="C675" s="23">
        <v>60.286123000000003</v>
      </c>
      <c r="D675" s="23">
        <v>21.956233000000001</v>
      </c>
      <c r="E675" s="23">
        <f>(B675 - D675)/($L$7 - D675)</f>
        <v>0.22237749055554243</v>
      </c>
      <c r="F675" s="23">
        <f t="shared" si="20"/>
        <v>-1.5033789332587768</v>
      </c>
      <c r="G675" s="23">
        <f>(C675 - D675)/($L$7 - D675)</f>
        <v>0.69515084916465508</v>
      </c>
      <c r="H675" s="23">
        <f t="shared" si="21"/>
        <v>-0.36362640781132838</v>
      </c>
      <c r="I675" s="23"/>
      <c r="J675" s="15"/>
      <c r="K675" s="15"/>
      <c r="L675" s="15"/>
      <c r="M675" s="15"/>
      <c r="N675" s="15"/>
      <c r="O675" s="15"/>
      <c r="P675" s="15"/>
      <c r="Q675" s="15"/>
    </row>
    <row r="676" spans="1:17">
      <c r="A676" s="14">
        <v>379.572</v>
      </c>
      <c r="B676" s="23">
        <v>34.196629999999999</v>
      </c>
      <c r="C676" s="23">
        <v>60.258659000000002</v>
      </c>
      <c r="D676" s="23">
        <v>21.950458999999999</v>
      </c>
      <c r="E676" s="23">
        <f>(B676 - D676)/($L$7 - D676)</f>
        <v>0.22207329088781236</v>
      </c>
      <c r="F676" s="23">
        <f t="shared" si="20"/>
        <v>-1.5047478124595006</v>
      </c>
      <c r="G676" s="23">
        <f>(C676 - D676)/($L$7 - D676)</f>
        <v>0.6946847338640374</v>
      </c>
      <c r="H676" s="23">
        <f t="shared" si="21"/>
        <v>-0.36429715667369028</v>
      </c>
      <c r="I676" s="23"/>
      <c r="J676" s="15"/>
      <c r="K676" s="15"/>
      <c r="L676" s="15"/>
      <c r="M676" s="15"/>
      <c r="N676" s="15"/>
      <c r="O676" s="15"/>
      <c r="P676" s="15"/>
      <c r="Q676" s="15"/>
    </row>
    <row r="677" spans="1:17">
      <c r="A677" s="14">
        <v>380.13600000000002</v>
      </c>
      <c r="B677" s="23">
        <v>34.172632</v>
      </c>
      <c r="C677" s="23">
        <v>60.236407</v>
      </c>
      <c r="D677" s="23">
        <v>21.96114</v>
      </c>
      <c r="E677" s="23">
        <f>(B677 - D677)/($L$7 - D677)</f>
        <v>0.22148731838037064</v>
      </c>
      <c r="F677" s="23">
        <f t="shared" si="20"/>
        <v>-1.5073899444977408</v>
      </c>
      <c r="G677" s="23">
        <f>(C677 - D677)/($L$7 - D677)</f>
        <v>0.69422198762630261</v>
      </c>
      <c r="H677" s="23">
        <f t="shared" si="21"/>
        <v>-0.36496350272515227</v>
      </c>
      <c r="I677" s="23"/>
      <c r="J677" s="15"/>
      <c r="K677" s="15"/>
      <c r="L677" s="15"/>
      <c r="M677" s="15"/>
      <c r="N677" s="15"/>
      <c r="O677" s="15"/>
      <c r="P677" s="15"/>
      <c r="Q677" s="15"/>
    </row>
    <row r="678" spans="1:17">
      <c r="A678" s="14">
        <v>380.7</v>
      </c>
      <c r="B678" s="23">
        <v>34.133493000000001</v>
      </c>
      <c r="C678" s="23">
        <v>60.207541999999997</v>
      </c>
      <c r="D678" s="23">
        <v>21.949304000000001</v>
      </c>
      <c r="E678" s="23">
        <f>(B678 - D678)/($L$7 - D678)</f>
        <v>0.22094467543378851</v>
      </c>
      <c r="F678" s="23">
        <f t="shared" si="20"/>
        <v>-1.5098429462076943</v>
      </c>
      <c r="G678" s="23">
        <f>(C678 - D678)/($L$7 - D678)</f>
        <v>0.69376418714274968</v>
      </c>
      <c r="H678" s="23">
        <f t="shared" si="21"/>
        <v>-0.36562316419509483</v>
      </c>
      <c r="I678" s="23"/>
      <c r="J678" s="15"/>
      <c r="K678" s="15"/>
      <c r="L678" s="15"/>
      <c r="M678" s="15"/>
      <c r="N678" s="15"/>
      <c r="O678" s="15"/>
      <c r="P678" s="15"/>
      <c r="Q678" s="15"/>
    </row>
    <row r="679" spans="1:17">
      <c r="A679" s="14">
        <v>381.26400000000001</v>
      </c>
      <c r="B679" s="23">
        <v>34.116064999999999</v>
      </c>
      <c r="C679" s="23">
        <v>60.195377999999998</v>
      </c>
      <c r="D679" s="23">
        <v>21.956810000000001</v>
      </c>
      <c r="E679" s="23">
        <f>(B679 - D679)/($L$7 - D679)</f>
        <v>0.22052254495126949</v>
      </c>
      <c r="F679" s="23">
        <f t="shared" si="20"/>
        <v>-1.5117553446449079</v>
      </c>
      <c r="G679" s="23">
        <f>(C679 - D679)/($L$7 - D679)</f>
        <v>0.69350189058887057</v>
      </c>
      <c r="H679" s="23">
        <f t="shared" si="21"/>
        <v>-0.36600131307542155</v>
      </c>
      <c r="I679" s="23"/>
      <c r="J679" s="15"/>
      <c r="K679" s="15"/>
      <c r="L679" s="15"/>
      <c r="M679" s="15"/>
      <c r="N679" s="15"/>
      <c r="O679" s="15"/>
      <c r="P679" s="15"/>
      <c r="Q679" s="15"/>
    </row>
    <row r="680" spans="1:17">
      <c r="A680" s="14">
        <v>381.82799999999997</v>
      </c>
      <c r="B680" s="23">
        <v>34.077941000000003</v>
      </c>
      <c r="C680" s="23">
        <v>60.168866999999999</v>
      </c>
      <c r="D680" s="23">
        <v>21.961544</v>
      </c>
      <c r="E680" s="23">
        <f>(B680 - D680)/($L$7 - D680)</f>
        <v>0.21976413239669537</v>
      </c>
      <c r="F680" s="23">
        <f t="shared" si="20"/>
        <v>-1.5152004332369697</v>
      </c>
      <c r="G680" s="23">
        <f>(C680 - D680)/($L$7 - D680)</f>
        <v>0.69299472362083403</v>
      </c>
      <c r="H680" s="23">
        <f t="shared" si="21"/>
        <v>-0.36673289364396944</v>
      </c>
      <c r="I680" s="23"/>
      <c r="J680" s="15"/>
      <c r="K680" s="15"/>
      <c r="L680" s="15"/>
      <c r="M680" s="15"/>
      <c r="N680" s="15"/>
      <c r="O680" s="15"/>
      <c r="P680" s="15"/>
      <c r="Q680" s="15"/>
    </row>
    <row r="681" spans="1:17">
      <c r="A681" s="14">
        <v>382.392</v>
      </c>
      <c r="B681" s="23">
        <v>34.063656000000002</v>
      </c>
      <c r="C681" s="23">
        <v>60.155020999999998</v>
      </c>
      <c r="D681" s="23">
        <v>21.961718000000001</v>
      </c>
      <c r="E681" s="23">
        <f>(B681 - D681)/($L$7 - D681)</f>
        <v>0.21950257146893068</v>
      </c>
      <c r="F681" s="23">
        <f t="shared" si="20"/>
        <v>-1.5163913314151194</v>
      </c>
      <c r="G681" s="23">
        <f>(C681 - D681)/($L$7 - D681)</f>
        <v>0.69274261869396647</v>
      </c>
      <c r="H681" s="23">
        <f t="shared" si="21"/>
        <v>-0.36709675037489625</v>
      </c>
      <c r="I681" s="23"/>
      <c r="J681" s="15"/>
      <c r="K681" s="15"/>
      <c r="L681" s="15"/>
      <c r="M681" s="15"/>
      <c r="N681" s="15"/>
      <c r="O681" s="15"/>
      <c r="P681" s="15"/>
      <c r="Q681" s="15"/>
    </row>
    <row r="682" spans="1:17">
      <c r="A682" s="14">
        <v>382.95600000000002</v>
      </c>
      <c r="B682" s="23">
        <v>34.028512999999997</v>
      </c>
      <c r="C682" s="23">
        <v>60.138038000000002</v>
      </c>
      <c r="D682" s="23">
        <v>21.953923</v>
      </c>
      <c r="E682" s="23">
        <f>(B682 - D682)/($L$7 - D682)</f>
        <v>0.21897557914115964</v>
      </c>
      <c r="F682" s="23">
        <f t="shared" si="20"/>
        <v>-1.518795066154385</v>
      </c>
      <c r="G682" s="23">
        <f>(C682 - D682)/($L$7 - D682)</f>
        <v>0.69247806311581961</v>
      </c>
      <c r="H682" s="23">
        <f t="shared" si="21"/>
        <v>-0.36747871923348674</v>
      </c>
      <c r="I682" s="23"/>
      <c r="J682" s="15"/>
      <c r="K682" s="15"/>
      <c r="L682" s="15"/>
      <c r="M682" s="15"/>
      <c r="N682" s="15"/>
      <c r="O682" s="15"/>
      <c r="P682" s="15"/>
      <c r="Q682" s="15"/>
    </row>
    <row r="683" spans="1:17">
      <c r="A683" s="14">
        <v>383.52</v>
      </c>
      <c r="B683" s="23">
        <v>34.000512000000001</v>
      </c>
      <c r="C683" s="23">
        <v>60.114102000000003</v>
      </c>
      <c r="D683" s="23">
        <v>21.963737999999999</v>
      </c>
      <c r="E683" s="23">
        <f>(B683 - D683)/($L$7 - D683)</f>
        <v>0.2183286388559938</v>
      </c>
      <c r="F683" s="23">
        <f t="shared" si="20"/>
        <v>-1.521753833669083</v>
      </c>
      <c r="G683" s="23">
        <f>(C683 - D683)/($L$7 - D683)</f>
        <v>0.69198915290597851</v>
      </c>
      <c r="H683" s="23">
        <f t="shared" si="21"/>
        <v>-0.36818499847868197</v>
      </c>
      <c r="I683" s="23"/>
      <c r="J683" s="15"/>
      <c r="K683" s="15"/>
      <c r="L683" s="15"/>
      <c r="M683" s="15"/>
      <c r="N683" s="15"/>
      <c r="O683" s="15"/>
      <c r="P683" s="15"/>
      <c r="Q683" s="15"/>
    </row>
    <row r="684" spans="1:17">
      <c r="A684" s="14">
        <v>384.084</v>
      </c>
      <c r="B684" s="23">
        <v>33.971938999999999</v>
      </c>
      <c r="C684" s="23">
        <v>60.089998999999999</v>
      </c>
      <c r="D684" s="23">
        <v>21.961601999999999</v>
      </c>
      <c r="E684" s="23">
        <f>(B684 - D684)/($L$7 - D684)</f>
        <v>0.21784067221169587</v>
      </c>
      <c r="F684" s="23">
        <f t="shared" si="20"/>
        <v>-1.523991344816694</v>
      </c>
      <c r="G684" s="23">
        <f>(C684 - D684)/($L$7 - D684)</f>
        <v>0.69156391139019735</v>
      </c>
      <c r="H684" s="23">
        <f t="shared" si="21"/>
        <v>-0.36879970786734995</v>
      </c>
      <c r="I684" s="23"/>
      <c r="J684" s="15"/>
      <c r="K684" s="15"/>
      <c r="L684" s="15"/>
      <c r="M684" s="15"/>
      <c r="N684" s="15"/>
      <c r="O684" s="15"/>
      <c r="P684" s="15"/>
      <c r="Q684" s="15"/>
    </row>
    <row r="685" spans="1:17">
      <c r="A685" s="14">
        <v>384.64800000000002</v>
      </c>
      <c r="B685" s="23">
        <v>33.941364999999998</v>
      </c>
      <c r="C685" s="23">
        <v>60.076993999999999</v>
      </c>
      <c r="D685" s="23">
        <v>21.957560999999998</v>
      </c>
      <c r="E685" s="23">
        <f>(B685 - D685)/($L$7 - D685)</f>
        <v>0.21734349276016149</v>
      </c>
      <c r="F685" s="23">
        <f t="shared" si="20"/>
        <v>-1.5262762609871821</v>
      </c>
      <c r="G685" s="23">
        <f>(C685 - D685)/($L$7 - D685)</f>
        <v>0.69135065211822233</v>
      </c>
      <c r="H685" s="23">
        <f t="shared" si="21"/>
        <v>-0.36910812789457775</v>
      </c>
      <c r="I685" s="23"/>
      <c r="J685" s="15"/>
      <c r="K685" s="15"/>
      <c r="L685" s="15"/>
      <c r="M685" s="15"/>
      <c r="N685" s="15"/>
      <c r="O685" s="15"/>
      <c r="P685" s="15"/>
      <c r="Q685" s="15"/>
    </row>
    <row r="686" spans="1:17">
      <c r="A686" s="14">
        <v>385.21199999999999</v>
      </c>
      <c r="B686" s="23">
        <v>33.92765</v>
      </c>
      <c r="C686" s="23">
        <v>60.056252999999998</v>
      </c>
      <c r="D686" s="23">
        <v>21.967086999999999</v>
      </c>
      <c r="E686" s="23">
        <f>(B686 - D686)/($L$7 - D686)</f>
        <v>0.21695946743964453</v>
      </c>
      <c r="F686" s="23">
        <f t="shared" si="20"/>
        <v>-1.528044728880775</v>
      </c>
      <c r="G686" s="23">
        <f>(C686 - D686)/($L$7 - D686)</f>
        <v>0.69092108545226638</v>
      </c>
      <c r="H686" s="23">
        <f t="shared" si="21"/>
        <v>-0.36972966513376015</v>
      </c>
      <c r="I686" s="23"/>
      <c r="J686" s="15"/>
      <c r="K686" s="15"/>
      <c r="L686" s="15"/>
      <c r="M686" s="15"/>
      <c r="N686" s="15"/>
      <c r="O686" s="15"/>
      <c r="P686" s="15"/>
      <c r="Q686" s="15"/>
    </row>
    <row r="687" spans="1:17">
      <c r="A687" s="14">
        <v>385.77600000000001</v>
      </c>
      <c r="B687" s="23">
        <v>33.895806999999998</v>
      </c>
      <c r="C687" s="23">
        <v>60.038595999999998</v>
      </c>
      <c r="D687" s="23">
        <v>21.969107999999999</v>
      </c>
      <c r="E687" s="23">
        <f>(B687 - D687)/($L$7 - D687)</f>
        <v>0.21635312056845399</v>
      </c>
      <c r="F687" s="23">
        <f t="shared" si="20"/>
        <v>-1.5308433887108313</v>
      </c>
      <c r="G687" s="23">
        <f>(C687 - D687)/($L$7 - D687)</f>
        <v>0.69058945205570399</v>
      </c>
      <c r="H687" s="23">
        <f t="shared" si="21"/>
        <v>-0.37020976773729253</v>
      </c>
      <c r="I687" s="23"/>
      <c r="J687" s="15"/>
      <c r="K687" s="15"/>
      <c r="L687" s="15"/>
      <c r="M687" s="15"/>
      <c r="N687" s="15"/>
      <c r="O687" s="15"/>
      <c r="P687" s="15"/>
      <c r="Q687" s="15"/>
    </row>
    <row r="688" spans="1:17">
      <c r="A688" s="14">
        <v>386.34</v>
      </c>
      <c r="B688" s="23">
        <v>33.870660999999998</v>
      </c>
      <c r="C688" s="23">
        <v>60.013930999999999</v>
      </c>
      <c r="D688" s="23">
        <v>21.965066</v>
      </c>
      <c r="E688" s="23">
        <f>(B688 - D688)/($L$7 - D688)</f>
        <v>0.21595445466108179</v>
      </c>
      <c r="F688" s="23">
        <f t="shared" si="20"/>
        <v>-1.5326877515822035</v>
      </c>
      <c r="G688" s="23">
        <f>(C688 - D688)/($L$7 - D688)</f>
        <v>0.69016474116145587</v>
      </c>
      <c r="H688" s="23">
        <f t="shared" si="21"/>
        <v>-0.37082495458188652</v>
      </c>
      <c r="I688" s="23"/>
      <c r="J688" s="15"/>
      <c r="K688" s="15"/>
      <c r="L688" s="15"/>
      <c r="M688" s="15"/>
      <c r="N688" s="15"/>
      <c r="O688" s="15"/>
      <c r="P688" s="15"/>
      <c r="Q688" s="15"/>
    </row>
    <row r="689" spans="1:17">
      <c r="A689" s="14">
        <v>386.904</v>
      </c>
      <c r="B689" s="23">
        <v>33.845227999999999</v>
      </c>
      <c r="C689" s="23">
        <v>59.997112999999999</v>
      </c>
      <c r="D689" s="23">
        <v>21.970262999999999</v>
      </c>
      <c r="E689" s="23">
        <f>(B689 - D689)/($L$7 - D689)</f>
        <v>0.21541916711611553</v>
      </c>
      <c r="F689" s="23">
        <f t="shared" si="20"/>
        <v>-1.5351695343926972</v>
      </c>
      <c r="G689" s="23">
        <f>(C689 - D689)/($L$7 - D689)</f>
        <v>0.68983044203073085</v>
      </c>
      <c r="H689" s="23">
        <f t="shared" si="21"/>
        <v>-0.37130944777626274</v>
      </c>
      <c r="I689" s="23"/>
      <c r="J689" s="15"/>
      <c r="K689" s="15"/>
      <c r="L689" s="15"/>
      <c r="M689" s="15"/>
      <c r="N689" s="15"/>
      <c r="O689" s="15"/>
      <c r="P689" s="15"/>
      <c r="Q689" s="15"/>
    </row>
    <row r="690" spans="1:17">
      <c r="A690" s="14">
        <v>387.46800000000002</v>
      </c>
      <c r="B690" s="23">
        <v>33.818652</v>
      </c>
      <c r="C690" s="23">
        <v>59.971606999999999</v>
      </c>
      <c r="D690" s="23">
        <v>21.972168</v>
      </c>
      <c r="E690" s="23">
        <f>(B690 - D690)/($L$7 - D690)</f>
        <v>0.21490993109266984</v>
      </c>
      <c r="F690" s="23">
        <f t="shared" si="20"/>
        <v>-1.5375362637785024</v>
      </c>
      <c r="G690" s="23">
        <f>(C690 - D690)/($L$7 - D690)</f>
        <v>0.68935701234645741</v>
      </c>
      <c r="H690" s="23">
        <f t="shared" si="21"/>
        <v>-0.37199598201258571</v>
      </c>
      <c r="I690" s="23"/>
      <c r="J690" s="15"/>
      <c r="K690" s="15"/>
      <c r="L690" s="15"/>
      <c r="M690" s="15"/>
      <c r="N690" s="15"/>
      <c r="O690" s="15"/>
      <c r="P690" s="15"/>
      <c r="Q690" s="15"/>
    </row>
    <row r="691" spans="1:17">
      <c r="A691" s="14">
        <v>388.03199999999998</v>
      </c>
      <c r="B691" s="23">
        <v>33.798932999999998</v>
      </c>
      <c r="C691" s="23">
        <v>59.961796999999997</v>
      </c>
      <c r="D691" s="23">
        <v>21.967838</v>
      </c>
      <c r="E691" s="23">
        <f>(B691 - D691)/($L$7 - D691)</f>
        <v>0.21461389726202679</v>
      </c>
      <c r="F691" s="23">
        <f t="shared" si="20"/>
        <v>-1.5389146919725825</v>
      </c>
      <c r="G691" s="23">
        <f>(C691 - D691)/($L$7 - D691)</f>
        <v>0.68920346032245194</v>
      </c>
      <c r="H691" s="23">
        <f t="shared" si="21"/>
        <v>-0.37221875355969564</v>
      </c>
      <c r="I691" s="23"/>
      <c r="J691" s="15"/>
      <c r="K691" s="15"/>
      <c r="L691" s="15"/>
      <c r="M691" s="15"/>
      <c r="N691" s="15"/>
      <c r="O691" s="15"/>
      <c r="P691" s="15"/>
      <c r="Q691" s="15"/>
    </row>
    <row r="692" spans="1:17">
      <c r="A692" s="14">
        <v>388.596</v>
      </c>
      <c r="B692" s="23">
        <v>33.776929000000003</v>
      </c>
      <c r="C692" s="23">
        <v>59.949630999999997</v>
      </c>
      <c r="D692" s="23">
        <v>21.974478000000001</v>
      </c>
      <c r="E692" s="23">
        <f>(B692 - D692)/($L$7 - D692)</f>
        <v>0.21412009076516222</v>
      </c>
      <c r="F692" s="23">
        <f t="shared" si="20"/>
        <v>-1.5412182495584745</v>
      </c>
      <c r="G692" s="23">
        <f>(C692 - D692)/($L$7 - D692)</f>
        <v>0.68894530527438069</v>
      </c>
      <c r="H692" s="23">
        <f t="shared" si="21"/>
        <v>-0.37259339388523249</v>
      </c>
      <c r="I692" s="23"/>
      <c r="J692" s="15"/>
      <c r="K692" s="15"/>
      <c r="L692" s="15"/>
      <c r="M692" s="15"/>
      <c r="N692" s="15"/>
      <c r="O692" s="15"/>
      <c r="P692" s="15"/>
      <c r="Q692" s="15"/>
    </row>
    <row r="693" spans="1:17">
      <c r="A693" s="14">
        <v>389.16</v>
      </c>
      <c r="B693" s="23">
        <v>33.746797000000001</v>
      </c>
      <c r="C693" s="23">
        <v>59.925358000000003</v>
      </c>
      <c r="D693" s="23">
        <v>21.970839999999999</v>
      </c>
      <c r="E693" s="23">
        <f>(B693 - D693)/($L$7 - D693)</f>
        <v>0.21362533716046267</v>
      </c>
      <c r="F693" s="23">
        <f t="shared" si="20"/>
        <v>-1.5435315592657661</v>
      </c>
      <c r="G693" s="23">
        <f>(C693 - D693)/($L$7 - D693)</f>
        <v>0.68852550196241791</v>
      </c>
      <c r="H693" s="23">
        <f t="shared" si="21"/>
        <v>-0.37320292161206997</v>
      </c>
      <c r="I693" s="23"/>
      <c r="J693" s="15"/>
      <c r="K693" s="15"/>
      <c r="L693" s="15"/>
      <c r="M693" s="15"/>
      <c r="N693" s="15"/>
      <c r="O693" s="15"/>
      <c r="P693" s="15"/>
      <c r="Q693" s="15"/>
    </row>
    <row r="694" spans="1:17">
      <c r="A694" s="14">
        <v>389.72399999999999</v>
      </c>
      <c r="B694" s="23">
        <v>33.724791000000003</v>
      </c>
      <c r="C694" s="23">
        <v>59.906576999999999</v>
      </c>
      <c r="D694" s="23">
        <v>21.973611999999999</v>
      </c>
      <c r="E694" s="23">
        <f>(B694 - D694)/($L$7 - D694)</f>
        <v>0.21318656466522537</v>
      </c>
      <c r="F694" s="23">
        <f t="shared" si="20"/>
        <v>-1.5455876061938394</v>
      </c>
      <c r="G694" s="23">
        <f>(C694 - D694)/($L$7 - D694)</f>
        <v>0.68816911868300423</v>
      </c>
      <c r="H694" s="23">
        <f t="shared" si="21"/>
        <v>-0.37372065921637232</v>
      </c>
      <c r="I694" s="23"/>
      <c r="J694" s="15"/>
      <c r="K694" s="15"/>
      <c r="L694" s="15"/>
      <c r="M694" s="15"/>
      <c r="N694" s="15"/>
      <c r="O694" s="15"/>
      <c r="P694" s="15"/>
      <c r="Q694" s="15"/>
    </row>
    <row r="695" spans="1:17">
      <c r="A695" s="14">
        <v>390.28800000000001</v>
      </c>
      <c r="B695" s="23">
        <v>33.702213</v>
      </c>
      <c r="C695" s="23">
        <v>59.888077000000003</v>
      </c>
      <c r="D695" s="23">
        <v>21.969280999999999</v>
      </c>
      <c r="E695" s="23">
        <f>(B695 - D695)/($L$7 - D695)</f>
        <v>0.21283880963042695</v>
      </c>
      <c r="F695" s="23">
        <f t="shared" si="20"/>
        <v>-1.5472201620603103</v>
      </c>
      <c r="G695" s="23">
        <f>(C695 - D695)/($L$7 - D695)</f>
        <v>0.68785802246693273</v>
      </c>
      <c r="H695" s="23">
        <f t="shared" si="21"/>
        <v>-0.37417282503791555</v>
      </c>
      <c r="I695" s="23"/>
      <c r="J695" s="15"/>
      <c r="K695" s="15"/>
      <c r="L695" s="15"/>
      <c r="M695" s="15"/>
      <c r="N695" s="15"/>
      <c r="O695" s="15"/>
      <c r="P695" s="15"/>
      <c r="Q695" s="15"/>
    </row>
    <row r="696" spans="1:17">
      <c r="A696" s="14">
        <v>390.85199999999998</v>
      </c>
      <c r="B696" s="23">
        <v>33.667059999999999</v>
      </c>
      <c r="C696" s="23">
        <v>59.876584000000001</v>
      </c>
      <c r="D696" s="23">
        <v>21.971591</v>
      </c>
      <c r="E696" s="23">
        <f>(B696 - D696)/($L$7 - D696)</f>
        <v>0.21216811058857826</v>
      </c>
      <c r="F696" s="23">
        <f t="shared" si="20"/>
        <v>-1.5503763440738465</v>
      </c>
      <c r="G696" s="23">
        <f>(C696 - D696)/($L$7 - D696)</f>
        <v>0.68763644678834912</v>
      </c>
      <c r="H696" s="23">
        <f t="shared" si="21"/>
        <v>-0.37449500107780925</v>
      </c>
      <c r="I696" s="23"/>
      <c r="J696" s="15"/>
      <c r="K696" s="15"/>
      <c r="L696" s="15"/>
      <c r="M696" s="15"/>
      <c r="N696" s="15"/>
      <c r="O696" s="15"/>
      <c r="P696" s="15"/>
      <c r="Q696" s="15"/>
    </row>
    <row r="697" spans="1:17">
      <c r="A697" s="14">
        <v>391.416</v>
      </c>
      <c r="B697" s="23">
        <v>33.641050999999997</v>
      </c>
      <c r="C697" s="23">
        <v>59.857242999999997</v>
      </c>
      <c r="D697" s="23">
        <v>21.973323000000001</v>
      </c>
      <c r="E697" s="23">
        <f>(B697 - D697)/($L$7 - D697)</f>
        <v>0.21167151044949256</v>
      </c>
      <c r="F697" s="23">
        <f t="shared" si="20"/>
        <v>-1.5527196850060394</v>
      </c>
      <c r="G697" s="23">
        <f>(C697 - D697)/($L$7 - D697)</f>
        <v>0.68727575481256864</v>
      </c>
      <c r="H697" s="23">
        <f t="shared" si="21"/>
        <v>-0.37501967746606873</v>
      </c>
      <c r="I697" s="23"/>
      <c r="J697" s="15"/>
      <c r="K697" s="15"/>
      <c r="L697" s="15"/>
      <c r="M697" s="15"/>
      <c r="N697" s="15"/>
      <c r="O697" s="15"/>
      <c r="P697" s="15"/>
      <c r="Q697" s="15"/>
    </row>
    <row r="698" spans="1:17">
      <c r="A698" s="14">
        <v>391.98</v>
      </c>
      <c r="B698" s="23">
        <v>33.622473999999997</v>
      </c>
      <c r="C698" s="23">
        <v>59.834536999999997</v>
      </c>
      <c r="D698" s="23">
        <v>21.967838</v>
      </c>
      <c r="E698" s="23">
        <f>(B698 - D698)/($L$7 - D698)</f>
        <v>0.2114129633081569</v>
      </c>
      <c r="F698" s="23">
        <f t="shared" si="20"/>
        <v>-1.5539418861954315</v>
      </c>
      <c r="G698" s="23">
        <f>(C698 - D698)/($L$7 - D698)</f>
        <v>0.68689498722122455</v>
      </c>
      <c r="H698" s="23">
        <f t="shared" si="21"/>
        <v>-0.37557385547239919</v>
      </c>
      <c r="I698" s="23"/>
      <c r="J698" s="15"/>
      <c r="K698" s="15"/>
      <c r="L698" s="15"/>
      <c r="M698" s="15"/>
      <c r="N698" s="15"/>
      <c r="O698" s="15"/>
      <c r="P698" s="15"/>
      <c r="Q698" s="15"/>
    </row>
    <row r="699" spans="1:17">
      <c r="A699" s="14">
        <v>392.54399999999998</v>
      </c>
      <c r="B699" s="23">
        <v>33.590176</v>
      </c>
      <c r="C699" s="23">
        <v>59.824725999999998</v>
      </c>
      <c r="D699" s="23">
        <v>21.977653</v>
      </c>
      <c r="E699" s="23">
        <f>(B699 - D699)/($L$7 - D699)</f>
        <v>0.21068655231720912</v>
      </c>
      <c r="F699" s="23">
        <f t="shared" si="20"/>
        <v>-1.5573837840474114</v>
      </c>
      <c r="G699" s="23">
        <f>(C699 - D699)/($L$7 - D699)</f>
        <v>0.68666122992115775</v>
      </c>
      <c r="H699" s="23">
        <f t="shared" si="21"/>
        <v>-0.37591422348851122</v>
      </c>
      <c r="I699" s="23"/>
      <c r="J699" s="15"/>
      <c r="K699" s="15"/>
      <c r="L699" s="15"/>
      <c r="M699" s="15"/>
      <c r="N699" s="15"/>
      <c r="O699" s="15"/>
      <c r="P699" s="15"/>
      <c r="Q699" s="15"/>
    </row>
    <row r="700" spans="1:17">
      <c r="A700" s="14">
        <v>393.108</v>
      </c>
      <c r="B700" s="23">
        <v>33.567470999999998</v>
      </c>
      <c r="C700" s="23">
        <v>59.805830999999998</v>
      </c>
      <c r="D700" s="23">
        <v>21.976209999999998</v>
      </c>
      <c r="E700" s="23">
        <f>(B700 - D700)/($L$7 - D700)</f>
        <v>0.21029528923033691</v>
      </c>
      <c r="F700" s="23">
        <f t="shared" si="20"/>
        <v>-1.5592425967605255</v>
      </c>
      <c r="G700" s="23">
        <f>(C700 - D700)/($L$7 - D700)</f>
        <v>0.68632662914492459</v>
      </c>
      <c r="H700" s="23">
        <f t="shared" si="21"/>
        <v>-0.37640162879315076</v>
      </c>
      <c r="I700" s="23"/>
      <c r="J700" s="15"/>
      <c r="K700" s="15"/>
      <c r="L700" s="15"/>
      <c r="M700" s="15"/>
      <c r="N700" s="15"/>
      <c r="O700" s="15"/>
      <c r="P700" s="15"/>
      <c r="Q700" s="15"/>
    </row>
    <row r="701" spans="1:17">
      <c r="A701" s="14">
        <v>393.67200000000003</v>
      </c>
      <c r="B701" s="23">
        <v>33.544032999999999</v>
      </c>
      <c r="C701" s="23">
        <v>59.778640000000003</v>
      </c>
      <c r="D701" s="23">
        <v>21.973611999999999</v>
      </c>
      <c r="E701" s="23">
        <f>(B701 - D701)/($L$7 - D701)</f>
        <v>0.20990730417095854</v>
      </c>
      <c r="F701" s="23">
        <f t="shared" si="20"/>
        <v>-1.5610892544238919</v>
      </c>
      <c r="G701" s="23">
        <f>(C701 - D701)/($L$7 - D701)</f>
        <v>0.68584812182612942</v>
      </c>
      <c r="H701" s="23">
        <f t="shared" si="21"/>
        <v>-0.3770990725230447</v>
      </c>
      <c r="I701" s="23"/>
      <c r="J701" s="15"/>
      <c r="K701" s="15"/>
      <c r="L701" s="15"/>
      <c r="M701" s="15"/>
      <c r="N701" s="15"/>
      <c r="O701" s="15"/>
      <c r="P701" s="15"/>
      <c r="Q701" s="15"/>
    </row>
    <row r="702" spans="1:17">
      <c r="A702" s="14">
        <v>394.23599999999999</v>
      </c>
      <c r="B702" s="23">
        <v>33.510876000000003</v>
      </c>
      <c r="C702" s="23">
        <v>59.760697999999998</v>
      </c>
      <c r="D702" s="23">
        <v>21.968703999999999</v>
      </c>
      <c r="E702" s="23">
        <f>(B702 - D702)/($L$7 - D702)</f>
        <v>0.20937617604548037</v>
      </c>
      <c r="F702" s="23">
        <f t="shared" si="20"/>
        <v>-1.5636227594849434</v>
      </c>
      <c r="G702" s="23">
        <f>(C702 - D702)/($L$7 - D702)</f>
        <v>0.68555062156877711</v>
      </c>
      <c r="H702" s="23">
        <f t="shared" si="21"/>
        <v>-0.37753293650819403</v>
      </c>
      <c r="I702" s="23"/>
      <c r="J702" s="15"/>
      <c r="K702" s="15"/>
      <c r="L702" s="15"/>
      <c r="M702" s="15"/>
      <c r="N702" s="15"/>
      <c r="O702" s="15"/>
      <c r="P702" s="15"/>
      <c r="Q702" s="15"/>
    </row>
    <row r="703" spans="1:17">
      <c r="A703" s="14">
        <v>394.8</v>
      </c>
      <c r="B703" s="23">
        <v>33.487723000000003</v>
      </c>
      <c r="C703" s="23">
        <v>59.739113000000003</v>
      </c>
      <c r="D703" s="23">
        <v>21.966394999999999</v>
      </c>
      <c r="E703" s="23">
        <f>(B703 - D703)/($L$7 - D703)</f>
        <v>0.2089893101410478</v>
      </c>
      <c r="F703" s="23">
        <f t="shared" si="20"/>
        <v>-1.5654721759759007</v>
      </c>
      <c r="G703" s="23">
        <f>(C703 - D703)/($L$7 - D703)</f>
        <v>0.68517225418565786</v>
      </c>
      <c r="H703" s="23">
        <f t="shared" si="21"/>
        <v>-0.37808500636771386</v>
      </c>
      <c r="I703" s="23"/>
      <c r="J703" s="15"/>
      <c r="K703" s="15"/>
      <c r="L703" s="15"/>
      <c r="M703" s="15"/>
      <c r="N703" s="15"/>
      <c r="O703" s="15"/>
      <c r="P703" s="15"/>
      <c r="Q703" s="15"/>
    </row>
    <row r="704" spans="1:17">
      <c r="A704" s="14">
        <v>395.36399999999998</v>
      </c>
      <c r="B704" s="23">
        <v>33.459708999999997</v>
      </c>
      <c r="C704" s="23">
        <v>59.728740000000002</v>
      </c>
      <c r="D704" s="23">
        <v>21.970725000000002</v>
      </c>
      <c r="E704" s="23">
        <f>(B704 - D704)/($L$7 - D704)</f>
        <v>0.20841898118514021</v>
      </c>
      <c r="F704" s="23">
        <f t="shared" si="20"/>
        <v>-1.5682048927076067</v>
      </c>
      <c r="G704" s="23">
        <f>(C704 - D704)/($L$7 - D704)</f>
        <v>0.68495935044153999</v>
      </c>
      <c r="H704" s="23">
        <f t="shared" si="21"/>
        <v>-0.37839578490185238</v>
      </c>
      <c r="I704" s="23"/>
      <c r="J704" s="15"/>
      <c r="K704" s="15"/>
      <c r="L704" s="15"/>
      <c r="M704" s="15"/>
      <c r="N704" s="15"/>
      <c r="O704" s="15"/>
      <c r="P704" s="15"/>
      <c r="Q704" s="15"/>
    </row>
    <row r="705" spans="1:17">
      <c r="A705" s="14">
        <v>395.928</v>
      </c>
      <c r="B705" s="23">
        <v>33.443415999999999</v>
      </c>
      <c r="C705" s="23">
        <v>59.705190999999999</v>
      </c>
      <c r="D705" s="23">
        <v>21.961487000000002</v>
      </c>
      <c r="E705" s="23">
        <f>(B705 - D705)/($L$7 - D705)</f>
        <v>0.20825609760012653</v>
      </c>
      <c r="F705" s="23">
        <f t="shared" si="20"/>
        <v>-1.568986718171157</v>
      </c>
      <c r="G705" s="23">
        <f>(C705 - D705)/($L$7 - D705)</f>
        <v>0.68458501215381906</v>
      </c>
      <c r="H705" s="23">
        <f t="shared" si="21"/>
        <v>-0.37894244597726839</v>
      </c>
      <c r="I705" s="23"/>
      <c r="J705" s="15"/>
      <c r="K705" s="15"/>
      <c r="L705" s="15"/>
      <c r="M705" s="15"/>
      <c r="N705" s="15"/>
      <c r="O705" s="15"/>
      <c r="P705" s="15"/>
      <c r="Q705" s="15"/>
    </row>
    <row r="706" spans="1:17">
      <c r="A706" s="14">
        <v>396.49200000000002</v>
      </c>
      <c r="B706" s="23">
        <v>33.408541</v>
      </c>
      <c r="C706" s="23">
        <v>59.690613999999997</v>
      </c>
      <c r="D706" s="23">
        <v>21.965990999999999</v>
      </c>
      <c r="E706" s="23">
        <f>(B706 - D706)/($L$7 - D706)</f>
        <v>0.20755880799638016</v>
      </c>
      <c r="F706" s="23">
        <f t="shared" si="20"/>
        <v>-1.5723405674342394</v>
      </c>
      <c r="G706" s="23">
        <f>(C706 - D706)/($L$7 - D706)</f>
        <v>0.68429482781310336</v>
      </c>
      <c r="H706" s="23">
        <f t="shared" si="21"/>
        <v>-0.37936641941392812</v>
      </c>
      <c r="I706" s="23"/>
      <c r="J706" s="15"/>
      <c r="K706" s="15"/>
      <c r="L706" s="15"/>
      <c r="M706" s="15"/>
      <c r="N706" s="15"/>
      <c r="O706" s="15"/>
      <c r="P706" s="15"/>
      <c r="Q706" s="15"/>
    </row>
    <row r="707" spans="1:17">
      <c r="A707" s="14">
        <v>397.05599999999998</v>
      </c>
      <c r="B707" s="23">
        <v>33.390120000000003</v>
      </c>
      <c r="C707" s="23">
        <v>59.677717999999999</v>
      </c>
      <c r="D707" s="23">
        <v>21.963393</v>
      </c>
      <c r="E707" s="23">
        <f>(B707 - D707)/($L$7 - D707)</f>
        <v>0.20726202392873389</v>
      </c>
      <c r="F707" s="23">
        <f t="shared" si="20"/>
        <v>-1.5737714701056762</v>
      </c>
      <c r="G707" s="23">
        <f>(C707 - D707)/($L$7 - D707)</f>
        <v>0.68407579271002483</v>
      </c>
      <c r="H707" s="23">
        <f t="shared" si="21"/>
        <v>-0.37968655944275387</v>
      </c>
      <c r="I707" s="23"/>
      <c r="J707" s="15"/>
      <c r="K707" s="15"/>
      <c r="L707" s="15"/>
      <c r="M707" s="15"/>
      <c r="N707" s="15"/>
      <c r="O707" s="15"/>
      <c r="P707" s="15"/>
      <c r="Q707" s="15"/>
    </row>
    <row r="708" spans="1:17">
      <c r="A708" s="14">
        <v>397.62</v>
      </c>
      <c r="B708" s="23">
        <v>33.364677999999998</v>
      </c>
      <c r="C708" s="23">
        <v>59.653213999999998</v>
      </c>
      <c r="D708" s="23">
        <v>21.967838</v>
      </c>
      <c r="E708" s="23">
        <f>(B708 - D708)/($L$7 - D708)</f>
        <v>0.2067365910654726</v>
      </c>
      <c r="F708" s="23">
        <f t="shared" ref="F708:F771" si="22">LN(E708)</f>
        <v>-1.5763098029712976</v>
      </c>
      <c r="G708" s="23">
        <f>(C708 - D708)/($L$7 - D708)</f>
        <v>0.68360582119785629</v>
      </c>
      <c r="H708" s="23">
        <f t="shared" ref="H708:H771" si="23">LN(G708)</f>
        <v>-0.3803738122739499</v>
      </c>
      <c r="I708" s="23"/>
      <c r="J708" s="15"/>
      <c r="K708" s="15"/>
      <c r="L708" s="15"/>
      <c r="M708" s="15"/>
      <c r="N708" s="15"/>
      <c r="O708" s="15"/>
      <c r="P708" s="15"/>
      <c r="Q708" s="15"/>
    </row>
    <row r="709" spans="1:17">
      <c r="A709" s="14">
        <v>398.18400000000003</v>
      </c>
      <c r="B709" s="23">
        <v>33.334946000000002</v>
      </c>
      <c r="C709" s="23">
        <v>59.628543000000001</v>
      </c>
      <c r="D709" s="23">
        <v>21.957908</v>
      </c>
      <c r="E709" s="23">
        <f>(B709 - D709)/($L$7 - D709)</f>
        <v>0.20634021868108912</v>
      </c>
      <c r="F709" s="23">
        <f t="shared" si="22"/>
        <v>-1.5782289255009838</v>
      </c>
      <c r="G709" s="23">
        <f>(C709 - D709)/($L$7 - D709)</f>
        <v>0.68321535568005387</v>
      </c>
      <c r="H709" s="23">
        <f t="shared" si="23"/>
        <v>-0.38094516064786993</v>
      </c>
      <c r="I709" s="23"/>
      <c r="J709" s="15"/>
      <c r="K709" s="15"/>
      <c r="L709" s="15"/>
      <c r="M709" s="15"/>
      <c r="N709" s="15"/>
      <c r="O709" s="15"/>
      <c r="P709" s="15"/>
      <c r="Q709" s="15"/>
    </row>
    <row r="710" spans="1:17">
      <c r="A710" s="14">
        <v>398.74799999999999</v>
      </c>
      <c r="B710" s="23">
        <v>33.312075</v>
      </c>
      <c r="C710" s="23">
        <v>59.617047999999997</v>
      </c>
      <c r="D710" s="23">
        <v>21.954732</v>
      </c>
      <c r="E710" s="23">
        <f>(B710 - D710)/($L$7 - D710)</f>
        <v>0.20597115504344596</v>
      </c>
      <c r="F710" s="23">
        <f t="shared" si="22"/>
        <v>-1.580019144057782</v>
      </c>
      <c r="G710" s="23">
        <f>(C710 - D710)/($L$7 - D710)</f>
        <v>0.68302513432334089</v>
      </c>
      <c r="H710" s="23">
        <f t="shared" si="23"/>
        <v>-0.38122362020068506</v>
      </c>
      <c r="I710" s="23"/>
      <c r="J710" s="15"/>
      <c r="K710" s="15"/>
      <c r="L710" s="15"/>
      <c r="M710" s="15"/>
      <c r="N710" s="15"/>
      <c r="O710" s="15"/>
      <c r="P710" s="15"/>
      <c r="Q710" s="15"/>
    </row>
    <row r="711" spans="1:17">
      <c r="A711" s="14">
        <v>399.31200000000001</v>
      </c>
      <c r="B711" s="23">
        <v>33.28463</v>
      </c>
      <c r="C711" s="23">
        <v>59.590693999999999</v>
      </c>
      <c r="D711" s="23">
        <v>21.959524999999999</v>
      </c>
      <c r="E711" s="23">
        <f>(B711 - D711)/($L$7 - D711)</f>
        <v>0.20540435708207072</v>
      </c>
      <c r="F711" s="23">
        <f t="shared" si="22"/>
        <v>-1.5827747690443554</v>
      </c>
      <c r="G711" s="23">
        <f>(C711 - D711)/($L$7 - D711)</f>
        <v>0.68251959471384593</v>
      </c>
      <c r="H711" s="23">
        <f t="shared" si="23"/>
        <v>-0.38196404213171498</v>
      </c>
      <c r="I711" s="23"/>
      <c r="J711" s="15"/>
      <c r="K711" s="15"/>
      <c r="L711" s="15"/>
      <c r="M711" s="15"/>
      <c r="N711" s="15"/>
      <c r="O711" s="15"/>
      <c r="P711" s="15"/>
      <c r="Q711" s="15"/>
    </row>
    <row r="712" spans="1:17">
      <c r="A712" s="14">
        <v>399.87599999999998</v>
      </c>
      <c r="B712" s="23">
        <v>33.260328999999999</v>
      </c>
      <c r="C712" s="23">
        <v>59.574432999999999</v>
      </c>
      <c r="D712" s="23">
        <v>21.958659000000001</v>
      </c>
      <c r="E712" s="23">
        <f>(B712 - D712)/($L$7 - D712)</f>
        <v>0.20497609506670592</v>
      </c>
      <c r="F712" s="23">
        <f t="shared" si="22"/>
        <v>-1.58486191607384</v>
      </c>
      <c r="G712" s="23">
        <f>(C712 - D712)/($L$7 - D712)</f>
        <v>0.68222965875235486</v>
      </c>
      <c r="H712" s="23">
        <f t="shared" si="23"/>
        <v>-0.38238893478524327</v>
      </c>
      <c r="I712" s="23"/>
      <c r="J712" s="15"/>
      <c r="K712" s="15"/>
      <c r="L712" s="15"/>
      <c r="M712" s="15"/>
      <c r="N712" s="15"/>
      <c r="O712" s="15"/>
      <c r="P712" s="15"/>
      <c r="Q712" s="15"/>
    </row>
    <row r="713" spans="1:17">
      <c r="A713" s="14">
        <v>400.44</v>
      </c>
      <c r="B713" s="23">
        <v>33.231327999999998</v>
      </c>
      <c r="C713" s="23">
        <v>59.546956999999999</v>
      </c>
      <c r="D713" s="23">
        <v>21.965586999999999</v>
      </c>
      <c r="E713" s="23">
        <f>(B713 - D713)/($L$7 - D713)</f>
        <v>0.20435013503363228</v>
      </c>
      <c r="F713" s="23">
        <f t="shared" si="22"/>
        <v>-1.5879204081762175</v>
      </c>
      <c r="G713" s="23">
        <f>(C713 - D713)/($L$7 - D713)</f>
        <v>0.68169133608245547</v>
      </c>
      <c r="H713" s="23">
        <f t="shared" si="23"/>
        <v>-0.38317830997616859</v>
      </c>
      <c r="I713" s="23"/>
      <c r="J713" s="15"/>
      <c r="K713" s="15"/>
      <c r="L713" s="15"/>
      <c r="M713" s="15"/>
      <c r="N713" s="15"/>
      <c r="O713" s="15"/>
      <c r="P713" s="15"/>
      <c r="Q713" s="15"/>
    </row>
    <row r="714" spans="1:17">
      <c r="A714" s="14">
        <v>401.00400000000002</v>
      </c>
      <c r="B714" s="23">
        <v>33.209722999999997</v>
      </c>
      <c r="C714" s="23">
        <v>59.542751000000003</v>
      </c>
      <c r="D714" s="23">
        <v>21.963854999999999</v>
      </c>
      <c r="E714" s="23">
        <f>(B714 - D714)/($L$7 - D714)</f>
        <v>0.20398324865401848</v>
      </c>
      <c r="F714" s="23">
        <f t="shared" si="22"/>
        <v>-1.5897174029505818</v>
      </c>
      <c r="G714" s="23">
        <f>(C714 - D714)/($L$7 - D714)</f>
        <v>0.68162504547550284</v>
      </c>
      <c r="H714" s="23">
        <f t="shared" si="23"/>
        <v>-0.38327555901960653</v>
      </c>
      <c r="I714" s="23"/>
      <c r="J714" s="15"/>
      <c r="K714" s="15"/>
      <c r="L714" s="15"/>
      <c r="M714" s="15"/>
      <c r="N714" s="15"/>
      <c r="O714" s="15"/>
      <c r="P714" s="15"/>
      <c r="Q714" s="15"/>
    </row>
    <row r="715" spans="1:17">
      <c r="A715" s="14">
        <v>401.56799999999998</v>
      </c>
      <c r="B715" s="23">
        <v>33.191014000000003</v>
      </c>
      <c r="C715" s="23">
        <v>59.520321000000003</v>
      </c>
      <c r="D715" s="23">
        <v>21.957504</v>
      </c>
      <c r="E715" s="23">
        <f>(B715 - D715)/($L$7 - D715)</f>
        <v>0.20373562312612276</v>
      </c>
      <c r="F715" s="23">
        <f t="shared" si="22"/>
        <v>-1.5909320906949165</v>
      </c>
      <c r="G715" s="23">
        <f>(C715 - D715)/($L$7 - D715)</f>
        <v>0.68125491746279798</v>
      </c>
      <c r="H715" s="23">
        <f t="shared" si="23"/>
        <v>-0.38381871473671958</v>
      </c>
      <c r="I715" s="23"/>
      <c r="J715" s="15"/>
      <c r="K715" s="15"/>
      <c r="L715" s="15"/>
      <c r="M715" s="15"/>
      <c r="N715" s="15"/>
      <c r="O715" s="15"/>
      <c r="P715" s="15"/>
      <c r="Q715" s="15"/>
    </row>
    <row r="716" spans="1:17">
      <c r="A716" s="14">
        <v>402.13200000000001</v>
      </c>
      <c r="B716" s="23">
        <v>33.157276000000003</v>
      </c>
      <c r="C716" s="23">
        <v>59.499012</v>
      </c>
      <c r="D716" s="23">
        <v>21.958081</v>
      </c>
      <c r="E716" s="23">
        <f>(B716 - D716)/($L$7 - D716)</f>
        <v>0.20311539751679025</v>
      </c>
      <c r="F716" s="23">
        <f t="shared" si="22"/>
        <v>-1.5939810007790689</v>
      </c>
      <c r="G716" s="23">
        <f>(C716 - D716)/($L$7 - D716)</f>
        <v>0.68086510889536189</v>
      </c>
      <c r="H716" s="23">
        <f t="shared" si="23"/>
        <v>-0.38439107043303777</v>
      </c>
      <c r="I716" s="23"/>
      <c r="J716" s="15"/>
      <c r="K716" s="15"/>
      <c r="L716" s="15"/>
      <c r="M716" s="15"/>
      <c r="N716" s="15"/>
      <c r="O716" s="15"/>
      <c r="P716" s="15"/>
      <c r="Q716" s="15"/>
    </row>
    <row r="717" spans="1:17">
      <c r="A717" s="14">
        <v>402.69600000000003</v>
      </c>
      <c r="B717" s="23">
        <v>33.133257999999998</v>
      </c>
      <c r="C717" s="23">
        <v>59.481347999999997</v>
      </c>
      <c r="D717" s="23">
        <v>21.968184999999998</v>
      </c>
      <c r="E717" s="23">
        <f>(B717 - D717)/($L$7 - D717)</f>
        <v>0.20253365496882372</v>
      </c>
      <c r="F717" s="23">
        <f t="shared" si="22"/>
        <v>-1.5968492088678901</v>
      </c>
      <c r="G717" s="23">
        <f>(C717 - D717)/($L$7 - D717)</f>
        <v>0.68048619223817375</v>
      </c>
      <c r="H717" s="23">
        <f t="shared" si="23"/>
        <v>-0.38494774770900292</v>
      </c>
      <c r="I717" s="23"/>
      <c r="J717" s="15"/>
      <c r="K717" s="15"/>
      <c r="L717" s="15"/>
      <c r="M717" s="15"/>
      <c r="N717" s="15"/>
      <c r="O717" s="15"/>
      <c r="P717" s="15"/>
      <c r="Q717" s="15"/>
    </row>
    <row r="718" spans="1:17">
      <c r="A718" s="14">
        <v>403.26</v>
      </c>
      <c r="B718" s="23">
        <v>33.110669000000001</v>
      </c>
      <c r="C718" s="23">
        <v>59.466487999999998</v>
      </c>
      <c r="D718" s="23">
        <v>21.967030000000001</v>
      </c>
      <c r="E718" s="23">
        <f>(B718 - D718)/($L$7 - D718)</f>
        <v>0.20214060851228183</v>
      </c>
      <c r="F718" s="23">
        <f t="shared" si="22"/>
        <v>-1.5987917419894946</v>
      </c>
      <c r="G718" s="23">
        <f>(C718 - D718)/($L$7 - D718)</f>
        <v>0.68022333270135138</v>
      </c>
      <c r="H718" s="23">
        <f t="shared" si="23"/>
        <v>-0.38533410429029291</v>
      </c>
      <c r="I718" s="23"/>
      <c r="J718" s="15"/>
      <c r="K718" s="15"/>
      <c r="L718" s="15"/>
      <c r="M718" s="15"/>
      <c r="N718" s="15"/>
      <c r="O718" s="15"/>
      <c r="P718" s="15"/>
      <c r="Q718" s="15"/>
    </row>
    <row r="719" spans="1:17">
      <c r="A719" s="14">
        <v>403.82400000000001</v>
      </c>
      <c r="B719" s="23">
        <v>33.082932999999997</v>
      </c>
      <c r="C719" s="23">
        <v>59.442653999999997</v>
      </c>
      <c r="D719" s="23">
        <v>21.971938000000002</v>
      </c>
      <c r="E719" s="23">
        <f>(B719 - D719)/($L$7 - D719)</f>
        <v>0.20156640624659847</v>
      </c>
      <c r="F719" s="23">
        <f t="shared" si="22"/>
        <v>-1.6016363923517465</v>
      </c>
      <c r="G719" s="23">
        <f>(C719 - D719)/($L$7 - D719)</f>
        <v>0.67976248424258301</v>
      </c>
      <c r="H719" s="23">
        <f t="shared" si="23"/>
        <v>-0.38601182970575842</v>
      </c>
      <c r="I719" s="23"/>
      <c r="J719" s="15"/>
      <c r="K719" s="15"/>
      <c r="L719" s="15"/>
      <c r="M719" s="15"/>
      <c r="N719" s="15"/>
      <c r="O719" s="15"/>
      <c r="P719" s="15"/>
      <c r="Q719" s="15"/>
    </row>
    <row r="720" spans="1:17">
      <c r="A720" s="14">
        <v>404.38799999999998</v>
      </c>
      <c r="B720" s="23">
        <v>33.059199999999997</v>
      </c>
      <c r="C720" s="23">
        <v>59.409568</v>
      </c>
      <c r="D720" s="23">
        <v>21.975691000000001</v>
      </c>
      <c r="E720" s="23">
        <f>(B720 - D720)/($L$7 - D720)</f>
        <v>0.20108146854393344</v>
      </c>
      <c r="F720" s="23">
        <f t="shared" si="22"/>
        <v>-1.6040451369024866</v>
      </c>
      <c r="G720" s="23">
        <f>(C720 - D720)/($L$7 - D720)</f>
        <v>0.67914042028142663</v>
      </c>
      <c r="H720" s="23">
        <f t="shared" si="23"/>
        <v>-0.38692736826636814</v>
      </c>
      <c r="I720" s="23"/>
      <c r="J720" s="15"/>
      <c r="K720" s="15"/>
      <c r="L720" s="15"/>
      <c r="M720" s="15"/>
      <c r="N720" s="15"/>
      <c r="O720" s="15"/>
      <c r="P720" s="15"/>
      <c r="Q720" s="15"/>
    </row>
    <row r="721" spans="1:17">
      <c r="A721" s="14">
        <v>404.952</v>
      </c>
      <c r="B721" s="23">
        <v>33.039468999999997</v>
      </c>
      <c r="C721" s="23">
        <v>59.405081000000003</v>
      </c>
      <c r="D721" s="23">
        <v>21.975113</v>
      </c>
      <c r="E721" s="23">
        <f>(B721 - D721)/($L$7 - D721)</f>
        <v>0.2007318821947133</v>
      </c>
      <c r="F721" s="23">
        <f t="shared" si="22"/>
        <v>-1.6057851808148285</v>
      </c>
      <c r="G721" s="23">
        <f>(C721 - D721)/($L$7 - D721)</f>
        <v>0.67906238077732595</v>
      </c>
      <c r="H721" s="23">
        <f t="shared" si="23"/>
        <v>-0.38704228410091907</v>
      </c>
      <c r="I721" s="23"/>
      <c r="J721" s="15"/>
      <c r="K721" s="15"/>
      <c r="L721" s="15"/>
      <c r="M721" s="15"/>
      <c r="N721" s="15"/>
      <c r="O721" s="15"/>
      <c r="P721" s="15"/>
      <c r="Q721" s="15"/>
    </row>
    <row r="722" spans="1:17">
      <c r="A722" s="14">
        <v>405.51600000000002</v>
      </c>
      <c r="B722" s="23">
        <v>33.005440999999998</v>
      </c>
      <c r="C722" s="23">
        <v>59.388986000000003</v>
      </c>
      <c r="D722" s="23">
        <v>21.972227</v>
      </c>
      <c r="E722" s="23">
        <f>(B722 - D722)/($L$7 - D722)</f>
        <v>0.20015641758273534</v>
      </c>
      <c r="F722" s="23">
        <f t="shared" si="22"/>
        <v>-1.6086561301918119</v>
      </c>
      <c r="G722" s="23">
        <f>(C722 - D722)/($L$7 - D722)</f>
        <v>0.67878720008481408</v>
      </c>
      <c r="H722" s="23">
        <f t="shared" si="23"/>
        <v>-0.3874476024810366</v>
      </c>
      <c r="I722" s="23"/>
      <c r="J722" s="15"/>
      <c r="K722" s="15"/>
      <c r="L722" s="15"/>
      <c r="M722" s="15"/>
      <c r="N722" s="15"/>
      <c r="O722" s="15"/>
      <c r="P722" s="15"/>
      <c r="Q722" s="15"/>
    </row>
    <row r="723" spans="1:17">
      <c r="A723" s="14">
        <v>406.08</v>
      </c>
      <c r="B723" s="23">
        <v>32.983010999999998</v>
      </c>
      <c r="C723" s="23">
        <v>59.36459</v>
      </c>
      <c r="D723" s="23">
        <v>21.979040000000001</v>
      </c>
      <c r="E723" s="23">
        <f>(B723 - D723)/($L$7 - D723)</f>
        <v>0.19965058877665351</v>
      </c>
      <c r="F723" s="23">
        <f t="shared" si="22"/>
        <v>-1.6111864964331604</v>
      </c>
      <c r="G723" s="23">
        <f>(C723 - D723)/($L$7 - D723)</f>
        <v>0.67830486551073432</v>
      </c>
      <c r="H723" s="23">
        <f t="shared" si="23"/>
        <v>-0.38815843796024618</v>
      </c>
      <c r="I723" s="23"/>
      <c r="J723" s="15"/>
      <c r="K723" s="15"/>
      <c r="L723" s="15"/>
      <c r="M723" s="15"/>
      <c r="N723" s="15"/>
      <c r="O723" s="15"/>
      <c r="P723" s="15"/>
      <c r="Q723" s="15"/>
    </row>
    <row r="724" spans="1:17">
      <c r="A724" s="14">
        <v>406.64400000000001</v>
      </c>
      <c r="B724" s="23">
        <v>32.962420999999999</v>
      </c>
      <c r="C724" s="23">
        <v>59.345802999999997</v>
      </c>
      <c r="D724" s="23">
        <v>21.972111000000002</v>
      </c>
      <c r="E724" s="23">
        <f>(B724 - D724)/($L$7 - D724)</f>
        <v>0.1993776653425085</v>
      </c>
      <c r="F724" s="23">
        <f t="shared" si="22"/>
        <v>-1.6125544370433147</v>
      </c>
      <c r="G724" s="23">
        <f>(C724 - D724)/($L$7 - D724)</f>
        <v>0.67800448360328214</v>
      </c>
      <c r="H724" s="23">
        <f t="shared" si="23"/>
        <v>-0.38860137807941525</v>
      </c>
      <c r="I724" s="23"/>
      <c r="J724" s="15"/>
      <c r="K724" s="15"/>
      <c r="L724" s="15"/>
      <c r="M724" s="15"/>
      <c r="N724" s="15"/>
      <c r="O724" s="15"/>
      <c r="P724" s="15"/>
      <c r="Q724" s="15"/>
    </row>
    <row r="725" spans="1:17">
      <c r="A725" s="14">
        <v>407.20800000000003</v>
      </c>
      <c r="B725" s="23">
        <v>32.934235000000001</v>
      </c>
      <c r="C725" s="23">
        <v>59.332903999999999</v>
      </c>
      <c r="D725" s="23">
        <v>21.964027999999999</v>
      </c>
      <c r="E725" s="23">
        <f>(B725 - D725)/($L$7 - D725)</f>
        <v>0.19898379424571497</v>
      </c>
      <c r="F725" s="23">
        <f t="shared" si="22"/>
        <v>-1.6145318935249129</v>
      </c>
      <c r="G725" s="23">
        <f>(C725 - D725)/($L$7 - D725)</f>
        <v>0.677817723328068</v>
      </c>
      <c r="H725" s="23">
        <f t="shared" si="23"/>
        <v>-0.38887687183580977</v>
      </c>
      <c r="I725" s="23"/>
      <c r="J725" s="15"/>
      <c r="K725" s="15"/>
      <c r="L725" s="15"/>
      <c r="M725" s="15"/>
      <c r="N725" s="15"/>
      <c r="O725" s="15"/>
      <c r="P725" s="15"/>
      <c r="Q725" s="15"/>
    </row>
    <row r="726" spans="1:17">
      <c r="A726" s="14">
        <v>407.77199999999999</v>
      </c>
      <c r="B726" s="23">
        <v>32.901632999999997</v>
      </c>
      <c r="C726" s="23">
        <v>59.314844999999998</v>
      </c>
      <c r="D726" s="23">
        <v>21.971245</v>
      </c>
      <c r="E726" s="23">
        <f>(B726 - D726)/($L$7 - D726)</f>
        <v>0.19828749181775659</v>
      </c>
      <c r="F726" s="23">
        <f t="shared" si="22"/>
        <v>-1.618037322512109</v>
      </c>
      <c r="G726" s="23">
        <f>(C726 - D726)/($L$7 - D726)</f>
        <v>0.6774479350088557</v>
      </c>
      <c r="H726" s="23">
        <f t="shared" si="23"/>
        <v>-0.38942257787670931</v>
      </c>
      <c r="I726" s="23"/>
      <c r="J726" s="15"/>
      <c r="K726" s="15"/>
      <c r="L726" s="15"/>
      <c r="M726" s="15"/>
      <c r="N726" s="15"/>
      <c r="O726" s="15"/>
      <c r="P726" s="15"/>
      <c r="Q726" s="15"/>
    </row>
    <row r="727" spans="1:17">
      <c r="A727" s="14">
        <v>408.33600000000001</v>
      </c>
      <c r="B727" s="23">
        <v>32.880059000000003</v>
      </c>
      <c r="C727" s="23">
        <v>59.293925999999999</v>
      </c>
      <c r="D727" s="23">
        <v>21.969225000000002</v>
      </c>
      <c r="E727" s="23">
        <f>(B727 - D727)/($L$7 - D727)</f>
        <v>0.19792551099471992</v>
      </c>
      <c r="F727" s="23">
        <f t="shared" si="22"/>
        <v>-1.6198645261686195</v>
      </c>
      <c r="G727" s="23">
        <f>(C727 - D727)/($L$7 - D727)</f>
        <v>0.67708027802000581</v>
      </c>
      <c r="H727" s="23">
        <f t="shared" si="23"/>
        <v>-0.38996543404514095</v>
      </c>
      <c r="I727" s="23"/>
      <c r="J727" s="15"/>
      <c r="K727" s="15"/>
      <c r="L727" s="15"/>
      <c r="M727" s="15"/>
      <c r="N727" s="15"/>
      <c r="O727" s="15"/>
      <c r="P727" s="15"/>
      <c r="Q727" s="15"/>
    </row>
    <row r="728" spans="1:17">
      <c r="A728" s="14">
        <v>408.9</v>
      </c>
      <c r="B728" s="23">
        <v>32.862900000000003</v>
      </c>
      <c r="C728" s="23">
        <v>59.282597000000003</v>
      </c>
      <c r="D728" s="23">
        <v>21.968647000000001</v>
      </c>
      <c r="E728" s="23">
        <f>(B728 - D728)/($L$7 - D728)</f>
        <v>0.19762265503372167</v>
      </c>
      <c r="F728" s="23">
        <f t="shared" si="22"/>
        <v>-1.6213958492599181</v>
      </c>
      <c r="G728" s="23">
        <f>(C728 - D728)/($L$7 - D728)</f>
        <v>0.67687815482121971</v>
      </c>
      <c r="H728" s="23">
        <f t="shared" si="23"/>
        <v>-0.39026400037536935</v>
      </c>
      <c r="I728" s="23"/>
      <c r="J728" s="15"/>
      <c r="K728" s="15"/>
      <c r="L728" s="15"/>
      <c r="M728" s="15"/>
      <c r="N728" s="15"/>
      <c r="O728" s="15"/>
      <c r="P728" s="15"/>
      <c r="Q728" s="15"/>
    </row>
    <row r="729" spans="1:17">
      <c r="A729" s="14">
        <v>409.464</v>
      </c>
      <c r="B729" s="23">
        <v>32.822288</v>
      </c>
      <c r="C729" s="23">
        <v>59.261958</v>
      </c>
      <c r="D729" s="23">
        <v>21.971823000000001</v>
      </c>
      <c r="E729" s="23">
        <f>(B729 - D729)/($L$7 - D729)</f>
        <v>0.1968396775791782</v>
      </c>
      <c r="F729" s="23">
        <f t="shared" si="22"/>
        <v>-1.6253657009699614</v>
      </c>
      <c r="G729" s="23">
        <f>(C729 - D729)/($L$7 - D729)</f>
        <v>0.67648512301399322</v>
      </c>
      <c r="H729" s="23">
        <f t="shared" si="23"/>
        <v>-0.39084482272323801</v>
      </c>
      <c r="I729" s="23"/>
      <c r="J729" s="15"/>
      <c r="K729" s="15"/>
      <c r="L729" s="15"/>
      <c r="M729" s="15"/>
      <c r="N729" s="15"/>
      <c r="O729" s="15"/>
      <c r="P729" s="15"/>
      <c r="Q729" s="15"/>
    </row>
    <row r="730" spans="1:17">
      <c r="A730" s="14">
        <v>410.02800000000002</v>
      </c>
      <c r="B730" s="23">
        <v>32.802143000000001</v>
      </c>
      <c r="C730" s="23">
        <v>59.246983</v>
      </c>
      <c r="D730" s="23">
        <v>21.96143</v>
      </c>
      <c r="E730" s="23">
        <f>(B730 - D730)/($L$7 - D730)</f>
        <v>0.19662569334111757</v>
      </c>
      <c r="F730" s="23">
        <f t="shared" si="22"/>
        <v>-1.6264533913995241</v>
      </c>
      <c r="G730" s="23">
        <f>(C730 - D730)/($L$7 - D730)</f>
        <v>0.67627449506614423</v>
      </c>
      <c r="H730" s="23">
        <f t="shared" si="23"/>
        <v>-0.3911562275681727</v>
      </c>
      <c r="I730" s="23"/>
      <c r="J730" s="15"/>
      <c r="K730" s="15"/>
      <c r="L730" s="15"/>
      <c r="M730" s="15"/>
      <c r="N730" s="15"/>
      <c r="O730" s="15"/>
      <c r="P730" s="15"/>
      <c r="Q730" s="15"/>
    </row>
    <row r="731" spans="1:17">
      <c r="A731" s="14">
        <v>410.59199999999998</v>
      </c>
      <c r="B731" s="23">
        <v>32.772522000000002</v>
      </c>
      <c r="C731" s="23">
        <v>59.224268000000002</v>
      </c>
      <c r="D731" s="23">
        <v>21.964317000000001</v>
      </c>
      <c r="E731" s="23">
        <f>(B731 - D731)/($L$7 - D731)</f>
        <v>0.19604633839528271</v>
      </c>
      <c r="F731" s="23">
        <f t="shared" si="22"/>
        <v>-1.6294042273104192</v>
      </c>
      <c r="G731" s="23">
        <f>(C731 - D731)/($L$7 - D731)</f>
        <v>0.67584552313151458</v>
      </c>
      <c r="H731" s="23">
        <f t="shared" si="23"/>
        <v>-0.39179074513059131</v>
      </c>
      <c r="I731" s="23"/>
      <c r="J731" s="15"/>
      <c r="K731" s="15"/>
      <c r="L731" s="15"/>
      <c r="M731" s="15"/>
      <c r="N731" s="15"/>
      <c r="O731" s="15"/>
      <c r="P731" s="15"/>
      <c r="Q731" s="15"/>
    </row>
    <row r="732" spans="1:17">
      <c r="A732" s="14">
        <v>411.15600000000001</v>
      </c>
      <c r="B732" s="23">
        <v>32.743223999999998</v>
      </c>
      <c r="C732" s="23">
        <v>59.202955000000003</v>
      </c>
      <c r="D732" s="23">
        <v>21.96143</v>
      </c>
      <c r="E732" s="23">
        <f>(B732 - D732)/($L$7 - D732)</f>
        <v>0.19555703768848975</v>
      </c>
      <c r="F732" s="23">
        <f t="shared" si="22"/>
        <v>-1.6319031892260121</v>
      </c>
      <c r="G732" s="23">
        <f>(C732 - D732)/($L$7 - D732)</f>
        <v>0.67547592803218426</v>
      </c>
      <c r="H732" s="23">
        <f t="shared" si="23"/>
        <v>-0.39233775799452242</v>
      </c>
      <c r="I732" s="23"/>
      <c r="J732" s="15"/>
      <c r="K732" s="15"/>
      <c r="L732" s="15"/>
      <c r="M732" s="15"/>
      <c r="N732" s="15"/>
      <c r="O732" s="15"/>
      <c r="P732" s="15"/>
      <c r="Q732" s="15"/>
    </row>
    <row r="733" spans="1:17">
      <c r="A733" s="14">
        <v>411.72</v>
      </c>
      <c r="B733" s="23">
        <v>32.719608000000001</v>
      </c>
      <c r="C733" s="23">
        <v>59.183884999999997</v>
      </c>
      <c r="D733" s="23">
        <v>21.956119000000001</v>
      </c>
      <c r="E733" s="23">
        <f>(B733 - D733)/($L$7 - D733)</f>
        <v>0.19520622284015071</v>
      </c>
      <c r="F733" s="23">
        <f t="shared" si="22"/>
        <v>-1.6336987262072284</v>
      </c>
      <c r="G733" s="23">
        <f>(C733 - D733)/($L$7 - D733)</f>
        <v>0.67516133343351636</v>
      </c>
      <c r="H733" s="23">
        <f t="shared" si="23"/>
        <v>-0.39280360417444454</v>
      </c>
      <c r="I733" s="23"/>
      <c r="J733" s="15"/>
      <c r="K733" s="15"/>
      <c r="L733" s="15"/>
      <c r="M733" s="15"/>
      <c r="N733" s="15"/>
      <c r="O733" s="15"/>
      <c r="P733" s="15"/>
      <c r="Q733" s="15"/>
    </row>
    <row r="734" spans="1:17">
      <c r="A734" s="14">
        <v>412.28399999999999</v>
      </c>
      <c r="B734" s="23">
        <v>32.704324</v>
      </c>
      <c r="C734" s="23">
        <v>59.165376000000002</v>
      </c>
      <c r="D734" s="23">
        <v>21.944572000000001</v>
      </c>
      <c r="E734" s="23">
        <f>(B734 - D734)/($L$7 - D734)</f>
        <v>0.19509759220450382</v>
      </c>
      <c r="F734" s="23">
        <f t="shared" si="22"/>
        <v>-1.6342553727695452</v>
      </c>
      <c r="G734" s="23">
        <f>(C734 - D734)/($L$7 - D734)</f>
        <v>0.67489373735712177</v>
      </c>
      <c r="H734" s="23">
        <f t="shared" si="23"/>
        <v>-0.39320002663999964</v>
      </c>
      <c r="I734" s="23"/>
      <c r="J734" s="15"/>
      <c r="K734" s="15"/>
      <c r="L734" s="15"/>
      <c r="M734" s="15"/>
      <c r="N734" s="15"/>
      <c r="O734" s="15"/>
      <c r="P734" s="15"/>
      <c r="Q734" s="15"/>
    </row>
    <row r="735" spans="1:17">
      <c r="A735" s="14">
        <v>412.84800000000001</v>
      </c>
      <c r="B735" s="23">
        <v>32.673147</v>
      </c>
      <c r="C735" s="23">
        <v>59.147033999999998</v>
      </c>
      <c r="D735" s="23">
        <v>21.947458999999998</v>
      </c>
      <c r="E735" s="23">
        <f>(B735 - D735)/($L$7 - D735)</f>
        <v>0.19449011923918461</v>
      </c>
      <c r="F735" s="23">
        <f t="shared" si="22"/>
        <v>-1.6373739180408562</v>
      </c>
      <c r="G735" s="23">
        <f>(C735 - D735)/($L$7 - D735)</f>
        <v>0.67454412037689226</v>
      </c>
      <c r="H735" s="23">
        <f t="shared" si="23"/>
        <v>-0.39371819349895998</v>
      </c>
      <c r="I735" s="23"/>
      <c r="J735" s="15"/>
      <c r="K735" s="15"/>
      <c r="L735" s="15"/>
      <c r="M735" s="15"/>
      <c r="N735" s="15"/>
      <c r="O735" s="15"/>
      <c r="P735" s="15"/>
      <c r="Q735" s="15"/>
    </row>
    <row r="736" spans="1:17">
      <c r="A736" s="14">
        <v>413.41199999999998</v>
      </c>
      <c r="B736" s="23">
        <v>32.651978999999997</v>
      </c>
      <c r="C736" s="23">
        <v>59.124710999999998</v>
      </c>
      <c r="D736" s="23">
        <v>21.944572000000001</v>
      </c>
      <c r="E736" s="23">
        <f>(B736 - D736)/($L$7 - D736)</f>
        <v>0.19414846405880443</v>
      </c>
      <c r="F736" s="23">
        <f t="shared" si="22"/>
        <v>-1.639132133941577</v>
      </c>
      <c r="G736" s="23">
        <f>(C736 - D736)/($L$7 - D736)</f>
        <v>0.67415639289165485</v>
      </c>
      <c r="H736" s="23">
        <f t="shared" si="23"/>
        <v>-0.39429315805499643</v>
      </c>
      <c r="I736" s="23"/>
      <c r="J736" s="15"/>
      <c r="K736" s="15"/>
      <c r="L736" s="15"/>
      <c r="M736" s="15"/>
      <c r="N736" s="15"/>
      <c r="O736" s="15"/>
      <c r="P736" s="15"/>
      <c r="Q736" s="15"/>
    </row>
    <row r="737" spans="1:17">
      <c r="A737" s="14">
        <v>413.976</v>
      </c>
      <c r="B737" s="23">
        <v>32.613649000000002</v>
      </c>
      <c r="C737" s="23">
        <v>59.098629000000003</v>
      </c>
      <c r="D737" s="23">
        <v>21.943128000000002</v>
      </c>
      <c r="E737" s="23">
        <f>(B737 - D737)/($L$7 - D737)</f>
        <v>0.19347457532772397</v>
      </c>
      <c r="F737" s="23">
        <f t="shared" si="22"/>
        <v>-1.6426091688003763</v>
      </c>
      <c r="G737" s="23">
        <f>(C737 - D737)/($L$7 - D737)</f>
        <v>0.67369201345124785</v>
      </c>
      <c r="H737" s="23">
        <f t="shared" si="23"/>
        <v>-0.3949822258412492</v>
      </c>
      <c r="I737" s="23"/>
      <c r="J737" s="15"/>
      <c r="K737" s="15"/>
      <c r="L737" s="15"/>
      <c r="M737" s="15"/>
      <c r="N737" s="15"/>
      <c r="O737" s="15"/>
      <c r="P737" s="15"/>
      <c r="Q737" s="15"/>
    </row>
    <row r="738" spans="1:17">
      <c r="A738" s="14">
        <v>414.54</v>
      </c>
      <c r="B738" s="23">
        <v>32.592767000000002</v>
      </c>
      <c r="C738" s="23">
        <v>59.087857999999997</v>
      </c>
      <c r="D738" s="23">
        <v>21.943128000000002</v>
      </c>
      <c r="E738" s="23">
        <f>(B738 - D738)/($L$7 - D738)</f>
        <v>0.19309594938415536</v>
      </c>
      <c r="F738" s="23">
        <f t="shared" si="22"/>
        <v>-1.6445680665457505</v>
      </c>
      <c r="G738" s="23">
        <f>(C738 - D738)/($L$7 - D738)</f>
        <v>0.6734967170218743</v>
      </c>
      <c r="H738" s="23">
        <f t="shared" si="23"/>
        <v>-0.3952721576471262</v>
      </c>
      <c r="I738" s="23"/>
      <c r="J738" s="15"/>
      <c r="K738" s="15"/>
      <c r="L738" s="15"/>
      <c r="M738" s="15"/>
      <c r="N738" s="15"/>
      <c r="O738" s="15"/>
      <c r="P738" s="15"/>
      <c r="Q738" s="15"/>
    </row>
    <row r="739" spans="1:17">
      <c r="A739" s="14">
        <v>415.10399999999998</v>
      </c>
      <c r="B739" s="23">
        <v>32.571313000000004</v>
      </c>
      <c r="C739" s="23">
        <v>59.072432999999997</v>
      </c>
      <c r="D739" s="23">
        <v>21.939087000000001</v>
      </c>
      <c r="E739" s="23">
        <f>(B739 - D739)/($L$7 - D739)</f>
        <v>0.19276609826956767</v>
      </c>
      <c r="F739" s="23">
        <f t="shared" si="22"/>
        <v>-1.6462777511179452</v>
      </c>
      <c r="G739" s="23">
        <f>(C739 - D739)/($L$7 - D739)</f>
        <v>0.67324097739399591</v>
      </c>
      <c r="H739" s="23">
        <f t="shared" si="23"/>
        <v>-0.39565194894874761</v>
      </c>
      <c r="I739" s="23"/>
      <c r="J739" s="15"/>
      <c r="K739" s="15"/>
      <c r="L739" s="15"/>
      <c r="M739" s="15"/>
      <c r="N739" s="15"/>
      <c r="O739" s="15"/>
      <c r="P739" s="15"/>
      <c r="Q739" s="15"/>
    </row>
    <row r="740" spans="1:17">
      <c r="A740" s="14">
        <v>415.66800000000001</v>
      </c>
      <c r="B740" s="23">
        <v>32.554310000000001</v>
      </c>
      <c r="C740" s="23">
        <v>59.047752000000003</v>
      </c>
      <c r="D740" s="23">
        <v>21.934467999999999</v>
      </c>
      <c r="E740" s="23">
        <f>(B740 - D740)/($L$7 - D740)</f>
        <v>0.19252544899796267</v>
      </c>
      <c r="F740" s="23">
        <f t="shared" si="22"/>
        <v>-1.647526931405471</v>
      </c>
      <c r="G740" s="23">
        <f>(C740 - D740)/($L$7 - D740)</f>
        <v>0.672820901279784</v>
      </c>
      <c r="H740" s="23">
        <f t="shared" si="23"/>
        <v>-0.39627610469448976</v>
      </c>
      <c r="I740" s="23"/>
      <c r="J740" s="15"/>
      <c r="K740" s="15"/>
      <c r="L740" s="15"/>
      <c r="M740" s="15"/>
      <c r="N740" s="15"/>
      <c r="O740" s="15"/>
      <c r="P740" s="15"/>
      <c r="Q740" s="15"/>
    </row>
    <row r="741" spans="1:17">
      <c r="A741" s="14">
        <v>416.23200000000003</v>
      </c>
      <c r="B741" s="23">
        <v>32.521537000000002</v>
      </c>
      <c r="C741" s="23">
        <v>59.032046000000001</v>
      </c>
      <c r="D741" s="23">
        <v>21.931004000000001</v>
      </c>
      <c r="E741" s="23">
        <f>(B741 - D741)/($L$7 - D741)</f>
        <v>0.19198205458752204</v>
      </c>
      <c r="F741" s="23">
        <f t="shared" si="22"/>
        <v>-1.6503533770125347</v>
      </c>
      <c r="G741" s="23">
        <f>(C741 - D741)/($L$7 - D741)</f>
        <v>0.67255673255519322</v>
      </c>
      <c r="H741" s="23">
        <f t="shared" si="23"/>
        <v>-0.39666881038743745</v>
      </c>
      <c r="I741" s="23"/>
      <c r="J741" s="15"/>
      <c r="K741" s="15"/>
      <c r="L741" s="15"/>
      <c r="M741" s="15"/>
      <c r="N741" s="15"/>
      <c r="O741" s="15"/>
      <c r="P741" s="15"/>
      <c r="Q741" s="15"/>
    </row>
    <row r="742" spans="1:17">
      <c r="A742" s="14">
        <v>416.79599999999999</v>
      </c>
      <c r="B742" s="23">
        <v>32.499509000000003</v>
      </c>
      <c r="C742" s="23">
        <v>59.014938000000001</v>
      </c>
      <c r="D742" s="23">
        <v>21.933024</v>
      </c>
      <c r="E742" s="23">
        <f>(B742 - D742)/($L$7 - D742)</f>
        <v>0.19155313383112149</v>
      </c>
      <c r="F742" s="23">
        <f t="shared" si="22"/>
        <v>-1.6525900475875728</v>
      </c>
      <c r="G742" s="23">
        <f>(C742 - D742)/($L$7 - D742)</f>
        <v>0.67223460168221838</v>
      </c>
      <c r="H742" s="23">
        <f t="shared" si="23"/>
        <v>-0.39714788973742254</v>
      </c>
      <c r="I742" s="23"/>
      <c r="J742" s="15"/>
      <c r="K742" s="15"/>
      <c r="L742" s="15"/>
      <c r="M742" s="15"/>
      <c r="N742" s="15"/>
      <c r="O742" s="15"/>
      <c r="P742" s="15"/>
      <c r="Q742" s="15"/>
    </row>
    <row r="743" spans="1:17">
      <c r="A743" s="14">
        <v>417.36</v>
      </c>
      <c r="B743" s="23">
        <v>32.474905999999997</v>
      </c>
      <c r="C743" s="23">
        <v>58.999510999999998</v>
      </c>
      <c r="D743" s="23">
        <v>21.928405000000001</v>
      </c>
      <c r="E743" s="23">
        <f>(B743 - D743)/($L$7 - D743)</f>
        <v>0.19117484850167341</v>
      </c>
      <c r="F743" s="23">
        <f t="shared" si="22"/>
        <v>-1.6545668325110434</v>
      </c>
      <c r="G743" s="23">
        <f>(C743 - D743)/($L$7 - D743)</f>
        <v>0.67198240187333025</v>
      </c>
      <c r="H743" s="23">
        <f t="shared" si="23"/>
        <v>-0.39752312649038768</v>
      </c>
      <c r="I743" s="23"/>
      <c r="J743" s="15"/>
      <c r="K743" s="15"/>
      <c r="L743" s="15"/>
      <c r="M743" s="15"/>
      <c r="N743" s="15"/>
      <c r="O743" s="15"/>
      <c r="P743" s="15"/>
      <c r="Q743" s="15"/>
    </row>
    <row r="744" spans="1:17">
      <c r="A744" s="14">
        <v>417.92399999999998</v>
      </c>
      <c r="B744" s="23">
        <v>32.458474000000002</v>
      </c>
      <c r="C744" s="23">
        <v>58.979598000000003</v>
      </c>
      <c r="D744" s="23">
        <v>21.917724</v>
      </c>
      <c r="E744" s="23">
        <f>(B744 - D744)/($L$7 - D744)</f>
        <v>0.19103361441307329</v>
      </c>
      <c r="F744" s="23">
        <f t="shared" si="22"/>
        <v>-1.655305874728745</v>
      </c>
      <c r="G744" s="23">
        <f>(C744 - D744)/($L$7 - D744)</f>
        <v>0.67168500791138241</v>
      </c>
      <c r="H744" s="23">
        <f t="shared" si="23"/>
        <v>-0.39796578657820153</v>
      </c>
      <c r="I744" s="23"/>
      <c r="J744" s="15"/>
      <c r="K744" s="15"/>
      <c r="L744" s="15"/>
      <c r="M744" s="15"/>
      <c r="N744" s="15"/>
      <c r="O744" s="15"/>
      <c r="P744" s="15"/>
      <c r="Q744" s="15"/>
    </row>
    <row r="745" spans="1:17">
      <c r="A745" s="14">
        <v>418.488</v>
      </c>
      <c r="B745" s="23">
        <v>32.431581999999999</v>
      </c>
      <c r="C745" s="23">
        <v>58.960973000000003</v>
      </c>
      <c r="D745" s="23">
        <v>21.921073</v>
      </c>
      <c r="E745" s="23">
        <f>(B745 - D745)/($L$7 - D745)</f>
        <v>0.19049710867123498</v>
      </c>
      <c r="F745" s="23">
        <f t="shared" si="22"/>
        <v>-1.6581182621093811</v>
      </c>
      <c r="G745" s="23">
        <f>(C745 - D745)/($L$7 - D745)</f>
        <v>0.67132751187137352</v>
      </c>
      <c r="H745" s="23">
        <f t="shared" si="23"/>
        <v>-0.39849816590182902</v>
      </c>
      <c r="I745" s="23"/>
      <c r="J745" s="15"/>
      <c r="K745" s="15"/>
      <c r="L745" s="15"/>
      <c r="M745" s="15"/>
      <c r="N745" s="15"/>
      <c r="O745" s="15"/>
      <c r="P745" s="15"/>
      <c r="Q745" s="15"/>
    </row>
    <row r="746" spans="1:17">
      <c r="A746" s="14">
        <v>419.05200000000002</v>
      </c>
      <c r="B746" s="23">
        <v>32.414988000000001</v>
      </c>
      <c r="C746" s="23">
        <v>58.952278</v>
      </c>
      <c r="D746" s="23">
        <v>21.926846999999999</v>
      </c>
      <c r="E746" s="23">
        <f>(B746 - D746)/($L$7 - D746)</f>
        <v>0.19011159643577455</v>
      </c>
      <c r="F746" s="23">
        <f t="shared" si="22"/>
        <v>-1.6601440295819809</v>
      </c>
      <c r="G746" s="23">
        <f>(C746 - D746)/($L$7 - D746)</f>
        <v>0.67113550400710809</v>
      </c>
      <c r="H746" s="23">
        <f t="shared" si="23"/>
        <v>-0.39878421901957406</v>
      </c>
      <c r="I746" s="23"/>
      <c r="J746" s="15"/>
      <c r="K746" s="15"/>
      <c r="L746" s="15"/>
      <c r="M746" s="15"/>
      <c r="N746" s="15"/>
      <c r="O746" s="15"/>
      <c r="P746" s="15"/>
      <c r="Q746" s="15"/>
    </row>
    <row r="747" spans="1:17">
      <c r="A747" s="14">
        <v>419.61599999999999</v>
      </c>
      <c r="B747" s="23">
        <v>32.386378000000001</v>
      </c>
      <c r="C747" s="23">
        <v>58.933765999999999</v>
      </c>
      <c r="D747" s="23">
        <v>21.916454000000002</v>
      </c>
      <c r="E747" s="23">
        <f>(B747 - D747)/($L$7 - D747)</f>
        <v>0.18974564330329299</v>
      </c>
      <c r="F747" s="23">
        <f t="shared" si="22"/>
        <v>-1.6620708231634362</v>
      </c>
      <c r="G747" s="23">
        <f>(C747 - D747)/($L$7 - D747)</f>
        <v>0.67086195456611797</v>
      </c>
      <c r="H747" s="23">
        <f t="shared" si="23"/>
        <v>-0.39919189407593308</v>
      </c>
      <c r="I747" s="23"/>
      <c r="J747" s="15"/>
      <c r="K747" s="15"/>
      <c r="L747" s="15"/>
      <c r="M747" s="15"/>
      <c r="N747" s="15"/>
      <c r="O747" s="15"/>
      <c r="P747" s="15"/>
      <c r="Q747" s="15"/>
    </row>
    <row r="748" spans="1:17">
      <c r="A748" s="14">
        <v>420.18</v>
      </c>
      <c r="B748" s="23">
        <v>32.35707</v>
      </c>
      <c r="C748" s="23">
        <v>58.916094999999999</v>
      </c>
      <c r="D748" s="23">
        <v>21.923672</v>
      </c>
      <c r="E748" s="23">
        <f>(B748 - D748)/($L$7 - D748)</f>
        <v>0.18910842287199151</v>
      </c>
      <c r="F748" s="23">
        <f t="shared" si="22"/>
        <v>-1.6654347624165526</v>
      </c>
      <c r="G748" s="23">
        <f>(C748 - D748)/($L$7 - D748)</f>
        <v>0.67049860186907329</v>
      </c>
      <c r="H748" s="23">
        <f t="shared" si="23"/>
        <v>-0.39973366146903083</v>
      </c>
      <c r="I748" s="23"/>
      <c r="J748" s="15"/>
      <c r="K748" s="15"/>
      <c r="L748" s="15"/>
      <c r="M748" s="15"/>
      <c r="N748" s="15"/>
      <c r="O748" s="15"/>
      <c r="P748" s="15"/>
      <c r="Q748" s="15"/>
    </row>
    <row r="749" spans="1:17">
      <c r="A749" s="14">
        <v>420.74400000000003</v>
      </c>
      <c r="B749" s="23">
        <v>32.335450000000002</v>
      </c>
      <c r="C749" s="23">
        <v>58.894778000000002</v>
      </c>
      <c r="D749" s="23">
        <v>21.916743</v>
      </c>
      <c r="E749" s="23">
        <f>(B749 - D749)/($L$7 - D749)</f>
        <v>0.18881843041493579</v>
      </c>
      <c r="F749" s="23">
        <f t="shared" si="22"/>
        <v>-1.6669694113119573</v>
      </c>
      <c r="G749" s="23">
        <f>(C749 - D749)/($L$7 - D749)</f>
        <v>0.67015365040293007</v>
      </c>
      <c r="H749" s="23">
        <f t="shared" si="23"/>
        <v>-0.40024826392939444</v>
      </c>
      <c r="I749" s="23"/>
      <c r="J749" s="15"/>
      <c r="K749" s="15"/>
      <c r="L749" s="15"/>
      <c r="M749" s="15"/>
      <c r="N749" s="15"/>
      <c r="O749" s="15"/>
      <c r="P749" s="15"/>
      <c r="Q749" s="15"/>
    </row>
    <row r="750" spans="1:17">
      <c r="A750" s="14">
        <v>421.30799999999999</v>
      </c>
      <c r="B750" s="23">
        <v>32.318157999999997</v>
      </c>
      <c r="C750" s="23">
        <v>58.871215999999997</v>
      </c>
      <c r="D750" s="23">
        <v>21.915299999999998</v>
      </c>
      <c r="E750" s="23">
        <f>(B750 - D750)/($L$7 - D750)</f>
        <v>0.18852626843049294</v>
      </c>
      <c r="F750" s="23">
        <f t="shared" si="22"/>
        <v>-1.6685179267341592</v>
      </c>
      <c r="G750" s="23">
        <f>(C750 - D750)/($L$7 - D750)</f>
        <v>0.66973527274050559</v>
      </c>
      <c r="H750" s="23">
        <f t="shared" si="23"/>
        <v>-0.40087275998842609</v>
      </c>
      <c r="I750" s="23"/>
      <c r="J750" s="15"/>
      <c r="K750" s="15"/>
      <c r="L750" s="15"/>
      <c r="M750" s="15"/>
      <c r="N750" s="15"/>
      <c r="O750" s="15"/>
      <c r="P750" s="15"/>
      <c r="Q750" s="15"/>
    </row>
    <row r="751" spans="1:17">
      <c r="A751" s="14">
        <v>421.87200000000001</v>
      </c>
      <c r="B751" s="23">
        <v>32.288972999999999</v>
      </c>
      <c r="C751" s="23">
        <v>58.857751999999998</v>
      </c>
      <c r="D751" s="23">
        <v>21.906524000000001</v>
      </c>
      <c r="E751" s="23">
        <f>(B751 - D751)/($L$7 - D751)</f>
        <v>0.18812648511029309</v>
      </c>
      <c r="F751" s="23">
        <f t="shared" si="22"/>
        <v>-1.6706407492361732</v>
      </c>
      <c r="G751" s="23">
        <f>(C751 - D751)/($L$7 - D751)</f>
        <v>0.66954382767967824</v>
      </c>
      <c r="H751" s="23">
        <f t="shared" si="23"/>
        <v>-0.4011586526930479</v>
      </c>
      <c r="I751" s="23"/>
      <c r="J751" s="15"/>
      <c r="K751" s="15"/>
      <c r="L751" s="15"/>
      <c r="M751" s="15"/>
      <c r="N751" s="15"/>
      <c r="O751" s="15"/>
      <c r="P751" s="15"/>
      <c r="Q751" s="15"/>
    </row>
    <row r="752" spans="1:17">
      <c r="A752" s="14">
        <v>422.43599999999998</v>
      </c>
      <c r="B752" s="23">
        <v>32.274667000000001</v>
      </c>
      <c r="C752" s="23">
        <v>58.825493999999999</v>
      </c>
      <c r="D752" s="23">
        <v>21.910679999999999</v>
      </c>
      <c r="E752" s="23">
        <f>(B752 - D752)/($L$7 - D752)</f>
        <v>0.18780610267671874</v>
      </c>
      <c r="F752" s="23">
        <f t="shared" si="22"/>
        <v>-1.6723452171197648</v>
      </c>
      <c r="G752" s="23">
        <f>(C752 - D752)/($L$7 - D752)</f>
        <v>0.66893439256301401</v>
      </c>
      <c r="H752" s="23">
        <f t="shared" si="23"/>
        <v>-0.40206929158064802</v>
      </c>
      <c r="I752" s="23"/>
      <c r="J752" s="15"/>
      <c r="K752" s="15"/>
      <c r="L752" s="15"/>
      <c r="M752" s="15"/>
      <c r="N752" s="15"/>
      <c r="O752" s="15"/>
      <c r="P752" s="15"/>
      <c r="Q752" s="15"/>
    </row>
    <row r="753" spans="1:17">
      <c r="A753" s="14">
        <v>423</v>
      </c>
      <c r="B753" s="23">
        <v>32.255782000000004</v>
      </c>
      <c r="C753" s="23">
        <v>58.828299000000001</v>
      </c>
      <c r="D753" s="23">
        <v>21.903462999999999</v>
      </c>
      <c r="E753" s="23">
        <f>(B753 - D753)/($L$7 - D753)</f>
        <v>0.18757013619596558</v>
      </c>
      <c r="F753" s="23">
        <f t="shared" si="22"/>
        <v>-1.6736024438027479</v>
      </c>
      <c r="G753" s="23">
        <f>(C753 - D753)/($L$7 - D753)</f>
        <v>0.66902850632150046</v>
      </c>
      <c r="H753" s="23">
        <f t="shared" si="23"/>
        <v>-0.40192860941566405</v>
      </c>
      <c r="I753" s="23"/>
      <c r="J753" s="15"/>
      <c r="K753" s="15"/>
      <c r="L753" s="15"/>
      <c r="M753" s="15"/>
      <c r="N753" s="15"/>
      <c r="O753" s="15"/>
      <c r="P753" s="15"/>
      <c r="Q753" s="15"/>
    </row>
    <row r="754" spans="1:17">
      <c r="A754" s="14">
        <v>423.56400000000002</v>
      </c>
      <c r="B754" s="23">
        <v>32.216704999999997</v>
      </c>
      <c r="C754" s="23">
        <v>58.805745999999999</v>
      </c>
      <c r="D754" s="23">
        <v>21.915588</v>
      </c>
      <c r="E754" s="23">
        <f>(B754 - D754)/($L$7 - D754)</f>
        <v>0.18668343687462163</v>
      </c>
      <c r="F754" s="23">
        <f t="shared" si="22"/>
        <v>-1.6783409475567002</v>
      </c>
      <c r="G754" s="23">
        <f>(C754 - D754)/($L$7 - D754)</f>
        <v>0.66854705973030104</v>
      </c>
      <c r="H754" s="23">
        <f t="shared" si="23"/>
        <v>-0.40264848891138788</v>
      </c>
      <c r="I754" s="23"/>
      <c r="J754" s="15"/>
      <c r="K754" s="15"/>
      <c r="L754" s="15"/>
      <c r="M754" s="15"/>
      <c r="N754" s="15"/>
      <c r="O754" s="15"/>
      <c r="P754" s="15"/>
      <c r="Q754" s="15"/>
    </row>
    <row r="755" spans="1:17">
      <c r="A755" s="14">
        <v>424.12799999999999</v>
      </c>
      <c r="B755" s="23">
        <v>32.198267000000001</v>
      </c>
      <c r="C755" s="23">
        <v>58.780332000000001</v>
      </c>
      <c r="D755" s="23">
        <v>21.912586000000001</v>
      </c>
      <c r="E755" s="23">
        <f>(B755 - D755)/($L$7 - D755)</f>
        <v>0.18639355521486847</v>
      </c>
      <c r="F755" s="23">
        <f t="shared" si="22"/>
        <v>-1.6798949523559059</v>
      </c>
      <c r="G755" s="23">
        <f>(C755 - D755)/($L$7 - D755)</f>
        <v>0.66810454744792747</v>
      </c>
      <c r="H755" s="23">
        <f t="shared" si="23"/>
        <v>-0.40331060953603493</v>
      </c>
      <c r="I755" s="23"/>
      <c r="J755" s="15"/>
      <c r="K755" s="15"/>
      <c r="L755" s="15"/>
      <c r="M755" s="15"/>
      <c r="N755" s="15"/>
      <c r="O755" s="15"/>
      <c r="P755" s="15"/>
      <c r="Q755" s="15"/>
    </row>
    <row r="756" spans="1:17">
      <c r="A756" s="14">
        <v>424.69200000000001</v>
      </c>
      <c r="B756" s="23">
        <v>32.169938000000002</v>
      </c>
      <c r="C756" s="23">
        <v>58.767428000000002</v>
      </c>
      <c r="D756" s="23">
        <v>21.914145000000001</v>
      </c>
      <c r="E756" s="23">
        <f>(B756 - D756)/($L$7 - D756)</f>
        <v>0.18585718598530973</v>
      </c>
      <c r="F756" s="23">
        <f t="shared" si="22"/>
        <v>-1.6827767174748811</v>
      </c>
      <c r="G756" s="23">
        <f>(C756 - D756)/($L$7 - D756)</f>
        <v>0.66786132215229521</v>
      </c>
      <c r="H756" s="23">
        <f t="shared" si="23"/>
        <v>-0.40367472856610015</v>
      </c>
      <c r="I756" s="23"/>
      <c r="J756" s="15"/>
      <c r="K756" s="15"/>
      <c r="L756" s="15"/>
      <c r="M756" s="15"/>
      <c r="N756" s="15"/>
      <c r="O756" s="15"/>
      <c r="P756" s="15"/>
      <c r="Q756" s="15"/>
    </row>
    <row r="757" spans="1:17">
      <c r="A757" s="14">
        <v>425.25599999999997</v>
      </c>
      <c r="B757" s="23">
        <v>32.150193000000002</v>
      </c>
      <c r="C757" s="23">
        <v>58.749755</v>
      </c>
      <c r="D757" s="23">
        <v>21.911258</v>
      </c>
      <c r="E757" s="23">
        <f>(B757 - D757)/($L$7 - D757)</f>
        <v>0.18554197519248725</v>
      </c>
      <c r="F757" s="23">
        <f t="shared" si="22"/>
        <v>-1.6844741411712958</v>
      </c>
      <c r="G757" s="23">
        <f>(C757 - D757)/($L$7 - D757)</f>
        <v>0.66755844201594361</v>
      </c>
      <c r="H757" s="23">
        <f t="shared" si="23"/>
        <v>-0.40412833895838562</v>
      </c>
      <c r="I757" s="23"/>
      <c r="J757" s="15"/>
      <c r="K757" s="15"/>
      <c r="L757" s="15"/>
      <c r="M757" s="15"/>
      <c r="N757" s="15"/>
      <c r="O757" s="15"/>
      <c r="P757" s="15"/>
      <c r="Q757" s="15"/>
    </row>
    <row r="758" spans="1:17">
      <c r="A758" s="14">
        <v>425.82</v>
      </c>
      <c r="B758" s="23">
        <v>32.130733999999997</v>
      </c>
      <c r="C758" s="23">
        <v>58.730846999999997</v>
      </c>
      <c r="D758" s="23">
        <v>21.914607</v>
      </c>
      <c r="E758" s="23">
        <f>(B758 - D758)/($L$7 - D758)</f>
        <v>0.18513990221088469</v>
      </c>
      <c r="F758" s="23">
        <f t="shared" si="22"/>
        <v>-1.6866435115333123</v>
      </c>
      <c r="G758" s="23">
        <f>(C758 - D758)/($L$7 - D758)</f>
        <v>0.66719560880287243</v>
      </c>
      <c r="H758" s="23">
        <f t="shared" si="23"/>
        <v>-0.40467200948972537</v>
      </c>
      <c r="I758" s="23"/>
      <c r="J758" s="15"/>
      <c r="K758" s="15"/>
      <c r="L758" s="15"/>
      <c r="M758" s="15"/>
      <c r="N758" s="15"/>
      <c r="O758" s="15"/>
      <c r="P758" s="15"/>
      <c r="Q758" s="15"/>
    </row>
    <row r="759" spans="1:17">
      <c r="A759" s="14">
        <v>426.38400000000001</v>
      </c>
      <c r="B759" s="23">
        <v>32.113849999999999</v>
      </c>
      <c r="C759" s="23">
        <v>58.709246999999998</v>
      </c>
      <c r="D759" s="23">
        <v>21.913855999999999</v>
      </c>
      <c r="E759" s="23">
        <f>(B759 - D759)/($L$7 - D759)</f>
        <v>0.18484501913962567</v>
      </c>
      <c r="F759" s="23">
        <f t="shared" si="22"/>
        <v>-1.6882375393797571</v>
      </c>
      <c r="G759" s="23">
        <f>(C759 - D759)/($L$7 - D759)</f>
        <v>0.66680870142129578</v>
      </c>
      <c r="H759" s="23">
        <f t="shared" si="23"/>
        <v>-0.40525207866860313</v>
      </c>
      <c r="I759" s="23"/>
      <c r="J759" s="15"/>
      <c r="K759" s="15"/>
      <c r="L759" s="15"/>
      <c r="M759" s="15"/>
      <c r="N759" s="15"/>
      <c r="O759" s="15"/>
      <c r="P759" s="15"/>
      <c r="Q759" s="15"/>
    </row>
    <row r="760" spans="1:17">
      <c r="A760" s="14">
        <v>426.94799999999998</v>
      </c>
      <c r="B760" s="23">
        <v>32.089973000000001</v>
      </c>
      <c r="C760" s="23">
        <v>58.687646000000001</v>
      </c>
      <c r="D760" s="23">
        <v>21.918071999999999</v>
      </c>
      <c r="E760" s="23">
        <f>(B760 - D760)/($L$7 - D760)</f>
        <v>0.18435000061800988</v>
      </c>
      <c r="F760" s="23">
        <f t="shared" si="22"/>
        <v>-1.6909191509496111</v>
      </c>
      <c r="G760" s="23">
        <f>(C760 - D760)/($L$7 - D760)</f>
        <v>0.6663917580031461</v>
      </c>
      <c r="H760" s="23">
        <f t="shared" si="23"/>
        <v>-0.40587755614844556</v>
      </c>
      <c r="I760" s="23"/>
      <c r="J760" s="15"/>
      <c r="K760" s="15"/>
      <c r="L760" s="15"/>
      <c r="M760" s="15"/>
      <c r="N760" s="15"/>
      <c r="O760" s="15"/>
      <c r="P760" s="15"/>
      <c r="Q760" s="15"/>
    </row>
    <row r="761" spans="1:17">
      <c r="A761" s="14">
        <v>427.512</v>
      </c>
      <c r="B761" s="23">
        <v>32.072353999999997</v>
      </c>
      <c r="C761" s="23">
        <v>58.669131</v>
      </c>
      <c r="D761" s="23">
        <v>21.922979000000002</v>
      </c>
      <c r="E761" s="23">
        <f>(B761 - D761)/($L$7 - D761)</f>
        <v>0.18395811137299611</v>
      </c>
      <c r="F761" s="23">
        <f t="shared" si="22"/>
        <v>-1.6930472028721597</v>
      </c>
      <c r="G761" s="23">
        <f>(C761 - D761)/($L$7 - D761)</f>
        <v>0.66602650135058028</v>
      </c>
      <c r="H761" s="23">
        <f t="shared" si="23"/>
        <v>-0.40642581741573319</v>
      </c>
      <c r="I761" s="23"/>
      <c r="J761" s="15"/>
      <c r="K761" s="15"/>
      <c r="L761" s="15"/>
      <c r="M761" s="15"/>
      <c r="N761" s="15"/>
      <c r="O761" s="15"/>
      <c r="P761" s="15"/>
      <c r="Q761" s="15"/>
    </row>
    <row r="762" spans="1:17">
      <c r="A762" s="14">
        <v>428.07600000000002</v>
      </c>
      <c r="B762" s="23">
        <v>32.056041999999998</v>
      </c>
      <c r="C762" s="23">
        <v>58.649211999999999</v>
      </c>
      <c r="D762" s="23">
        <v>21.926155000000001</v>
      </c>
      <c r="E762" s="23">
        <f>(B762 - D762)/($L$7 - D762)</f>
        <v>0.1836154599126455</v>
      </c>
      <c r="F762" s="23">
        <f t="shared" si="22"/>
        <v>-1.6949116000234903</v>
      </c>
      <c r="G762" s="23">
        <f>(C762 - D762)/($L$7 - D762)</f>
        <v>0.66564622097495241</v>
      </c>
      <c r="H762" s="23">
        <f t="shared" si="23"/>
        <v>-0.40699694931562042</v>
      </c>
      <c r="I762" s="23"/>
      <c r="J762" s="15"/>
      <c r="K762" s="15"/>
      <c r="L762" s="15"/>
      <c r="M762" s="15"/>
      <c r="N762" s="15"/>
      <c r="O762" s="15"/>
      <c r="P762" s="15"/>
      <c r="Q762" s="15"/>
    </row>
    <row r="763" spans="1:17">
      <c r="A763" s="14">
        <v>428.64</v>
      </c>
      <c r="B763" s="23">
        <v>32.041035999999998</v>
      </c>
      <c r="C763" s="23">
        <v>58.626207999999998</v>
      </c>
      <c r="D763" s="23">
        <v>21.919803999999999</v>
      </c>
      <c r="E763" s="23">
        <f>(B763 - D763)/($L$7 - D763)</f>
        <v>0.18343746129387919</v>
      </c>
      <c r="F763" s="23">
        <f t="shared" si="22"/>
        <v>-1.6958814799641502</v>
      </c>
      <c r="G763" s="23">
        <f>(C763 - D763)/($L$7 - D763)</f>
        <v>0.6652677819249172</v>
      </c>
      <c r="H763" s="23">
        <f t="shared" si="23"/>
        <v>-0.40756563979360749</v>
      </c>
      <c r="I763" s="23"/>
      <c r="J763" s="15"/>
      <c r="K763" s="15"/>
      <c r="L763" s="15"/>
      <c r="M763" s="15"/>
      <c r="N763" s="15"/>
      <c r="O763" s="15"/>
      <c r="P763" s="15"/>
      <c r="Q763" s="15"/>
    </row>
    <row r="764" spans="1:17">
      <c r="A764" s="14">
        <v>429.20400000000001</v>
      </c>
      <c r="B764" s="23">
        <v>32.014705999999997</v>
      </c>
      <c r="C764" s="23">
        <v>58.598433999999997</v>
      </c>
      <c r="D764" s="23">
        <v>21.929618999999999</v>
      </c>
      <c r="E764" s="23">
        <f>(B764 - D764)/($L$7 - D764)</f>
        <v>0.18281488885992958</v>
      </c>
      <c r="F764" s="23">
        <f t="shared" si="22"/>
        <v>-1.6992811743733465</v>
      </c>
      <c r="G764" s="23">
        <f>(C764 - D764)/($L$7 - D764)</f>
        <v>0.66470476048945526</v>
      </c>
      <c r="H764" s="23">
        <f t="shared" si="23"/>
        <v>-0.40841230609857204</v>
      </c>
      <c r="I764" s="23"/>
      <c r="J764" s="15"/>
      <c r="K764" s="15"/>
      <c r="L764" s="15"/>
      <c r="M764" s="15"/>
      <c r="N764" s="15"/>
      <c r="O764" s="15"/>
      <c r="P764" s="15"/>
      <c r="Q764" s="15"/>
    </row>
    <row r="765" spans="1:17">
      <c r="A765" s="14">
        <v>429.76799999999997</v>
      </c>
      <c r="B765" s="23">
        <v>32.000396000000002</v>
      </c>
      <c r="C765" s="23">
        <v>58.584966999999999</v>
      </c>
      <c r="D765" s="23">
        <v>21.935507999999999</v>
      </c>
      <c r="E765" s="23">
        <f>(B765 - D765)/($L$7 - D765)</f>
        <v>0.18246821527855916</v>
      </c>
      <c r="F765" s="23">
        <f t="shared" si="22"/>
        <v>-1.7011792839849125</v>
      </c>
      <c r="G765" s="23">
        <f>(C765 - D765)/($L$7 - D765)</f>
        <v>0.66442481770832673</v>
      </c>
      <c r="H765" s="23">
        <f t="shared" si="23"/>
        <v>-0.40883354837601449</v>
      </c>
      <c r="I765" s="23"/>
      <c r="J765" s="15"/>
      <c r="K765" s="15"/>
      <c r="L765" s="15"/>
      <c r="M765" s="15"/>
      <c r="N765" s="15"/>
      <c r="O765" s="15"/>
      <c r="P765" s="15"/>
      <c r="Q765" s="15"/>
    </row>
    <row r="766" spans="1:17">
      <c r="A766" s="14">
        <v>430.33199999999999</v>
      </c>
      <c r="B766" s="23">
        <v>31.987517</v>
      </c>
      <c r="C766" s="23">
        <v>58.574306</v>
      </c>
      <c r="D766" s="23">
        <v>21.923556999999999</v>
      </c>
      <c r="E766" s="23">
        <f>(B766 - D766)/($L$7 - D766)</f>
        <v>0.18241186969483902</v>
      </c>
      <c r="F766" s="23">
        <f t="shared" si="22"/>
        <v>-1.7014881283778429</v>
      </c>
      <c r="G766" s="23">
        <f>(C766 - D766)/($L$7 - D766)</f>
        <v>0.66430427493812094</v>
      </c>
      <c r="H766" s="23">
        <f t="shared" si="23"/>
        <v>-0.40901498907932055</v>
      </c>
      <c r="I766" s="23"/>
      <c r="J766" s="15"/>
      <c r="K766" s="15"/>
      <c r="L766" s="15"/>
      <c r="M766" s="15"/>
      <c r="N766" s="15"/>
      <c r="O766" s="15"/>
      <c r="P766" s="15"/>
      <c r="Q766" s="15"/>
    </row>
    <row r="767" spans="1:17">
      <c r="A767" s="14">
        <v>430.89600000000002</v>
      </c>
      <c r="B767" s="23">
        <v>31.963761999999999</v>
      </c>
      <c r="C767" s="23">
        <v>58.553545</v>
      </c>
      <c r="D767" s="23">
        <v>21.933948999999998</v>
      </c>
      <c r="E767" s="23">
        <f>(B767 - D767)/($L$7 - D767)</f>
        <v>0.18182719506453418</v>
      </c>
      <c r="F767" s="23">
        <f t="shared" si="22"/>
        <v>-1.7046985206121805</v>
      </c>
      <c r="G767" s="23">
        <f>(C767 - D767)/($L$7 - D767)</f>
        <v>0.66386466278847234</v>
      </c>
      <c r="H767" s="23">
        <f t="shared" si="23"/>
        <v>-0.40967697138174514</v>
      </c>
      <c r="I767" s="23"/>
      <c r="J767" s="15"/>
      <c r="K767" s="15"/>
      <c r="L767" s="15"/>
      <c r="M767" s="15"/>
      <c r="N767" s="15"/>
      <c r="O767" s="15"/>
      <c r="P767" s="15"/>
      <c r="Q767" s="15"/>
    </row>
    <row r="768" spans="1:17">
      <c r="A768" s="14">
        <v>431.46</v>
      </c>
      <c r="B768" s="23">
        <v>31.986533999999999</v>
      </c>
      <c r="C768" s="23">
        <v>58.539124000000001</v>
      </c>
      <c r="D768" s="23">
        <v>21.942032999999999</v>
      </c>
      <c r="E768" s="23">
        <f>(B768 - D768)/($L$7 - D768)</f>
        <v>0.18212015911402199</v>
      </c>
      <c r="F768" s="23">
        <f t="shared" si="22"/>
        <v>-1.7030885948391199</v>
      </c>
      <c r="G768" s="23">
        <f>(C768 - D768)/($L$7 - D768)</f>
        <v>0.66355392229343635</v>
      </c>
      <c r="H768" s="23">
        <f t="shared" si="23"/>
        <v>-0.41014515904192167</v>
      </c>
      <c r="I768" s="23"/>
      <c r="J768" s="15"/>
      <c r="K768" s="15"/>
      <c r="L768" s="15"/>
      <c r="M768" s="15"/>
      <c r="N768" s="15"/>
      <c r="O768" s="15"/>
      <c r="P768" s="15"/>
      <c r="Q768" s="15"/>
    </row>
    <row r="769" spans="1:17">
      <c r="A769" s="14">
        <v>432.024</v>
      </c>
      <c r="B769" s="23">
        <v>31.929864999999999</v>
      </c>
      <c r="C769" s="23">
        <v>58.520887000000002</v>
      </c>
      <c r="D769" s="23">
        <v>21.945208000000001</v>
      </c>
      <c r="E769" s="23">
        <f>(B769 - D769)/($L$7 - D769)</f>
        <v>0.18104553006349339</v>
      </c>
      <c r="F769" s="23">
        <f t="shared" si="22"/>
        <v>-1.7090067320369136</v>
      </c>
      <c r="G769" s="23">
        <f>(C769 - D769)/($L$7 - D769)</f>
        <v>0.66320387290091032</v>
      </c>
      <c r="H769" s="23">
        <f t="shared" si="23"/>
        <v>-0.41067283546020439</v>
      </c>
      <c r="I769" s="23"/>
      <c r="J769" s="15"/>
      <c r="K769" s="15"/>
      <c r="L769" s="15"/>
      <c r="M769" s="15"/>
      <c r="N769" s="15"/>
      <c r="O769" s="15"/>
      <c r="P769" s="15"/>
      <c r="Q769" s="15"/>
    </row>
    <row r="770" spans="1:17">
      <c r="A770" s="14">
        <v>432.58800000000002</v>
      </c>
      <c r="B770" s="23">
        <v>31.910115999999999</v>
      </c>
      <c r="C770" s="23">
        <v>58.505456000000002</v>
      </c>
      <c r="D770" s="23">
        <v>21.953002000000001</v>
      </c>
      <c r="E770" s="23">
        <f>(B770 - D770)/($L$7 - D770)</f>
        <v>0.18057162915418795</v>
      </c>
      <c r="F770" s="23">
        <f t="shared" si="22"/>
        <v>-1.7116277425090212</v>
      </c>
      <c r="G770" s="23">
        <f>(C770 - D770)/($L$7 - D770)</f>
        <v>0.66287642868842478</v>
      </c>
      <c r="H770" s="23">
        <f t="shared" si="23"/>
        <v>-0.41116668823631175</v>
      </c>
      <c r="I770" s="23"/>
      <c r="J770" s="15"/>
      <c r="K770" s="15"/>
      <c r="L770" s="15"/>
      <c r="M770" s="15"/>
      <c r="N770" s="15"/>
      <c r="O770" s="15"/>
      <c r="P770" s="15"/>
      <c r="Q770" s="15"/>
    </row>
    <row r="771" spans="1:17">
      <c r="A771" s="14">
        <v>433.15199999999999</v>
      </c>
      <c r="B771" s="23">
        <v>31.895233000000001</v>
      </c>
      <c r="C771" s="23">
        <v>58.479923999999997</v>
      </c>
      <c r="D771" s="23">
        <v>21.955023000000001</v>
      </c>
      <c r="E771" s="23">
        <f>(B771 - D771)/($L$7 - D771)</f>
        <v>0.18027168327376908</v>
      </c>
      <c r="F771" s="23">
        <f t="shared" si="22"/>
        <v>-1.7132902144971178</v>
      </c>
      <c r="G771" s="23">
        <f>(C771 - D771)/($L$7 - D771)</f>
        <v>0.66240103425156727</v>
      </c>
      <c r="H771" s="23">
        <f t="shared" si="23"/>
        <v>-0.41188411454218637</v>
      </c>
      <c r="I771" s="23"/>
      <c r="J771" s="15"/>
      <c r="K771" s="15"/>
      <c r="L771" s="15"/>
      <c r="M771" s="15"/>
      <c r="N771" s="15"/>
      <c r="O771" s="15"/>
      <c r="P771" s="15"/>
      <c r="Q771" s="15"/>
    </row>
    <row r="772" spans="1:17">
      <c r="A772" s="14">
        <v>433.71600000000001</v>
      </c>
      <c r="B772" s="23">
        <v>31.870331</v>
      </c>
      <c r="C772" s="23">
        <v>58.468420999999999</v>
      </c>
      <c r="D772" s="23">
        <v>21.960796999999999</v>
      </c>
      <c r="E772" s="23">
        <f>(B772 - D772)/($L$7 - D772)</f>
        <v>0.17973417643206313</v>
      </c>
      <c r="F772" s="23">
        <f t="shared" ref="F772:F835" si="24">LN(E772)</f>
        <v>-1.7162763172319395</v>
      </c>
      <c r="G772" s="23">
        <f>(C772 - D772)/($L$7 - D772)</f>
        <v>0.6621570432203393</v>
      </c>
      <c r="H772" s="23">
        <f t="shared" ref="H772:H835" si="25">LN(G772)</f>
        <v>-0.41225252577025928</v>
      </c>
      <c r="I772" s="23"/>
      <c r="J772" s="15"/>
      <c r="K772" s="15"/>
      <c r="L772" s="15"/>
      <c r="M772" s="15"/>
      <c r="N772" s="15"/>
      <c r="O772" s="15"/>
      <c r="P772" s="15"/>
      <c r="Q772" s="15"/>
    </row>
    <row r="773" spans="1:17">
      <c r="A773" s="14">
        <v>434.28</v>
      </c>
      <c r="B773" s="23">
        <v>31.847432999999999</v>
      </c>
      <c r="C773" s="23">
        <v>58.449902999999999</v>
      </c>
      <c r="D773" s="23">
        <v>21.960508000000001</v>
      </c>
      <c r="E773" s="23">
        <f>(B773 - D773)/($L$7 - D773)</f>
        <v>0.17932316572158088</v>
      </c>
      <c r="F773" s="23">
        <f t="shared" si="24"/>
        <v>-1.7185657058155912</v>
      </c>
      <c r="G773" s="23">
        <f>(C773 - D773)/($L$7 - D773)</f>
        <v>0.66182294562416788</v>
      </c>
      <c r="H773" s="23">
        <f t="shared" si="25"/>
        <v>-0.41275721255718639</v>
      </c>
      <c r="I773" s="23"/>
      <c r="J773" s="15"/>
      <c r="K773" s="15"/>
      <c r="L773" s="15"/>
      <c r="M773" s="15"/>
      <c r="N773" s="15"/>
      <c r="O773" s="15"/>
      <c r="P773" s="15"/>
      <c r="Q773" s="15"/>
    </row>
    <row r="774" spans="1:17">
      <c r="A774" s="14">
        <v>434.84399999999999</v>
      </c>
      <c r="B774" s="23">
        <v>31.834838000000001</v>
      </c>
      <c r="C774" s="23">
        <v>58.430543</v>
      </c>
      <c r="D774" s="23">
        <v>21.964665</v>
      </c>
      <c r="E774" s="23">
        <f>(B774 - D774)/($L$7 - D774)</f>
        <v>0.17903282648099772</v>
      </c>
      <c r="F774" s="23">
        <f t="shared" si="24"/>
        <v>-1.720186101792937</v>
      </c>
      <c r="G774" s="23">
        <f>(C774 - D774)/($L$7 - D774)</f>
        <v>0.66144627945743528</v>
      </c>
      <c r="H774" s="23">
        <f t="shared" si="25"/>
        <v>-0.41332650891769451</v>
      </c>
      <c r="I774" s="23"/>
      <c r="J774" s="15"/>
      <c r="K774" s="15"/>
      <c r="L774" s="15"/>
      <c r="M774" s="15"/>
      <c r="N774" s="15"/>
      <c r="O774" s="15"/>
      <c r="P774" s="15"/>
      <c r="Q774" s="15"/>
    </row>
    <row r="775" spans="1:17">
      <c r="A775" s="14">
        <v>435.40800000000002</v>
      </c>
      <c r="B775" s="23">
        <v>31.809363000000001</v>
      </c>
      <c r="C775" s="23">
        <v>58.411462999999998</v>
      </c>
      <c r="D775" s="23">
        <v>21.964953000000001</v>
      </c>
      <c r="E775" s="23">
        <f>(B775 - D775)/($L$7 - D775)</f>
        <v>0.17856645010007485</v>
      </c>
      <c r="F775" s="23">
        <f t="shared" si="24"/>
        <v>-1.7227944775693231</v>
      </c>
      <c r="G775" s="23">
        <f>(C775 - D775)/($L$7 - D775)</f>
        <v>0.66109842126007334</v>
      </c>
      <c r="H775" s="23">
        <f t="shared" si="25"/>
        <v>-0.41385255269556442</v>
      </c>
      <c r="I775" s="23"/>
      <c r="J775" s="15"/>
      <c r="K775" s="15"/>
      <c r="L775" s="15"/>
      <c r="M775" s="15"/>
      <c r="N775" s="15"/>
      <c r="O775" s="15"/>
      <c r="P775" s="15"/>
      <c r="Q775" s="15"/>
    </row>
    <row r="776" spans="1:17">
      <c r="A776" s="14">
        <v>435.97199999999998</v>
      </c>
      <c r="B776" s="23">
        <v>31.803637999999999</v>
      </c>
      <c r="C776" s="23">
        <v>58.397433999999997</v>
      </c>
      <c r="D776" s="23">
        <v>21.965126999999999</v>
      </c>
      <c r="E776" s="23">
        <f>(B776 - D776)/($L$7 - D776)</f>
        <v>0.17846001216867916</v>
      </c>
      <c r="F776" s="23">
        <f t="shared" si="24"/>
        <v>-1.723390724322982</v>
      </c>
      <c r="G776" s="23">
        <f>(C776 - D776)/($L$7 - D776)</f>
        <v>0.66084288065064456</v>
      </c>
      <c r="H776" s="23">
        <f t="shared" si="25"/>
        <v>-0.41423916685497136</v>
      </c>
      <c r="I776" s="23"/>
      <c r="J776" s="15"/>
      <c r="K776" s="15"/>
      <c r="L776" s="15"/>
      <c r="M776" s="15"/>
      <c r="N776" s="15"/>
      <c r="O776" s="15"/>
      <c r="P776" s="15"/>
      <c r="Q776" s="15"/>
    </row>
    <row r="777" spans="1:17">
      <c r="A777" s="14">
        <v>436.536</v>
      </c>
      <c r="B777" s="23">
        <v>31.778448000000001</v>
      </c>
      <c r="C777" s="23">
        <v>58.380318000000003</v>
      </c>
      <c r="D777" s="23">
        <v>21.969746000000001</v>
      </c>
      <c r="E777" s="23">
        <f>(B777 - D777)/($L$7 - D777)</f>
        <v>0.17793421694230468</v>
      </c>
      <c r="F777" s="23">
        <f t="shared" si="24"/>
        <v>-1.7263413647369004</v>
      </c>
      <c r="G777" s="23">
        <f>(C777 - D777)/($L$7 - D777)</f>
        <v>0.66050397058055232</v>
      </c>
      <c r="H777" s="23">
        <f t="shared" si="25"/>
        <v>-0.41475214356083523</v>
      </c>
      <c r="I777" s="23"/>
      <c r="J777" s="15"/>
      <c r="K777" s="15"/>
      <c r="L777" s="15"/>
      <c r="M777" s="15"/>
      <c r="N777" s="15"/>
      <c r="O777" s="15"/>
      <c r="P777" s="15"/>
      <c r="Q777" s="15"/>
    </row>
    <row r="778" spans="1:17">
      <c r="A778" s="14">
        <v>437.1</v>
      </c>
      <c r="B778" s="23">
        <v>31.770880999999999</v>
      </c>
      <c r="C778" s="23">
        <v>58.351697000000001</v>
      </c>
      <c r="D778" s="23">
        <v>21.983025000000001</v>
      </c>
      <c r="E778" s="23">
        <f>(B778 - D778)/($L$7 - D778)</f>
        <v>0.17759884247688995</v>
      </c>
      <c r="F778" s="23">
        <f t="shared" si="24"/>
        <v>-1.7282279660303861</v>
      </c>
      <c r="G778" s="23">
        <f>(C778 - D778)/($L$7 - D778)</f>
        <v>0.65990284793949572</v>
      </c>
      <c r="H778" s="23">
        <f t="shared" si="25"/>
        <v>-0.41566265488833576</v>
      </c>
      <c r="I778" s="23"/>
      <c r="J778" s="15"/>
      <c r="K778" s="15"/>
      <c r="L778" s="15"/>
      <c r="M778" s="15"/>
      <c r="N778" s="15"/>
      <c r="O778" s="15"/>
      <c r="P778" s="15"/>
      <c r="Q778" s="15"/>
    </row>
    <row r="779" spans="1:17">
      <c r="A779" s="14">
        <v>437.66399999999999</v>
      </c>
      <c r="B779" s="23">
        <v>31.729946999999999</v>
      </c>
      <c r="C779" s="23">
        <v>58.331775</v>
      </c>
      <c r="D779" s="23">
        <v>21.982562000000001</v>
      </c>
      <c r="E779" s="23">
        <f>(B779 - D779)/($L$7 - D779)</f>
        <v>0.17686301780876915</v>
      </c>
      <c r="F779" s="23">
        <f t="shared" si="24"/>
        <v>-1.7323797567166999</v>
      </c>
      <c r="G779" s="23">
        <f>(C779 - D779)/($L$7 - D779)</f>
        <v>0.65954422710847516</v>
      </c>
      <c r="H779" s="23">
        <f t="shared" si="25"/>
        <v>-0.41620624749865454</v>
      </c>
      <c r="I779" s="23"/>
      <c r="J779" s="15"/>
      <c r="K779" s="15"/>
      <c r="L779" s="15"/>
      <c r="M779" s="15"/>
      <c r="N779" s="15"/>
      <c r="O779" s="15"/>
      <c r="P779" s="15"/>
      <c r="Q779" s="15"/>
    </row>
    <row r="780" spans="1:17">
      <c r="A780" s="14">
        <v>438.22800000000001</v>
      </c>
      <c r="B780" s="23">
        <v>31.701319999999999</v>
      </c>
      <c r="C780" s="23">
        <v>58.337667000000003</v>
      </c>
      <c r="D780" s="23">
        <v>21.982448000000002</v>
      </c>
      <c r="E780" s="23">
        <f>(B780 - D780)/($L$7 - D780)</f>
        <v>0.17634529425847068</v>
      </c>
      <c r="F780" s="23">
        <f t="shared" si="24"/>
        <v>-1.7353113067589061</v>
      </c>
      <c r="G780" s="23">
        <f>(C780 - D780)/($L$7 - D780)</f>
        <v>0.65965183947130357</v>
      </c>
      <c r="H780" s="23">
        <f t="shared" si="25"/>
        <v>-0.41604309909972681</v>
      </c>
      <c r="I780" s="23"/>
      <c r="J780" s="15"/>
      <c r="K780" s="15"/>
      <c r="L780" s="15"/>
      <c r="M780" s="15"/>
      <c r="N780" s="15"/>
      <c r="O780" s="15"/>
      <c r="P780" s="15"/>
      <c r="Q780" s="15"/>
    </row>
    <row r="781" spans="1:17">
      <c r="A781" s="14">
        <v>438.79199999999997</v>
      </c>
      <c r="B781" s="23">
        <v>31.69445</v>
      </c>
      <c r="C781" s="23">
        <v>58.307923000000002</v>
      </c>
      <c r="D781" s="23">
        <v>21.991973999999999</v>
      </c>
      <c r="E781" s="23">
        <f>(B781 - D781)/($L$7 - D781)</f>
        <v>0.17607822934169429</v>
      </c>
      <c r="F781" s="23">
        <f t="shared" si="24"/>
        <v>-1.7368268978021444</v>
      </c>
      <c r="G781" s="23">
        <f>(C781 - D781)/($L$7 - D781)</f>
        <v>0.65905321453856458</v>
      </c>
      <c r="H781" s="23">
        <f t="shared" si="25"/>
        <v>-0.41695099730188839</v>
      </c>
      <c r="I781" s="23"/>
      <c r="J781" s="15"/>
      <c r="K781" s="15"/>
      <c r="L781" s="15"/>
      <c r="M781" s="15"/>
      <c r="N781" s="15"/>
      <c r="O781" s="15"/>
      <c r="P781" s="15"/>
      <c r="Q781" s="15"/>
    </row>
    <row r="782" spans="1:17">
      <c r="A782" s="14">
        <v>439.35599999999999</v>
      </c>
      <c r="B782" s="23">
        <v>31.686147999999999</v>
      </c>
      <c r="C782" s="23">
        <v>58.294454000000002</v>
      </c>
      <c r="D782" s="23">
        <v>21.987469999999998</v>
      </c>
      <c r="E782" s="23">
        <f>(B782 - D782)/($L$7 - D782)</f>
        <v>0.17599491875148665</v>
      </c>
      <c r="F782" s="23">
        <f t="shared" si="24"/>
        <v>-1.7373001550909424</v>
      </c>
      <c r="G782" s="23">
        <f>(C782 - D782)/($L$7 - D782)</f>
        <v>0.65883666817184006</v>
      </c>
      <c r="H782" s="23">
        <f t="shared" si="25"/>
        <v>-0.41727962319319278</v>
      </c>
      <c r="I782" s="23"/>
      <c r="J782" s="15"/>
      <c r="K782" s="15"/>
      <c r="L782" s="15"/>
      <c r="M782" s="15"/>
      <c r="N782" s="15"/>
      <c r="O782" s="15"/>
      <c r="P782" s="15"/>
      <c r="Q782" s="15"/>
    </row>
    <row r="783" spans="1:17">
      <c r="A783" s="14">
        <v>439.92</v>
      </c>
      <c r="B783" s="23">
        <v>31.677845999999999</v>
      </c>
      <c r="C783" s="23">
        <v>58.270209000000001</v>
      </c>
      <c r="D783" s="23">
        <v>21.991973999999999</v>
      </c>
      <c r="E783" s="23">
        <f>(B783 - D783)/($L$7 - D783)</f>
        <v>0.17577690389445899</v>
      </c>
      <c r="F783" s="23">
        <f t="shared" si="24"/>
        <v>-1.7385396795264207</v>
      </c>
      <c r="G783" s="23">
        <f>(C783 - D783)/($L$7 - D783)</f>
        <v>0.65836878982662572</v>
      </c>
      <c r="H783" s="23">
        <f t="shared" si="25"/>
        <v>-0.41799003380081784</v>
      </c>
      <c r="I783" s="23"/>
      <c r="J783" s="15"/>
      <c r="K783" s="15"/>
      <c r="L783" s="15"/>
      <c r="M783" s="15"/>
      <c r="N783" s="15"/>
      <c r="O783" s="15"/>
      <c r="P783" s="15"/>
      <c r="Q783" s="15"/>
    </row>
    <row r="784" spans="1:17">
      <c r="A784" s="14">
        <v>440.48399999999998</v>
      </c>
      <c r="B784" s="23">
        <v>31.655802999999999</v>
      </c>
      <c r="C784" s="23">
        <v>58.254607999999998</v>
      </c>
      <c r="D784" s="23">
        <v>22.000634000000002</v>
      </c>
      <c r="E784" s="23">
        <f>(B784 - D784)/($L$7 - D784)</f>
        <v>0.17524725493729396</v>
      </c>
      <c r="F784" s="23">
        <f t="shared" si="24"/>
        <v>-1.7415574168860122</v>
      </c>
      <c r="G784" s="23">
        <f>(C784 - D784)/($L$7 - D784)</f>
        <v>0.65803192301118996</v>
      </c>
      <c r="H784" s="23">
        <f t="shared" si="25"/>
        <v>-0.4185018336190704</v>
      </c>
      <c r="I784" s="23"/>
      <c r="J784" s="15"/>
      <c r="K784" s="15"/>
      <c r="L784" s="15"/>
      <c r="M784" s="15"/>
      <c r="N784" s="15"/>
      <c r="O784" s="15"/>
      <c r="P784" s="15"/>
      <c r="Q784" s="15"/>
    </row>
    <row r="785" spans="1:17">
      <c r="A785" s="14">
        <v>441.048</v>
      </c>
      <c r="B785" s="23">
        <v>31.639485000000001</v>
      </c>
      <c r="C785" s="23">
        <v>58.242708999999998</v>
      </c>
      <c r="D785" s="23">
        <v>21.992840000000001</v>
      </c>
      <c r="E785" s="23">
        <f>(B785 - D785)/($L$7 - D785)</f>
        <v>0.17506777297648995</v>
      </c>
      <c r="F785" s="23">
        <f t="shared" si="24"/>
        <v>-1.7425821058785302</v>
      </c>
      <c r="G785" s="23">
        <f>(C785 - D785)/($L$7 - D785)</f>
        <v>0.65786434936908134</v>
      </c>
      <c r="H785" s="23">
        <f t="shared" si="25"/>
        <v>-0.41875652488392423</v>
      </c>
      <c r="I785" s="23"/>
      <c r="J785" s="15"/>
      <c r="K785" s="15"/>
      <c r="L785" s="15"/>
      <c r="M785" s="15"/>
      <c r="N785" s="15"/>
      <c r="O785" s="15"/>
      <c r="P785" s="15"/>
      <c r="Q785" s="15"/>
    </row>
    <row r="786" spans="1:17">
      <c r="A786" s="14">
        <v>441.61200000000002</v>
      </c>
      <c r="B786" s="23">
        <v>31.624310999999999</v>
      </c>
      <c r="C786" s="23">
        <v>58.225310999999998</v>
      </c>
      <c r="D786" s="23">
        <v>22.002077</v>
      </c>
      <c r="E786" s="23">
        <f>(B786 - D786)/($L$7 - D786)</f>
        <v>0.17465403885629324</v>
      </c>
      <c r="F786" s="23">
        <f t="shared" si="24"/>
        <v>-1.7449481825670068</v>
      </c>
      <c r="G786" s="23">
        <f>(C786 - D786)/($L$7 - D786)</f>
        <v>0.65749119368086484</v>
      </c>
      <c r="H786" s="23">
        <f t="shared" si="25"/>
        <v>-0.41932390866118324</v>
      </c>
      <c r="I786" s="23"/>
      <c r="J786" s="15"/>
      <c r="K786" s="15"/>
      <c r="L786" s="15"/>
      <c r="M786" s="15"/>
      <c r="N786" s="15"/>
      <c r="O786" s="15"/>
      <c r="P786" s="15"/>
      <c r="Q786" s="15"/>
    </row>
    <row r="787" spans="1:17">
      <c r="A787" s="14">
        <v>442.17599999999999</v>
      </c>
      <c r="B787" s="23">
        <v>31.605416000000002</v>
      </c>
      <c r="C787" s="23">
        <v>58.201008999999999</v>
      </c>
      <c r="D787" s="23">
        <v>22.005541000000001</v>
      </c>
      <c r="E787" s="23">
        <f>(B787 - D787)/($L$7 - D787)</f>
        <v>0.17425915523688709</v>
      </c>
      <c r="F787" s="23">
        <f t="shared" si="24"/>
        <v>-1.7472116899074508</v>
      </c>
      <c r="G787" s="23">
        <f>(C787 - D787)/($L$7 - D787)</f>
        <v>0.65702852142176627</v>
      </c>
      <c r="H787" s="23">
        <f t="shared" si="25"/>
        <v>-0.42002784983892094</v>
      </c>
      <c r="I787" s="23"/>
      <c r="J787" s="15"/>
      <c r="K787" s="15"/>
      <c r="L787" s="15"/>
      <c r="M787" s="15"/>
      <c r="N787" s="15"/>
      <c r="O787" s="15"/>
      <c r="P787" s="15"/>
      <c r="Q787" s="15"/>
    </row>
    <row r="788" spans="1:17">
      <c r="A788" s="14">
        <v>442.74</v>
      </c>
      <c r="B788" s="23">
        <v>31.589259999999999</v>
      </c>
      <c r="C788" s="23">
        <v>58.176875000000003</v>
      </c>
      <c r="D788" s="23">
        <v>21.998612999999999</v>
      </c>
      <c r="E788" s="23">
        <f>(B788 - D788)/($L$7 - D788)</f>
        <v>0.17406975566338764</v>
      </c>
      <c r="F788" s="23">
        <f t="shared" si="24"/>
        <v>-1.7482991654872144</v>
      </c>
      <c r="G788" s="23">
        <f>(C788 - D788)/($L$7 - D788)</f>
        <v>0.6566336167587048</v>
      </c>
      <c r="H788" s="23">
        <f t="shared" si="25"/>
        <v>-0.42062907699387886</v>
      </c>
      <c r="I788" s="23"/>
      <c r="J788" s="15"/>
      <c r="K788" s="15"/>
      <c r="L788" s="15"/>
      <c r="M788" s="15"/>
      <c r="N788" s="15"/>
      <c r="O788" s="15"/>
      <c r="P788" s="15"/>
      <c r="Q788" s="15"/>
    </row>
    <row r="789" spans="1:17">
      <c r="A789" s="14">
        <v>443.30399999999997</v>
      </c>
      <c r="B789" s="23">
        <v>31.574372</v>
      </c>
      <c r="C789" s="23">
        <v>58.169297999999998</v>
      </c>
      <c r="D789" s="23">
        <v>22.002077</v>
      </c>
      <c r="E789" s="23">
        <f>(B789 - D789)/($L$7 - D789)</f>
        <v>0.17374759155450822</v>
      </c>
      <c r="F789" s="23">
        <f t="shared" si="24"/>
        <v>-1.7501516561900949</v>
      </c>
      <c r="G789" s="23">
        <f>(C789 - D789)/($L$7 - D789)</f>
        <v>0.65647449665619706</v>
      </c>
      <c r="H789" s="23">
        <f t="shared" si="25"/>
        <v>-0.42087143343301897</v>
      </c>
      <c r="I789" s="23"/>
      <c r="J789" s="15"/>
      <c r="K789" s="15"/>
      <c r="L789" s="15"/>
      <c r="M789" s="15"/>
      <c r="N789" s="15"/>
      <c r="O789" s="15"/>
      <c r="P789" s="15"/>
      <c r="Q789" s="15"/>
    </row>
    <row r="790" spans="1:17">
      <c r="A790" s="14">
        <v>443.86799999999999</v>
      </c>
      <c r="B790" s="23">
        <v>31.56063</v>
      </c>
      <c r="C790" s="23">
        <v>58.147576999999998</v>
      </c>
      <c r="D790" s="23">
        <v>22.004964000000001</v>
      </c>
      <c r="E790" s="23">
        <f>(B790 - D790)/($L$7 - D790)</f>
        <v>0.17345484648800288</v>
      </c>
      <c r="F790" s="23">
        <f t="shared" si="24"/>
        <v>-1.7518379642559454</v>
      </c>
      <c r="G790" s="23">
        <f>(C790 - D790)/($L$7 - D790)</f>
        <v>0.65606221372642137</v>
      </c>
      <c r="H790" s="23">
        <f t="shared" si="25"/>
        <v>-0.42149965653729304</v>
      </c>
      <c r="I790" s="23"/>
      <c r="J790" s="15"/>
      <c r="K790" s="15"/>
      <c r="L790" s="15"/>
      <c r="M790" s="15"/>
      <c r="N790" s="15"/>
      <c r="O790" s="15"/>
      <c r="P790" s="15"/>
      <c r="Q790" s="15"/>
    </row>
    <row r="791" spans="1:17">
      <c r="A791" s="14">
        <v>444.43200000000002</v>
      </c>
      <c r="B791" s="23">
        <v>31.552899</v>
      </c>
      <c r="C791" s="23">
        <v>58.131300000000003</v>
      </c>
      <c r="D791" s="23">
        <v>22.006696000000002</v>
      </c>
      <c r="E791" s="23">
        <f>(B791 - D791)/($L$7 - D791)</f>
        <v>0.17328852179466164</v>
      </c>
      <c r="F791" s="23">
        <f t="shared" si="24"/>
        <v>-1.7527973176066471</v>
      </c>
      <c r="G791" s="23">
        <f>(C791 - D791)/($L$7 - D791)</f>
        <v>0.65575593014076095</v>
      </c>
      <c r="H791" s="23">
        <f t="shared" si="25"/>
        <v>-0.42196661698094567</v>
      </c>
      <c r="I791" s="23"/>
      <c r="J791" s="15"/>
      <c r="K791" s="15"/>
      <c r="L791" s="15"/>
      <c r="M791" s="15"/>
      <c r="N791" s="15"/>
      <c r="O791" s="15"/>
      <c r="P791" s="15"/>
      <c r="Q791" s="15"/>
    </row>
    <row r="792" spans="1:17">
      <c r="A792" s="14">
        <v>444.99599999999998</v>
      </c>
      <c r="B792" s="23">
        <v>31.535596999999999</v>
      </c>
      <c r="C792" s="23">
        <v>58.120074000000002</v>
      </c>
      <c r="D792" s="23">
        <v>22.007562</v>
      </c>
      <c r="E792" s="23">
        <f>(B792 - D792)/($L$7 - D792)</f>
        <v>0.17296144411674025</v>
      </c>
      <c r="F792" s="23">
        <f t="shared" si="24"/>
        <v>-1.7546865756999837</v>
      </c>
      <c r="G792" s="23">
        <f>(C792 - D792)/($L$7 - D792)</f>
        <v>0.65554673405409536</v>
      </c>
      <c r="H792" s="23">
        <f t="shared" si="25"/>
        <v>-0.42228568304273667</v>
      </c>
      <c r="I792" s="23"/>
      <c r="J792" s="15"/>
      <c r="K792" s="15"/>
      <c r="L792" s="15"/>
      <c r="M792" s="15"/>
      <c r="N792" s="15"/>
      <c r="O792" s="15"/>
      <c r="P792" s="15"/>
      <c r="Q792" s="15"/>
    </row>
    <row r="793" spans="1:17">
      <c r="A793" s="14">
        <v>445.56</v>
      </c>
      <c r="B793" s="23">
        <v>31.513551</v>
      </c>
      <c r="C793" s="23">
        <v>58.096499999999999</v>
      </c>
      <c r="D793" s="23">
        <v>22.012468999999999</v>
      </c>
      <c r="E793" s="23">
        <f>(B793 - D793)/($L$7 - D793)</f>
        <v>0.17248753361240332</v>
      </c>
      <c r="F793" s="23">
        <f t="shared" si="24"/>
        <v>-1.7574303140358503</v>
      </c>
      <c r="G793" s="23">
        <f>(C793 - D793)/($L$7 - D793)</f>
        <v>0.65508807417760451</v>
      </c>
      <c r="H793" s="23">
        <f t="shared" si="25"/>
        <v>-0.42298558799312203</v>
      </c>
      <c r="I793" s="23"/>
      <c r="J793" s="15"/>
      <c r="K793" s="15"/>
      <c r="L793" s="15"/>
      <c r="M793" s="15"/>
      <c r="N793" s="15"/>
      <c r="O793" s="15"/>
      <c r="P793" s="15"/>
      <c r="Q793" s="15"/>
    </row>
    <row r="794" spans="1:17">
      <c r="A794" s="14">
        <v>446.12400000000002</v>
      </c>
      <c r="B794" s="23">
        <v>31.497230999999999</v>
      </c>
      <c r="C794" s="23">
        <v>58.080784000000001</v>
      </c>
      <c r="D794" s="23">
        <v>22.017088000000001</v>
      </c>
      <c r="E794" s="23">
        <f>(B794 - D794)/($L$7 - D794)</f>
        <v>0.17212182962454511</v>
      </c>
      <c r="F794" s="23">
        <f t="shared" si="24"/>
        <v>-1.7595527411324634</v>
      </c>
      <c r="G794" s="23">
        <f>(C794 - D794)/($L$7 - D794)</f>
        <v>0.65477380863805434</v>
      </c>
      <c r="H794" s="23">
        <f t="shared" si="25"/>
        <v>-0.42346543331071329</v>
      </c>
      <c r="I794" s="23"/>
      <c r="J794" s="15"/>
      <c r="K794" s="15"/>
      <c r="L794" s="15"/>
      <c r="M794" s="15"/>
      <c r="N794" s="15"/>
      <c r="O794" s="15"/>
      <c r="P794" s="15"/>
      <c r="Q794" s="15"/>
    </row>
    <row r="795" spans="1:17">
      <c r="A795" s="14">
        <v>446.68799999999999</v>
      </c>
      <c r="B795" s="23">
        <v>31.478334</v>
      </c>
      <c r="C795" s="23">
        <v>58.055413000000001</v>
      </c>
      <c r="D795" s="23">
        <v>22.019686</v>
      </c>
      <c r="E795" s="23">
        <f>(B795 - D795)/($L$7 - D795)</f>
        <v>0.1717396664578624</v>
      </c>
      <c r="F795" s="23">
        <f t="shared" si="24"/>
        <v>-1.761775515873943</v>
      </c>
      <c r="G795" s="23">
        <f>(C795 - D795)/($L$7 - D795)</f>
        <v>0.65429686521229957</v>
      </c>
      <c r="H795" s="23">
        <f t="shared" si="25"/>
        <v>-0.42419410817355374</v>
      </c>
      <c r="I795" s="23"/>
      <c r="J795" s="15"/>
      <c r="K795" s="15"/>
      <c r="L795" s="15"/>
      <c r="M795" s="15"/>
      <c r="N795" s="15"/>
      <c r="O795" s="15"/>
      <c r="P795" s="15"/>
      <c r="Q795" s="15"/>
    </row>
    <row r="796" spans="1:17">
      <c r="A796" s="14">
        <v>447.25200000000001</v>
      </c>
      <c r="B796" s="23">
        <v>31.462299999999999</v>
      </c>
      <c r="C796" s="23">
        <v>58.043906</v>
      </c>
      <c r="D796" s="23">
        <v>22.015933</v>
      </c>
      <c r="E796" s="23">
        <f>(B796 - D796)/($L$7 - D796)</f>
        <v>0.1715049948117488</v>
      </c>
      <c r="F796" s="23">
        <f t="shared" si="24"/>
        <v>-1.7631428885334888</v>
      </c>
      <c r="G796" s="23">
        <f>(C796 - D796)/($L$7 - D796)</f>
        <v>0.65411150365456128</v>
      </c>
      <c r="H796" s="23">
        <f t="shared" si="25"/>
        <v>-0.4244774471728891</v>
      </c>
      <c r="I796" s="23"/>
      <c r="J796" s="15"/>
      <c r="K796" s="15"/>
      <c r="L796" s="15"/>
      <c r="M796" s="15"/>
      <c r="N796" s="15"/>
      <c r="O796" s="15"/>
      <c r="P796" s="15"/>
      <c r="Q796" s="15"/>
    </row>
    <row r="797" spans="1:17">
      <c r="A797" s="14">
        <v>447.81599999999997</v>
      </c>
      <c r="B797" s="23">
        <v>31.443277999999999</v>
      </c>
      <c r="C797" s="23">
        <v>58.028190000000002</v>
      </c>
      <c r="D797" s="23">
        <v>22.011892</v>
      </c>
      <c r="E797" s="23">
        <f>(B797 - D797)/($L$7 - D797)</f>
        <v>0.17122044298948427</v>
      </c>
      <c r="F797" s="23">
        <f t="shared" si="24"/>
        <v>-1.7648034124179948</v>
      </c>
      <c r="G797" s="23">
        <f>(C797 - D797)/($L$7 - D797)</f>
        <v>0.653851565231375</v>
      </c>
      <c r="H797" s="23">
        <f t="shared" si="25"/>
        <v>-0.42487491776329323</v>
      </c>
      <c r="I797" s="23"/>
      <c r="J797" s="15"/>
      <c r="K797" s="15"/>
      <c r="L797" s="15"/>
      <c r="M797" s="15"/>
      <c r="N797" s="15"/>
      <c r="O797" s="15"/>
      <c r="P797" s="15"/>
      <c r="Q797" s="15"/>
    </row>
    <row r="798" spans="1:17">
      <c r="A798" s="14">
        <v>448.38</v>
      </c>
      <c r="B798" s="23">
        <v>31.429819999999999</v>
      </c>
      <c r="C798" s="23">
        <v>58.010900999999997</v>
      </c>
      <c r="D798" s="23">
        <v>22.018993999999999</v>
      </c>
      <c r="E798" s="23">
        <f>(B798 - D798)/($L$7 - D798)</f>
        <v>0.17086922058809004</v>
      </c>
      <c r="F798" s="23">
        <f t="shared" si="24"/>
        <v>-1.7668568069644996</v>
      </c>
      <c r="G798" s="23">
        <f>(C798 - D798)/($L$7 - D798)</f>
        <v>0.6534930192704681</v>
      </c>
      <c r="H798" s="23">
        <f t="shared" si="25"/>
        <v>-0.42542342803999733</v>
      </c>
      <c r="I798" s="23"/>
      <c r="J798" s="15"/>
      <c r="K798" s="15"/>
      <c r="L798" s="15"/>
      <c r="M798" s="15"/>
      <c r="N798" s="15"/>
      <c r="O798" s="15"/>
      <c r="P798" s="15"/>
      <c r="Q798" s="15"/>
    </row>
    <row r="799" spans="1:17">
      <c r="A799" s="14">
        <v>448.94400000000002</v>
      </c>
      <c r="B799" s="23">
        <v>31.411332999999999</v>
      </c>
      <c r="C799" s="23">
        <v>57.991816</v>
      </c>
      <c r="D799" s="23">
        <v>22.020147999999999</v>
      </c>
      <c r="E799" s="23">
        <f>(B799 - D799)/($L$7 - D799)</f>
        <v>0.17051617830930957</v>
      </c>
      <c r="F799" s="23">
        <f t="shared" si="24"/>
        <v>-1.7689250993154635</v>
      </c>
      <c r="G799" s="23">
        <f>(C799 - D799)/($L$7 - D799)</f>
        <v>0.65313923160615883</v>
      </c>
      <c r="H799" s="23">
        <f t="shared" si="25"/>
        <v>-0.42596495404736107</v>
      </c>
      <c r="I799" s="23"/>
      <c r="J799" s="15"/>
      <c r="K799" s="15"/>
      <c r="L799" s="15"/>
      <c r="M799" s="15"/>
      <c r="N799" s="15"/>
      <c r="O799" s="15"/>
      <c r="P799" s="15"/>
      <c r="Q799" s="15"/>
    </row>
    <row r="800" spans="1:17">
      <c r="A800" s="14">
        <v>449.50799999999998</v>
      </c>
      <c r="B800" s="23">
        <v>31.388014999999999</v>
      </c>
      <c r="C800" s="23">
        <v>57.970654000000003</v>
      </c>
      <c r="D800" s="23">
        <v>22.019974000000001</v>
      </c>
      <c r="E800" s="23">
        <f>(B800 - D800)/($L$7 - D800)</f>
        <v>0.17009541424915439</v>
      </c>
      <c r="F800" s="23">
        <f t="shared" si="24"/>
        <v>-1.7713957390903778</v>
      </c>
      <c r="G800" s="23">
        <f>(C800 - D800)/($L$7 - D800)</f>
        <v>0.65275608925481776</v>
      </c>
      <c r="H800" s="23">
        <f t="shared" si="25"/>
        <v>-0.42655174282930131</v>
      </c>
      <c r="I800" s="23"/>
      <c r="J800" s="15"/>
      <c r="K800" s="15"/>
      <c r="L800" s="15"/>
      <c r="M800" s="15"/>
      <c r="N800" s="15"/>
      <c r="O800" s="15"/>
      <c r="P800" s="15"/>
      <c r="Q800" s="15"/>
    </row>
    <row r="801" spans="1:17">
      <c r="A801" s="14">
        <v>450.072</v>
      </c>
      <c r="B801" s="23">
        <v>31.379711</v>
      </c>
      <c r="C801" s="23">
        <v>57.954935999999996</v>
      </c>
      <c r="D801" s="23">
        <v>22.019686</v>
      </c>
      <c r="E801" s="23">
        <f>(B801 - D801)/($L$7 - D801)</f>
        <v>0.16994897912865067</v>
      </c>
      <c r="F801" s="23">
        <f t="shared" si="24"/>
        <v>-1.7722570097503707</v>
      </c>
      <c r="G801" s="23">
        <f>(C801 - D801)/($L$7 - D801)</f>
        <v>0.65247251500213344</v>
      </c>
      <c r="H801" s="23">
        <f t="shared" si="25"/>
        <v>-0.42698626327456463</v>
      </c>
      <c r="I801" s="23"/>
      <c r="J801" s="15"/>
      <c r="K801" s="15"/>
      <c r="L801" s="15"/>
      <c r="M801" s="15"/>
      <c r="N801" s="15"/>
      <c r="O801" s="15"/>
      <c r="P801" s="15"/>
      <c r="Q801" s="15"/>
    </row>
    <row r="802" spans="1:17">
      <c r="A802" s="14">
        <v>450.63600000000002</v>
      </c>
      <c r="B802" s="23">
        <v>31.359093999999999</v>
      </c>
      <c r="C802" s="23">
        <v>57.941464000000003</v>
      </c>
      <c r="D802" s="23">
        <v>22.020263</v>
      </c>
      <c r="E802" s="23">
        <f>(B802 - D802)/($L$7 - D802)</f>
        <v>0.16956593838542453</v>
      </c>
      <c r="F802" s="23">
        <f t="shared" si="24"/>
        <v>-1.7745134107859826</v>
      </c>
      <c r="G802" s="23">
        <f>(C802 - D802)/($L$7 - D802)</f>
        <v>0.65222426184781057</v>
      </c>
      <c r="H802" s="23">
        <f t="shared" si="25"/>
        <v>-0.42736681630684586</v>
      </c>
      <c r="I802" s="23"/>
      <c r="J802" s="15"/>
      <c r="K802" s="15"/>
      <c r="L802" s="15"/>
      <c r="M802" s="15"/>
      <c r="N802" s="15"/>
      <c r="O802" s="15"/>
      <c r="P802" s="15"/>
      <c r="Q802" s="15"/>
    </row>
    <row r="803" spans="1:17">
      <c r="A803" s="14">
        <v>451.2</v>
      </c>
      <c r="B803" s="23">
        <v>31.343917000000001</v>
      </c>
      <c r="C803" s="23">
        <v>57.916203000000003</v>
      </c>
      <c r="D803" s="23">
        <v>22.024190000000001</v>
      </c>
      <c r="E803" s="23">
        <f>(B803 - D803)/($L$7 - D803)</f>
        <v>0.1692311321189833</v>
      </c>
      <c r="F803" s="23">
        <f t="shared" si="24"/>
        <v>-1.7764898527601189</v>
      </c>
      <c r="G803" s="23">
        <f>(C803 - D803)/($L$7 - D803)</f>
        <v>0.65174076386779001</v>
      </c>
      <c r="H803" s="23">
        <f t="shared" si="25"/>
        <v>-0.42810839754966062</v>
      </c>
      <c r="I803" s="23"/>
      <c r="J803" s="15"/>
      <c r="K803" s="15"/>
      <c r="L803" s="15"/>
      <c r="M803" s="15"/>
      <c r="N803" s="15"/>
      <c r="O803" s="15"/>
      <c r="P803" s="15"/>
      <c r="Q803" s="15"/>
    </row>
    <row r="804" spans="1:17">
      <c r="A804" s="14">
        <v>451.76400000000001</v>
      </c>
      <c r="B804" s="23">
        <v>31.323747999999998</v>
      </c>
      <c r="C804" s="23">
        <v>57.901327000000002</v>
      </c>
      <c r="D804" s="23">
        <v>22.021128999999998</v>
      </c>
      <c r="E804" s="23">
        <f>(B804 - D804)/($L$7 - D804)</f>
        <v>0.16891109002556323</v>
      </c>
      <c r="F804" s="23">
        <f t="shared" si="24"/>
        <v>-1.7783827970186377</v>
      </c>
      <c r="G804" s="23">
        <f>(C804 - D804)/($L$7 - D804)</f>
        <v>0.65149001098647974</v>
      </c>
      <c r="H804" s="23">
        <f t="shared" si="25"/>
        <v>-0.42849321486558484</v>
      </c>
      <c r="I804" s="23"/>
      <c r="J804" s="15"/>
      <c r="K804" s="15"/>
      <c r="L804" s="15"/>
      <c r="M804" s="15"/>
      <c r="N804" s="15"/>
      <c r="O804" s="15"/>
      <c r="P804" s="15"/>
      <c r="Q804" s="15"/>
    </row>
    <row r="805" spans="1:17">
      <c r="A805" s="14">
        <v>452.32799999999997</v>
      </c>
      <c r="B805" s="23">
        <v>31.303540999999999</v>
      </c>
      <c r="C805" s="23">
        <v>57.883363000000003</v>
      </c>
      <c r="D805" s="23">
        <v>22.024767000000001</v>
      </c>
      <c r="E805" s="23">
        <f>(B805 - D805)/($L$7 - D805)</f>
        <v>0.16848925736337686</v>
      </c>
      <c r="F805" s="23">
        <f t="shared" si="24"/>
        <v>-1.7808832857421451</v>
      </c>
      <c r="G805" s="23">
        <f>(C805 - D805)/($L$7 - D805)</f>
        <v>0.65114078757962612</v>
      </c>
      <c r="H805" s="23">
        <f t="shared" si="25"/>
        <v>-0.42902939659198741</v>
      </c>
      <c r="I805" s="23"/>
      <c r="J805" s="15"/>
      <c r="K805" s="15"/>
      <c r="L805" s="15"/>
      <c r="M805" s="15"/>
      <c r="N805" s="15"/>
      <c r="O805" s="15"/>
      <c r="P805" s="15"/>
      <c r="Q805" s="15"/>
    </row>
    <row r="806" spans="1:17">
      <c r="A806" s="14">
        <v>452.892</v>
      </c>
      <c r="B806" s="23">
        <v>31.282512000000001</v>
      </c>
      <c r="C806" s="23">
        <v>57.851646000000002</v>
      </c>
      <c r="D806" s="23">
        <v>22.030251</v>
      </c>
      <c r="E806" s="23">
        <f>(B806 - D806)/($L$7 - D806)</f>
        <v>0.16802455137738745</v>
      </c>
      <c r="F806" s="23">
        <f t="shared" si="24"/>
        <v>-1.7836451711050478</v>
      </c>
      <c r="G806" s="23">
        <f>(C806 - D806)/($L$7 - D806)</f>
        <v>0.65053005147468168</v>
      </c>
      <c r="H806" s="23">
        <f t="shared" si="25"/>
        <v>-0.42996778459521656</v>
      </c>
      <c r="I806" s="23"/>
      <c r="J806" s="15"/>
      <c r="K806" s="15"/>
      <c r="L806" s="15"/>
      <c r="M806" s="15"/>
      <c r="N806" s="15"/>
      <c r="O806" s="15"/>
      <c r="P806" s="15"/>
      <c r="Q806" s="15"/>
    </row>
    <row r="807" spans="1:17">
      <c r="A807" s="14">
        <v>453.45600000000002</v>
      </c>
      <c r="B807" s="23">
        <v>31.278789</v>
      </c>
      <c r="C807" s="23">
        <v>57.839576000000001</v>
      </c>
      <c r="D807" s="23">
        <v>22.031694999999999</v>
      </c>
      <c r="E807" s="23">
        <f>(B807 - D807)/($L$7 - D807)</f>
        <v>0.16793512056836354</v>
      </c>
      <c r="F807" s="23">
        <f t="shared" si="24"/>
        <v>-1.7841775612613919</v>
      </c>
      <c r="G807" s="23">
        <f>(C807 - D807)/($L$7 - D807)</f>
        <v>0.65030168537625055</v>
      </c>
      <c r="H807" s="23">
        <f t="shared" si="25"/>
        <v>-0.43031889242001481</v>
      </c>
      <c r="I807" s="23"/>
      <c r="J807" s="15"/>
      <c r="K807" s="15"/>
      <c r="L807" s="15"/>
      <c r="M807" s="15"/>
      <c r="N807" s="15"/>
      <c r="O807" s="15"/>
      <c r="P807" s="15"/>
      <c r="Q807" s="15"/>
    </row>
    <row r="808" spans="1:17">
      <c r="A808" s="14">
        <v>454.02</v>
      </c>
      <c r="B808" s="23">
        <v>31.250848999999999</v>
      </c>
      <c r="C808" s="23">
        <v>57.827674000000002</v>
      </c>
      <c r="D808" s="23">
        <v>22.040355000000002</v>
      </c>
      <c r="E808" s="23">
        <f>(B808 - D808)/($L$7 - D808)</f>
        <v>0.16729674458541155</v>
      </c>
      <c r="F808" s="23">
        <f t="shared" si="24"/>
        <v>-1.7879861297237383</v>
      </c>
      <c r="G808" s="23">
        <f>(C808 - D808)/($L$7 - D808)</f>
        <v>0.6500304941450098</v>
      </c>
      <c r="H808" s="23">
        <f t="shared" si="25"/>
        <v>-0.43073600312363897</v>
      </c>
      <c r="I808" s="23"/>
      <c r="J808" s="15"/>
      <c r="K808" s="15"/>
      <c r="L808" s="15"/>
      <c r="M808" s="15"/>
      <c r="N808" s="15"/>
      <c r="O808" s="15"/>
      <c r="P808" s="15"/>
      <c r="Q808" s="15"/>
    </row>
    <row r="809" spans="1:17">
      <c r="A809" s="14">
        <v>454.584</v>
      </c>
      <c r="B809" s="23">
        <v>31.245856</v>
      </c>
      <c r="C809" s="23">
        <v>57.809821999999997</v>
      </c>
      <c r="D809" s="23">
        <v>22.043240999999998</v>
      </c>
      <c r="E809" s="23">
        <f>(B809 - D809)/($L$7 - D809)</f>
        <v>0.16716239544306746</v>
      </c>
      <c r="F809" s="23">
        <f t="shared" si="24"/>
        <v>-1.7887895112642076</v>
      </c>
      <c r="G809" s="23">
        <f>(C809 - D809)/($L$7 - D809)</f>
        <v>0.64968787206337575</v>
      </c>
      <c r="H809" s="23">
        <f t="shared" si="25"/>
        <v>-0.43126322824944835</v>
      </c>
      <c r="I809" s="23"/>
      <c r="J809" s="15"/>
      <c r="K809" s="15"/>
      <c r="L809" s="15"/>
      <c r="M809" s="15"/>
      <c r="N809" s="15"/>
      <c r="O809" s="15"/>
      <c r="P809" s="15"/>
      <c r="Q809" s="15"/>
    </row>
    <row r="810" spans="1:17">
      <c r="A810" s="14">
        <v>455.14800000000002</v>
      </c>
      <c r="B810" s="23">
        <v>31.224377</v>
      </c>
      <c r="C810" s="23">
        <v>57.788096000000003</v>
      </c>
      <c r="D810" s="23">
        <v>22.040932000000002</v>
      </c>
      <c r="E810" s="23">
        <f>(B810 - D810)/($L$7 - D810)</f>
        <v>0.16680718260209282</v>
      </c>
      <c r="F810" s="23">
        <f t="shared" si="24"/>
        <v>-1.79091672882097</v>
      </c>
      <c r="G810" s="23">
        <f>(C810 - D810)/($L$7 - D810)</f>
        <v>0.64930793540495524</v>
      </c>
      <c r="H810" s="23">
        <f t="shared" si="25"/>
        <v>-0.43184819806547137</v>
      </c>
      <c r="I810" s="23"/>
      <c r="J810" s="15"/>
      <c r="K810" s="15"/>
      <c r="L810" s="15"/>
      <c r="M810" s="15"/>
      <c r="N810" s="15"/>
      <c r="O810" s="15"/>
      <c r="P810" s="15"/>
      <c r="Q810" s="15"/>
    </row>
    <row r="811" spans="1:17">
      <c r="A811" s="14">
        <v>455.71199999999999</v>
      </c>
      <c r="B811" s="23">
        <v>31.200894000000002</v>
      </c>
      <c r="C811" s="23">
        <v>57.774172999999998</v>
      </c>
      <c r="D811" s="23">
        <v>22.044972999999999</v>
      </c>
      <c r="E811" s="23">
        <f>(B811 - D811)/($L$7 - D811)</f>
        <v>0.16631944730168444</v>
      </c>
      <c r="F811" s="23">
        <f t="shared" si="24"/>
        <v>-1.7938449585398466</v>
      </c>
      <c r="G811" s="23">
        <f>(C811 - D811)/($L$7 - D811)</f>
        <v>0.64902927805202137</v>
      </c>
      <c r="H811" s="23">
        <f t="shared" si="25"/>
        <v>-0.4322774507346922</v>
      </c>
      <c r="I811" s="23"/>
      <c r="J811" s="15"/>
      <c r="K811" s="15"/>
      <c r="L811" s="15"/>
      <c r="M811" s="15"/>
      <c r="N811" s="15"/>
      <c r="O811" s="15"/>
      <c r="P811" s="15"/>
      <c r="Q811" s="15"/>
    </row>
    <row r="812" spans="1:17">
      <c r="A812" s="14">
        <v>456.27600000000001</v>
      </c>
      <c r="B812" s="23">
        <v>31.180274000000001</v>
      </c>
      <c r="C812" s="23">
        <v>57.751716000000002</v>
      </c>
      <c r="D812" s="23">
        <v>22.051901000000001</v>
      </c>
      <c r="E812" s="23">
        <f>(B812 - D812)/($L$7 - D812)</f>
        <v>0.16583990217880346</v>
      </c>
      <c r="F812" s="23">
        <f t="shared" si="24"/>
        <v>-1.7967324007076362</v>
      </c>
      <c r="G812" s="23">
        <f>(C812 - D812)/($L$7 - D812)</f>
        <v>0.64857711526483208</v>
      </c>
      <c r="H812" s="23">
        <f t="shared" si="25"/>
        <v>-0.43297436901101888</v>
      </c>
      <c r="I812" s="23"/>
      <c r="J812" s="15"/>
      <c r="K812" s="15"/>
      <c r="L812" s="15"/>
      <c r="M812" s="15"/>
      <c r="N812" s="15"/>
      <c r="O812" s="15"/>
      <c r="P812" s="15"/>
      <c r="Q812" s="15"/>
    </row>
    <row r="813" spans="1:17">
      <c r="A813" s="14">
        <v>456.84</v>
      </c>
      <c r="B813" s="23">
        <v>31.166689000000002</v>
      </c>
      <c r="C813" s="23">
        <v>57.742621</v>
      </c>
      <c r="D813" s="23">
        <v>22.049014</v>
      </c>
      <c r="E813" s="23">
        <f>(B813 - D813)/($L$7 - D813)</f>
        <v>0.16563685845402659</v>
      </c>
      <c r="F813" s="23">
        <f t="shared" si="24"/>
        <v>-1.7979574865916894</v>
      </c>
      <c r="G813" s="23">
        <f>(C813 - D813)/($L$7 - D813)</f>
        <v>0.64843032136730605</v>
      </c>
      <c r="H813" s="23">
        <f t="shared" si="25"/>
        <v>-0.43320072684676725</v>
      </c>
      <c r="I813" s="23"/>
      <c r="J813" s="15"/>
      <c r="K813" s="15"/>
      <c r="L813" s="15"/>
      <c r="M813" s="15"/>
      <c r="N813" s="15"/>
      <c r="O813" s="15"/>
      <c r="P813" s="15"/>
      <c r="Q813" s="15"/>
    </row>
    <row r="814" spans="1:17">
      <c r="A814" s="14">
        <v>457.404</v>
      </c>
      <c r="B814" s="23">
        <v>31.160388000000001</v>
      </c>
      <c r="C814" s="23">
        <v>57.72269</v>
      </c>
      <c r="D814" s="23">
        <v>22.048148000000001</v>
      </c>
      <c r="E814" s="23">
        <f>(B814 - D814)/($L$7 - D814)</f>
        <v>0.16553551891384238</v>
      </c>
      <c r="F814" s="23">
        <f t="shared" si="24"/>
        <v>-1.7985694913980848</v>
      </c>
      <c r="G814" s="23">
        <f>(C814 - D814)/($L$7 - D814)</f>
        <v>0.64807378010057515</v>
      </c>
      <c r="H814" s="23">
        <f t="shared" si="25"/>
        <v>-0.43375073093131306</v>
      </c>
      <c r="I814" s="23"/>
      <c r="J814" s="15"/>
      <c r="K814" s="15"/>
      <c r="L814" s="15"/>
      <c r="M814" s="15"/>
      <c r="N814" s="15"/>
      <c r="O814" s="15"/>
      <c r="P814" s="15"/>
      <c r="Q814" s="15"/>
    </row>
    <row r="815" spans="1:17">
      <c r="A815" s="14">
        <v>457.96800000000002</v>
      </c>
      <c r="B815" s="23">
        <v>31.138048999999999</v>
      </c>
      <c r="C815" s="23">
        <v>57.697144999999999</v>
      </c>
      <c r="D815" s="23">
        <v>22.052478000000001</v>
      </c>
      <c r="E815" s="23">
        <f>(B815 - D815)/($L$7 - D815)</f>
        <v>0.16506402628300915</v>
      </c>
      <c r="F815" s="23">
        <f t="shared" si="24"/>
        <v>-1.8014218422700181</v>
      </c>
      <c r="G815" s="23">
        <f>(C815 - D815)/($L$7 - D815)</f>
        <v>0.64758200123438692</v>
      </c>
      <c r="H815" s="23">
        <f t="shared" si="25"/>
        <v>-0.43450985059394082</v>
      </c>
      <c r="I815" s="23"/>
      <c r="J815" s="15"/>
      <c r="K815" s="15"/>
      <c r="L815" s="15"/>
      <c r="M815" s="15"/>
      <c r="N815" s="15"/>
      <c r="O815" s="15"/>
      <c r="P815" s="15"/>
      <c r="Q815" s="15"/>
    </row>
    <row r="816" spans="1:17">
      <c r="A816" s="14">
        <v>458.53199999999998</v>
      </c>
      <c r="B816" s="23">
        <v>31.113990999999999</v>
      </c>
      <c r="C816" s="23">
        <v>57.689846000000003</v>
      </c>
      <c r="D816" s="23">
        <v>22.048437</v>
      </c>
      <c r="E816" s="23">
        <f>(B816 - D816)/($L$7 - D816)</f>
        <v>0.16468827250815482</v>
      </c>
      <c r="F816" s="23">
        <f t="shared" si="24"/>
        <v>-1.8037008495058529</v>
      </c>
      <c r="G816" s="23">
        <f>(C816 - D816)/($L$7 - D816)</f>
        <v>0.64747527596952192</v>
      </c>
      <c r="H816" s="23">
        <f t="shared" si="25"/>
        <v>-0.43467466996831944</v>
      </c>
      <c r="I816" s="23"/>
      <c r="J816" s="15"/>
      <c r="K816" s="15"/>
      <c r="L816" s="15"/>
      <c r="M816" s="15"/>
      <c r="N816" s="15"/>
      <c r="O816" s="15"/>
      <c r="P816" s="15"/>
      <c r="Q816" s="15"/>
    </row>
    <row r="817" spans="1:17">
      <c r="A817" s="14">
        <v>459.096</v>
      </c>
      <c r="B817" s="23">
        <v>31.100815999999998</v>
      </c>
      <c r="C817" s="23">
        <v>57.661493</v>
      </c>
      <c r="D817" s="23">
        <v>22.051034999999999</v>
      </c>
      <c r="E817" s="23">
        <f>(B817 - D817)/($L$7 - D817)</f>
        <v>0.16440949375347799</v>
      </c>
      <c r="F817" s="23">
        <f t="shared" si="24"/>
        <v>-1.805395050135201</v>
      </c>
      <c r="G817" s="23">
        <f>(C817 - D817)/($L$7 - D817)</f>
        <v>0.64694354173979363</v>
      </c>
      <c r="H817" s="23">
        <f t="shared" si="25"/>
        <v>-0.43549624989648988</v>
      </c>
      <c r="I817" s="23"/>
      <c r="J817" s="15"/>
      <c r="K817" s="15"/>
      <c r="L817" s="15"/>
      <c r="M817" s="15"/>
      <c r="N817" s="15"/>
      <c r="O817" s="15"/>
      <c r="P817" s="15"/>
      <c r="Q817" s="15"/>
    </row>
    <row r="818" spans="1:17">
      <c r="A818" s="14">
        <v>459.66</v>
      </c>
      <c r="B818" s="23">
        <v>31.086781999999999</v>
      </c>
      <c r="C818" s="23">
        <v>57.650824999999998</v>
      </c>
      <c r="D818" s="23">
        <v>22.059982999999999</v>
      </c>
      <c r="E818" s="23">
        <f>(B818 - D818)/($L$7 - D818)</f>
        <v>0.16401863730747029</v>
      </c>
      <c r="F818" s="23">
        <f t="shared" si="24"/>
        <v>-1.8077752154959936</v>
      </c>
      <c r="G818" s="23">
        <f>(C818 - D818)/($L$7 - D818)</f>
        <v>0.64669229983579779</v>
      </c>
      <c r="H818" s="23">
        <f t="shared" si="25"/>
        <v>-0.43588467745713744</v>
      </c>
      <c r="I818" s="23"/>
      <c r="J818" s="15"/>
      <c r="K818" s="15"/>
      <c r="L818" s="15"/>
      <c r="M818" s="15"/>
      <c r="N818" s="15"/>
      <c r="O818" s="15"/>
      <c r="P818" s="15"/>
      <c r="Q818" s="15"/>
    </row>
    <row r="819" spans="1:17">
      <c r="A819" s="14">
        <v>460.22399999999999</v>
      </c>
      <c r="B819" s="23">
        <v>31.068451</v>
      </c>
      <c r="C819" s="23">
        <v>57.629489999999997</v>
      </c>
      <c r="D819" s="23">
        <v>22.060561</v>
      </c>
      <c r="E819" s="23">
        <f>(B819 - D819)/($L$7 - D819)</f>
        <v>0.16367677621133969</v>
      </c>
      <c r="F819" s="23">
        <f t="shared" si="24"/>
        <v>-1.8098616726513042</v>
      </c>
      <c r="G819" s="23">
        <f>(C819 - D819)/($L$7 - D819)</f>
        <v>0.64630092419090701</v>
      </c>
      <c r="H819" s="23">
        <f t="shared" si="25"/>
        <v>-0.4364900567423044</v>
      </c>
      <c r="I819" s="23"/>
      <c r="J819" s="15"/>
      <c r="K819" s="15"/>
      <c r="L819" s="15"/>
      <c r="M819" s="15"/>
      <c r="N819" s="15"/>
      <c r="O819" s="15"/>
      <c r="P819" s="15"/>
      <c r="Q819" s="15"/>
    </row>
    <row r="820" spans="1:17">
      <c r="A820" s="14">
        <v>460.78800000000001</v>
      </c>
      <c r="B820" s="23">
        <v>31.060718000000001</v>
      </c>
      <c r="C820" s="23">
        <v>57.612645999999998</v>
      </c>
      <c r="D820" s="23">
        <v>22.056519000000002</v>
      </c>
      <c r="E820" s="23">
        <f>(B820 - D820)/($L$7 - D820)</f>
        <v>0.16359769396304602</v>
      </c>
      <c r="F820" s="23">
        <f t="shared" si="24"/>
        <v>-1.8103449504932374</v>
      </c>
      <c r="G820" s="23">
        <f>(C820 - D820)/($L$7 - D820)</f>
        <v>0.64602086020724303</v>
      </c>
      <c r="H820" s="23">
        <f t="shared" si="25"/>
        <v>-0.43692348437840789</v>
      </c>
      <c r="I820" s="23"/>
      <c r="J820" s="15"/>
      <c r="K820" s="15"/>
      <c r="L820" s="15"/>
      <c r="M820" s="15"/>
      <c r="N820" s="15"/>
      <c r="O820" s="15"/>
      <c r="P820" s="15"/>
      <c r="Q820" s="15"/>
    </row>
    <row r="821" spans="1:17">
      <c r="A821" s="14">
        <v>461.35199999999998</v>
      </c>
      <c r="B821" s="23">
        <v>31.033221000000001</v>
      </c>
      <c r="C821" s="23">
        <v>57.587941000000001</v>
      </c>
      <c r="D821" s="23">
        <v>22.065756</v>
      </c>
      <c r="E821" s="23">
        <f>(B821 - D821)/($L$7 - D821)</f>
        <v>0.16295762104023248</v>
      </c>
      <c r="F821" s="23">
        <f t="shared" si="24"/>
        <v>-1.8142651055977805</v>
      </c>
      <c r="G821" s="23">
        <f>(C821 - D821)/($L$7 - D821)</f>
        <v>0.64551250121980186</v>
      </c>
      <c r="H821" s="23">
        <f t="shared" si="25"/>
        <v>-0.43771070215980923</v>
      </c>
      <c r="I821" s="23"/>
      <c r="J821" s="15"/>
      <c r="K821" s="15"/>
      <c r="L821" s="15"/>
      <c r="M821" s="15"/>
      <c r="N821" s="15"/>
      <c r="O821" s="15"/>
      <c r="P821" s="15"/>
      <c r="Q821" s="15"/>
    </row>
    <row r="822" spans="1:17">
      <c r="A822" s="14">
        <v>461.916</v>
      </c>
      <c r="B822" s="23">
        <v>31.020493999999999</v>
      </c>
      <c r="C822" s="23">
        <v>57.575755999999998</v>
      </c>
      <c r="D822" s="23">
        <v>22.059695000000001</v>
      </c>
      <c r="E822" s="23">
        <f>(B822 - D822)/($L$7 - D822)</f>
        <v>0.16281855284983282</v>
      </c>
      <c r="F822" s="23">
        <f t="shared" si="24"/>
        <v>-1.8151188709126989</v>
      </c>
      <c r="G822" s="23">
        <f>(C822 - D822)/($L$7 - D822)</f>
        <v>0.64533013796497241</v>
      </c>
      <c r="H822" s="23">
        <f t="shared" si="25"/>
        <v>-0.43799325132654243</v>
      </c>
      <c r="I822" s="23"/>
      <c r="J822" s="15"/>
      <c r="K822" s="15"/>
      <c r="L822" s="15"/>
      <c r="M822" s="15"/>
      <c r="N822" s="15"/>
      <c r="O822" s="15"/>
      <c r="P822" s="15"/>
      <c r="Q822" s="15"/>
    </row>
    <row r="823" spans="1:17">
      <c r="A823" s="14">
        <v>462.48</v>
      </c>
      <c r="B823" s="23">
        <v>31.001303</v>
      </c>
      <c r="C823" s="23">
        <v>57.559753999999998</v>
      </c>
      <c r="D823" s="23">
        <v>22.062291999999999</v>
      </c>
      <c r="E823" s="23">
        <f>(B823 - D823)/($L$7 - D823)</f>
        <v>0.1624303275782662</v>
      </c>
      <c r="F823" s="23">
        <f t="shared" si="24"/>
        <v>-1.8175061225178653</v>
      </c>
      <c r="G823" s="23">
        <f>(C823 - D823)/($L$7 - D823)</f>
        <v>0.64502262955678835</v>
      </c>
      <c r="H823" s="23">
        <f t="shared" si="25"/>
        <v>-0.43846987821764621</v>
      </c>
      <c r="I823" s="23"/>
      <c r="J823" s="15"/>
      <c r="K823" s="15"/>
      <c r="L823" s="15"/>
      <c r="M823" s="15"/>
      <c r="N823" s="15"/>
      <c r="O823" s="15"/>
      <c r="P823" s="15"/>
      <c r="Q823" s="15"/>
    </row>
    <row r="824" spans="1:17">
      <c r="A824" s="14">
        <v>463.04399999999998</v>
      </c>
      <c r="B824" s="23">
        <v>30.982112000000001</v>
      </c>
      <c r="C824" s="23">
        <v>57.538136000000002</v>
      </c>
      <c r="D824" s="23">
        <v>22.065756</v>
      </c>
      <c r="E824" s="23">
        <f>(B824 - D824)/($L$7 - D824)</f>
        <v>0.16202886346451345</v>
      </c>
      <c r="F824" s="23">
        <f t="shared" si="24"/>
        <v>-1.8199807900860256</v>
      </c>
      <c r="G824" s="23">
        <f>(C824 - D824)/($L$7 - D824)</f>
        <v>0.64460744005525772</v>
      </c>
      <c r="H824" s="23">
        <f t="shared" si="25"/>
        <v>-0.43911376754010922</v>
      </c>
      <c r="I824" s="23"/>
      <c r="J824" s="15"/>
      <c r="K824" s="15"/>
      <c r="L824" s="15"/>
      <c r="M824" s="15"/>
      <c r="N824" s="15"/>
      <c r="O824" s="15"/>
      <c r="P824" s="15"/>
      <c r="Q824" s="15"/>
    </row>
    <row r="825" spans="1:17">
      <c r="A825" s="14">
        <v>463.608</v>
      </c>
      <c r="B825" s="23">
        <v>30.965211</v>
      </c>
      <c r="C825" s="23">
        <v>57.516798999999999</v>
      </c>
      <c r="D825" s="23">
        <v>22.068643000000002</v>
      </c>
      <c r="E825" s="23">
        <f>(B825 - D825)/($L$7 - D825)</f>
        <v>0.16167775613307198</v>
      </c>
      <c r="F825" s="23">
        <f t="shared" si="24"/>
        <v>-1.8221500844277094</v>
      </c>
      <c r="G825" s="23">
        <f>(C825 - D825)/($L$7 - D825)</f>
        <v>0.64420103585282473</v>
      </c>
      <c r="H825" s="23">
        <f t="shared" si="25"/>
        <v>-0.43974443411858111</v>
      </c>
      <c r="I825" s="23"/>
      <c r="J825" s="15"/>
      <c r="K825" s="15"/>
      <c r="L825" s="15"/>
      <c r="M825" s="15"/>
      <c r="N825" s="15"/>
      <c r="O825" s="15"/>
      <c r="P825" s="15"/>
      <c r="Q825" s="15"/>
    </row>
    <row r="826" spans="1:17">
      <c r="A826" s="14">
        <v>464.17200000000003</v>
      </c>
      <c r="B826" s="23">
        <v>30.950030000000002</v>
      </c>
      <c r="C826" s="23">
        <v>57.504165</v>
      </c>
      <c r="D826" s="23">
        <v>22.060157</v>
      </c>
      <c r="E826" s="23">
        <f>(B826 - D826)/($L$7 - D826)</f>
        <v>0.16153117680741119</v>
      </c>
      <c r="F826" s="23">
        <f t="shared" si="24"/>
        <v>-1.8230571097031336</v>
      </c>
      <c r="G826" s="23">
        <f>(C826 - D826)/($L$7 - D826)</f>
        <v>0.64402633457320424</v>
      </c>
      <c r="H826" s="23">
        <f t="shared" si="25"/>
        <v>-0.44001566151942989</v>
      </c>
      <c r="I826" s="23"/>
      <c r="J826" s="15"/>
      <c r="K826" s="15"/>
      <c r="L826" s="15"/>
      <c r="M826" s="15"/>
      <c r="N826" s="15"/>
      <c r="O826" s="15"/>
      <c r="P826" s="15"/>
      <c r="Q826" s="15"/>
    </row>
    <row r="827" spans="1:17">
      <c r="A827" s="14">
        <v>464.73599999999999</v>
      </c>
      <c r="B827" s="23">
        <v>30.935870000000001</v>
      </c>
      <c r="C827" s="23">
        <v>57.483389000000003</v>
      </c>
      <c r="D827" s="23">
        <v>22.044972999999999</v>
      </c>
      <c r="E827" s="23">
        <f>(B827 - D827)/($L$7 - D827)</f>
        <v>0.1615052243303764</v>
      </c>
      <c r="F827" s="23">
        <f t="shared" si="24"/>
        <v>-1.8232177880477365</v>
      </c>
      <c r="G827" s="23">
        <f>(C827 - D827)/($L$7 - D827)</f>
        <v>0.64374711865329215</v>
      </c>
      <c r="H827" s="23">
        <f t="shared" si="25"/>
        <v>-0.44044930289258905</v>
      </c>
      <c r="I827" s="23"/>
      <c r="J827" s="15"/>
      <c r="K827" s="15"/>
      <c r="L827" s="15"/>
      <c r="M827" s="15"/>
      <c r="N827" s="15"/>
      <c r="O827" s="15"/>
      <c r="P827" s="15"/>
      <c r="Q827" s="15"/>
    </row>
    <row r="828" spans="1:17">
      <c r="A828" s="14">
        <v>465.3</v>
      </c>
      <c r="B828" s="23">
        <v>30.917249999999999</v>
      </c>
      <c r="C828" s="23">
        <v>57.461041000000002</v>
      </c>
      <c r="D828" s="23">
        <v>22.050746</v>
      </c>
      <c r="E828" s="23">
        <f>(B828 - D828)/($L$7 - D828)</f>
        <v>0.16107901179483342</v>
      </c>
      <c r="F828" s="23">
        <f t="shared" si="24"/>
        <v>-1.8258602778896078</v>
      </c>
      <c r="G828" s="23">
        <f>(C828 - D828)/($L$7 - D828)</f>
        <v>0.64330375601968171</v>
      </c>
      <c r="H828" s="23">
        <f t="shared" si="25"/>
        <v>-0.44113826190714311</v>
      </c>
      <c r="I828" s="23"/>
      <c r="J828" s="15"/>
      <c r="K828" s="15"/>
      <c r="L828" s="15"/>
      <c r="M828" s="15"/>
      <c r="N828" s="15"/>
      <c r="O828" s="15"/>
      <c r="P828" s="15"/>
      <c r="Q828" s="15"/>
    </row>
    <row r="829" spans="1:17">
      <c r="A829" s="14">
        <v>465.86399999999998</v>
      </c>
      <c r="B829" s="23">
        <v>30.901619</v>
      </c>
      <c r="C829" s="23">
        <v>57.456435999999997</v>
      </c>
      <c r="D829" s="23">
        <v>22.046994000000002</v>
      </c>
      <c r="E829" s="23">
        <f>(B829 - D829)/($L$7 - D829)</f>
        <v>0.16085224016076674</v>
      </c>
      <c r="F829" s="23">
        <f t="shared" si="24"/>
        <v>-1.82726909837657</v>
      </c>
      <c r="G829" s="23">
        <f>(C829 - D829)/($L$7 - D829)</f>
        <v>0.64324441391281295</v>
      </c>
      <c r="H829" s="23">
        <f t="shared" si="25"/>
        <v>-0.44123051201996083</v>
      </c>
      <c r="I829" s="23"/>
      <c r="J829" s="15"/>
      <c r="K829" s="15"/>
      <c r="L829" s="15"/>
      <c r="M829" s="15"/>
      <c r="N829" s="15"/>
      <c r="O829" s="15"/>
      <c r="P829" s="15"/>
      <c r="Q829" s="15"/>
    </row>
    <row r="830" spans="1:17">
      <c r="A830" s="14">
        <v>466.428</v>
      </c>
      <c r="B830" s="23">
        <v>30.886599</v>
      </c>
      <c r="C830" s="23">
        <v>57.437344000000003</v>
      </c>
      <c r="D830" s="23">
        <v>22.050746</v>
      </c>
      <c r="E830" s="23">
        <f>(B830 - D830)/($L$7 - D830)</f>
        <v>0.16052217081325565</v>
      </c>
      <c r="F830" s="23">
        <f t="shared" si="24"/>
        <v>-1.8293232100438177</v>
      </c>
      <c r="G830" s="23">
        <f>(C830 - D830)/($L$7 - D830)</f>
        <v>0.64287324932363754</v>
      </c>
      <c r="H830" s="23">
        <f t="shared" si="25"/>
        <v>-0.44180769808946191</v>
      </c>
      <c r="I830" s="23"/>
      <c r="J830" s="15"/>
      <c r="K830" s="15"/>
      <c r="L830" s="15"/>
      <c r="M830" s="15"/>
      <c r="N830" s="15"/>
      <c r="O830" s="15"/>
      <c r="P830" s="15"/>
      <c r="Q830" s="15"/>
    </row>
    <row r="831" spans="1:17">
      <c r="A831" s="14">
        <v>466.99200000000002</v>
      </c>
      <c r="B831" s="23">
        <v>30.868265000000001</v>
      </c>
      <c r="C831" s="23">
        <v>57.408816999999999</v>
      </c>
      <c r="D831" s="23">
        <v>22.050746</v>
      </c>
      <c r="E831" s="23">
        <f>(B831 - D831)/($L$7 - D831)</f>
        <v>0.16018909448438393</v>
      </c>
      <c r="F831" s="23">
        <f t="shared" si="24"/>
        <v>-1.8314003210446699</v>
      </c>
      <c r="G831" s="23">
        <f>(C831 - D831)/($L$7 - D831)</f>
        <v>0.64235499534557894</v>
      </c>
      <c r="H831" s="23">
        <f t="shared" si="25"/>
        <v>-0.44261417586225876</v>
      </c>
      <c r="I831" s="23"/>
      <c r="J831" s="15"/>
      <c r="K831" s="15"/>
      <c r="L831" s="15"/>
      <c r="M831" s="15"/>
      <c r="N831" s="15"/>
      <c r="O831" s="15"/>
      <c r="P831" s="15"/>
      <c r="Q831" s="15"/>
    </row>
    <row r="832" spans="1:17">
      <c r="A832" s="14">
        <v>467.55599999999998</v>
      </c>
      <c r="B832" s="23">
        <v>30.85652</v>
      </c>
      <c r="C832" s="23">
        <v>57.397193000000001</v>
      </c>
      <c r="D832" s="23">
        <v>22.055827000000001</v>
      </c>
      <c r="E832" s="23">
        <f>(B832 - D832)/($L$7 - D832)</f>
        <v>0.15989817395947506</v>
      </c>
      <c r="F832" s="23">
        <f t="shared" si="24"/>
        <v>-1.8332180790981485</v>
      </c>
      <c r="G832" s="23">
        <f>(C832 - D832)/($L$7 - D832)</f>
        <v>0.64211078475677741</v>
      </c>
      <c r="H832" s="23">
        <f t="shared" si="25"/>
        <v>-0.44299442825282792</v>
      </c>
      <c r="I832" s="23"/>
      <c r="J832" s="15"/>
      <c r="K832" s="15"/>
      <c r="L832" s="15"/>
      <c r="M832" s="15"/>
      <c r="N832" s="15"/>
      <c r="O832" s="15"/>
      <c r="P832" s="15"/>
      <c r="Q832" s="15"/>
    </row>
    <row r="833" spans="1:17">
      <c r="A833" s="14">
        <v>468.12</v>
      </c>
      <c r="B833" s="23">
        <v>30.829467000000001</v>
      </c>
      <c r="C833" s="23">
        <v>57.382030999999998</v>
      </c>
      <c r="D833" s="23">
        <v>22.050746</v>
      </c>
      <c r="E833" s="23">
        <f>(B833 - D833)/($L$7 - D833)</f>
        <v>0.15948424582028634</v>
      </c>
      <c r="F833" s="23">
        <f t="shared" si="24"/>
        <v>-1.8358101339221473</v>
      </c>
      <c r="G833" s="23">
        <f>(C833 - D833)/($L$7 - D833)</f>
        <v>0.64186837035675171</v>
      </c>
      <c r="H833" s="23">
        <f t="shared" si="25"/>
        <v>-0.44337202691078215</v>
      </c>
      <c r="I833" s="23"/>
      <c r="J833" s="15"/>
      <c r="K833" s="15"/>
      <c r="L833" s="15"/>
      <c r="M833" s="15"/>
      <c r="N833" s="15"/>
      <c r="O833" s="15"/>
      <c r="P833" s="15"/>
      <c r="Q833" s="15"/>
    </row>
    <row r="834" spans="1:17">
      <c r="A834" s="14">
        <v>468.68400000000003</v>
      </c>
      <c r="B834" s="23">
        <v>30.818418999999999</v>
      </c>
      <c r="C834" s="23">
        <v>57.365465</v>
      </c>
      <c r="D834" s="23">
        <v>22.059002</v>
      </c>
      <c r="E834" s="23">
        <f>(B834 - D834)/($L$7 - D834)</f>
        <v>0.15915741905361752</v>
      </c>
      <c r="F834" s="23">
        <f t="shared" si="24"/>
        <v>-1.8378615096040392</v>
      </c>
      <c r="G834" s="23">
        <f>(C834 - D834)/($L$7 - D834)</f>
        <v>0.64151364491404417</v>
      </c>
      <c r="H834" s="23">
        <f t="shared" si="25"/>
        <v>-0.44392482482678836</v>
      </c>
      <c r="I834" s="23"/>
      <c r="J834" s="15"/>
      <c r="K834" s="15"/>
      <c r="L834" s="15"/>
      <c r="M834" s="15"/>
      <c r="N834" s="15"/>
      <c r="O834" s="15"/>
      <c r="P834" s="15"/>
      <c r="Q834" s="15"/>
    </row>
    <row r="835" spans="1:17">
      <c r="A835" s="14">
        <v>469.24799999999999</v>
      </c>
      <c r="B835" s="23">
        <v>30.797218999999998</v>
      </c>
      <c r="C835" s="23">
        <v>57.346370999999998</v>
      </c>
      <c r="D835" s="23">
        <v>22.068353999999999</v>
      </c>
      <c r="E835" s="23">
        <f>(B835 - D835)/($L$7 - D835)</f>
        <v>0.15862924836378003</v>
      </c>
      <c r="F835" s="23">
        <f t="shared" si="24"/>
        <v>-1.8411855708710507</v>
      </c>
      <c r="G835" s="23">
        <f>(C835 - D835)/($L$7 - D835)</f>
        <v>0.6411057245672438</v>
      </c>
      <c r="H835" s="23">
        <f t="shared" si="25"/>
        <v>-0.44456089873968851</v>
      </c>
      <c r="I835" s="23"/>
      <c r="J835" s="15"/>
      <c r="K835" s="15"/>
      <c r="L835" s="15"/>
      <c r="M835" s="15"/>
      <c r="N835" s="15"/>
      <c r="O835" s="15"/>
      <c r="P835" s="15"/>
      <c r="Q835" s="15"/>
    </row>
    <row r="836" spans="1:17">
      <c r="A836" s="14">
        <v>469.81200000000001</v>
      </c>
      <c r="B836" s="23">
        <v>30.788052</v>
      </c>
      <c r="C836" s="23">
        <v>57.329523999999999</v>
      </c>
      <c r="D836" s="23">
        <v>22.064312999999999</v>
      </c>
      <c r="E836" s="23">
        <f>(B836 - D836)/($L$7 - D836)</f>
        <v>0.1585244522651858</v>
      </c>
      <c r="F836" s="23">
        <f t="shared" ref="F836:F899" si="26">LN(E836)</f>
        <v>-1.8418464245971802</v>
      </c>
      <c r="G836" s="23">
        <f>(C836 - D836)/($L$7 - D836)</f>
        <v>0.64082594146743777</v>
      </c>
      <c r="H836" s="23">
        <f t="shared" ref="H836:H899" si="27">LN(G836)</f>
        <v>-0.44499740110820213</v>
      </c>
      <c r="I836" s="23"/>
      <c r="J836" s="15"/>
      <c r="K836" s="15"/>
      <c r="L836" s="15"/>
      <c r="M836" s="15"/>
      <c r="N836" s="15"/>
      <c r="O836" s="15"/>
      <c r="P836" s="15"/>
      <c r="Q836" s="15"/>
    </row>
    <row r="837" spans="1:17">
      <c r="A837" s="14">
        <v>470.37599999999998</v>
      </c>
      <c r="B837" s="23">
        <v>30.763127000000001</v>
      </c>
      <c r="C837" s="23">
        <v>57.318179999999998</v>
      </c>
      <c r="D837" s="23">
        <v>22.068238999999998</v>
      </c>
      <c r="E837" s="23">
        <f>(B837 - D837)/($L$7 - D837)</f>
        <v>0.1580114557327704</v>
      </c>
      <c r="F837" s="23">
        <f t="shared" si="26"/>
        <v>-1.8450877439457172</v>
      </c>
      <c r="G837" s="23">
        <f>(C837 - D837)/($L$7 - D837)</f>
        <v>0.64059416198394581</v>
      </c>
      <c r="H837" s="23">
        <f t="shared" si="27"/>
        <v>-0.44535915520491931</v>
      </c>
      <c r="I837" s="23"/>
      <c r="J837" s="15"/>
      <c r="K837" s="15"/>
      <c r="L837" s="15"/>
      <c r="M837" s="15"/>
      <c r="N837" s="15"/>
      <c r="O837" s="15"/>
      <c r="P837" s="15"/>
      <c r="Q837" s="15"/>
    </row>
    <row r="838" spans="1:17">
      <c r="A838" s="14">
        <v>470.94</v>
      </c>
      <c r="B838" s="23">
        <v>30.750807999999999</v>
      </c>
      <c r="C838" s="23">
        <v>57.294986999999999</v>
      </c>
      <c r="D838" s="23">
        <v>22.074877999999998</v>
      </c>
      <c r="E838" s="23">
        <f>(B838 - D838)/($L$7 - D838)</f>
        <v>0.15768595842829525</v>
      </c>
      <c r="F838" s="23">
        <f t="shared" si="26"/>
        <v>-1.8471498287472663</v>
      </c>
      <c r="G838" s="23">
        <f>(C838 - D838)/($L$7 - D838)</f>
        <v>0.64012925918190067</v>
      </c>
      <c r="H838" s="23">
        <f t="shared" si="27"/>
        <v>-0.44608515554938383</v>
      </c>
      <c r="I838" s="23"/>
      <c r="J838" s="15"/>
      <c r="K838" s="15"/>
      <c r="L838" s="15"/>
      <c r="M838" s="15"/>
      <c r="N838" s="15"/>
      <c r="O838" s="15"/>
      <c r="P838" s="15"/>
      <c r="Q838" s="15"/>
    </row>
    <row r="839" spans="1:17">
      <c r="A839" s="14">
        <v>471.50400000000002</v>
      </c>
      <c r="B839" s="23">
        <v>30.734352999999999</v>
      </c>
      <c r="C839" s="23">
        <v>57.282069999999997</v>
      </c>
      <c r="D839" s="23">
        <v>22.078053000000001</v>
      </c>
      <c r="E839" s="23">
        <f>(B839 - D839)/($L$7 - D839)</f>
        <v>0.15733826042880131</v>
      </c>
      <c r="F839" s="23">
        <f t="shared" si="26"/>
        <v>-1.849357266270282</v>
      </c>
      <c r="G839" s="23">
        <f>(C839 - D839)/($L$7 - D839)</f>
        <v>0.63987370988597303</v>
      </c>
      <c r="H839" s="23">
        <f t="shared" si="27"/>
        <v>-0.44648445040337786</v>
      </c>
      <c r="I839" s="23"/>
      <c r="J839" s="15"/>
      <c r="K839" s="15"/>
      <c r="L839" s="15"/>
      <c r="M839" s="15"/>
      <c r="N839" s="15"/>
      <c r="O839" s="15"/>
      <c r="P839" s="15"/>
      <c r="Q839" s="15"/>
    </row>
    <row r="840" spans="1:17">
      <c r="A840" s="14">
        <v>472.06799999999998</v>
      </c>
      <c r="B840" s="23">
        <v>30.726617999999998</v>
      </c>
      <c r="C840" s="23">
        <v>57.264547999999998</v>
      </c>
      <c r="D840" s="23">
        <v>22.068238999999998</v>
      </c>
      <c r="E840" s="23">
        <f>(B840 - D840)/($L$7 - D840)</f>
        <v>0.15734798079929821</v>
      </c>
      <c r="F840" s="23">
        <f t="shared" si="26"/>
        <v>-1.849295488097445</v>
      </c>
      <c r="G840" s="23">
        <f>(C840 - D840)/($L$7 - D840)</f>
        <v>0.6396195122364321</v>
      </c>
      <c r="H840" s="23">
        <f t="shared" si="27"/>
        <v>-0.44688179155140467</v>
      </c>
      <c r="I840" s="23"/>
      <c r="J840" s="15"/>
      <c r="K840" s="15"/>
      <c r="L840" s="15"/>
      <c r="M840" s="15"/>
      <c r="N840" s="15"/>
      <c r="O840" s="15"/>
      <c r="P840" s="15"/>
      <c r="Q840" s="15"/>
    </row>
    <row r="841" spans="1:17">
      <c r="A841" s="14">
        <v>472.63200000000001</v>
      </c>
      <c r="B841" s="23">
        <v>30.704844000000001</v>
      </c>
      <c r="C841" s="23">
        <v>57.246296000000001</v>
      </c>
      <c r="D841" s="23">
        <v>22.080939999999998</v>
      </c>
      <c r="E841" s="23">
        <f>(B841 - D841)/($L$7 - D841)</f>
        <v>0.15675765146358642</v>
      </c>
      <c r="F841" s="23">
        <f t="shared" si="26"/>
        <v>-1.8530542874956051</v>
      </c>
      <c r="G841" s="23">
        <f>(C841 - D841)/($L$7 - D841)</f>
        <v>0.63920454349224387</v>
      </c>
      <c r="H841" s="23">
        <f t="shared" si="27"/>
        <v>-0.4475307764635888</v>
      </c>
      <c r="I841" s="23"/>
      <c r="J841" s="15"/>
      <c r="K841" s="15"/>
      <c r="L841" s="15"/>
      <c r="M841" s="15"/>
      <c r="N841" s="15"/>
      <c r="O841" s="15"/>
      <c r="P841" s="15"/>
      <c r="Q841" s="15"/>
    </row>
    <row r="842" spans="1:17">
      <c r="A842" s="14">
        <v>473.19600000000003</v>
      </c>
      <c r="B842" s="23">
        <v>30.682945</v>
      </c>
      <c r="C842" s="23">
        <v>57.226357999999998</v>
      </c>
      <c r="D842" s="23">
        <v>22.076899000000001</v>
      </c>
      <c r="E842" s="23">
        <f>(B842 - D842)/($L$7 - D842)</f>
        <v>0.15642155489137638</v>
      </c>
      <c r="F842" s="23">
        <f t="shared" si="26"/>
        <v>-1.8552006413685218</v>
      </c>
      <c r="G842" s="23">
        <f>(C842 - D842)/($L$7 - D842)</f>
        <v>0.63886865470747922</v>
      </c>
      <c r="H842" s="23">
        <f t="shared" si="27"/>
        <v>-0.44805639392113483</v>
      </c>
      <c r="I842" s="23"/>
      <c r="J842" s="15"/>
      <c r="K842" s="15"/>
      <c r="L842" s="15"/>
      <c r="M842" s="15"/>
      <c r="N842" s="15"/>
      <c r="O842" s="15"/>
      <c r="P842" s="15"/>
      <c r="Q842" s="15"/>
    </row>
    <row r="843" spans="1:17">
      <c r="A843" s="14">
        <v>473.76</v>
      </c>
      <c r="B843" s="23">
        <v>30.674921999999999</v>
      </c>
      <c r="C843" s="23">
        <v>57.219619000000002</v>
      </c>
      <c r="D843" s="23">
        <v>22.083248999999999</v>
      </c>
      <c r="E843" s="23">
        <f>(B843 - D843)/($L$7 - D843)</f>
        <v>0.15617833998464734</v>
      </c>
      <c r="F843" s="23">
        <f t="shared" si="26"/>
        <v>-1.8567567196640811</v>
      </c>
      <c r="G843" s="23">
        <f>(C843 - D843)/($L$7 - D843)</f>
        <v>0.63870446881374121</v>
      </c>
      <c r="H843" s="23">
        <f t="shared" si="27"/>
        <v>-0.44831342170548488</v>
      </c>
      <c r="I843" s="23"/>
      <c r="J843" s="15"/>
      <c r="K843" s="15"/>
      <c r="L843" s="15"/>
      <c r="M843" s="15"/>
      <c r="N843" s="15"/>
      <c r="O843" s="15"/>
      <c r="P843" s="15"/>
      <c r="Q843" s="15"/>
    </row>
    <row r="844" spans="1:17">
      <c r="A844" s="14">
        <v>474.32400000000001</v>
      </c>
      <c r="B844" s="23">
        <v>30.647130000000001</v>
      </c>
      <c r="C844" s="23">
        <v>57.190413999999997</v>
      </c>
      <c r="D844" s="23">
        <v>22.083538000000001</v>
      </c>
      <c r="E844" s="23">
        <f>(B844 - D844)/($L$7 - D844)</f>
        <v>0.15566870492590953</v>
      </c>
      <c r="F844" s="23">
        <f t="shared" si="26"/>
        <v>-1.8600252163246123</v>
      </c>
      <c r="G844" s="23">
        <f>(C844 - D844)/($L$7 - D844)</f>
        <v>0.63817168320425532</v>
      </c>
      <c r="H844" s="23">
        <f t="shared" si="27"/>
        <v>-0.44914793590572866</v>
      </c>
      <c r="I844" s="23"/>
      <c r="J844" s="15"/>
      <c r="K844" s="15"/>
      <c r="L844" s="15"/>
      <c r="M844" s="15"/>
      <c r="N844" s="15"/>
      <c r="O844" s="15"/>
      <c r="P844" s="15"/>
      <c r="Q844" s="15"/>
    </row>
    <row r="845" spans="1:17">
      <c r="A845" s="14">
        <v>474.88799999999998</v>
      </c>
      <c r="B845" s="23">
        <v>30.630512</v>
      </c>
      <c r="C845" s="23">
        <v>57.183394</v>
      </c>
      <c r="D845" s="23">
        <v>22.091619999999999</v>
      </c>
      <c r="E845" s="23">
        <f>(B845 - D845)/($L$7 - D845)</f>
        <v>0.15524251645793294</v>
      </c>
      <c r="F845" s="23">
        <f t="shared" si="26"/>
        <v>-1.8627667624998732</v>
      </c>
      <c r="G845" s="23">
        <f>(C845 - D845)/($L$7 - D845)</f>
        <v>0.63799088953614391</v>
      </c>
      <c r="H845" s="23">
        <f t="shared" si="27"/>
        <v>-0.44943127546321576</v>
      </c>
      <c r="I845" s="23"/>
      <c r="J845" s="15"/>
      <c r="K845" s="15"/>
      <c r="L845" s="15"/>
      <c r="M845" s="15"/>
      <c r="N845" s="15"/>
      <c r="O845" s="15"/>
      <c r="P845" s="15"/>
      <c r="Q845" s="15"/>
    </row>
    <row r="846" spans="1:17">
      <c r="A846" s="14">
        <v>475.452</v>
      </c>
      <c r="B846" s="23">
        <v>30.617618</v>
      </c>
      <c r="C846" s="23">
        <v>57.160366000000003</v>
      </c>
      <c r="D846" s="23">
        <v>22.084230000000002</v>
      </c>
      <c r="E846" s="23">
        <f>(B846 - D846)/($L$7 - D846)</f>
        <v>0.1551216088664229</v>
      </c>
      <c r="F846" s="23">
        <f t="shared" si="26"/>
        <v>-1.8635458963478981</v>
      </c>
      <c r="G846" s="23">
        <f>(C846 - D846)/($L$7 - D846)</f>
        <v>0.63762091318682068</v>
      </c>
      <c r="H846" s="23">
        <f t="shared" si="27"/>
        <v>-0.45001135219017591</v>
      </c>
      <c r="I846" s="23"/>
      <c r="J846" s="15"/>
      <c r="K846" s="15"/>
      <c r="L846" s="15"/>
      <c r="M846" s="15"/>
      <c r="N846" s="15"/>
      <c r="O846" s="15"/>
      <c r="P846" s="15"/>
      <c r="Q846" s="15"/>
    </row>
    <row r="847" spans="1:17">
      <c r="A847" s="14">
        <v>476.01600000000002</v>
      </c>
      <c r="B847" s="23">
        <v>30.605871</v>
      </c>
      <c r="C847" s="23">
        <v>57.147728999999998</v>
      </c>
      <c r="D847" s="23">
        <v>22.099412999999998</v>
      </c>
      <c r="E847" s="23">
        <f>(B847 - D847)/($L$7 - D847)</f>
        <v>0.15467476018566012</v>
      </c>
      <c r="F847" s="23">
        <f t="shared" si="26"/>
        <v>-1.8664306880064991</v>
      </c>
      <c r="G847" s="23">
        <f>(C847 - D847)/($L$7 - D847)</f>
        <v>0.63729108780778476</v>
      </c>
      <c r="H847" s="23">
        <f t="shared" si="27"/>
        <v>-0.45052876105625733</v>
      </c>
      <c r="I847" s="23"/>
      <c r="J847" s="15"/>
      <c r="K847" s="15"/>
      <c r="L847" s="15"/>
      <c r="M847" s="15"/>
      <c r="N847" s="15"/>
      <c r="O847" s="15"/>
      <c r="P847" s="15"/>
      <c r="Q847" s="15"/>
    </row>
    <row r="848" spans="1:17">
      <c r="A848" s="14">
        <v>476.58</v>
      </c>
      <c r="B848" s="23">
        <v>30.586959</v>
      </c>
      <c r="C848" s="23">
        <v>57.128352</v>
      </c>
      <c r="D848" s="23">
        <v>22.095372000000001</v>
      </c>
      <c r="E848" s="23">
        <f>(B848 - D848)/($L$7 - D848)</f>
        <v>0.15439301303818953</v>
      </c>
      <c r="F848" s="23">
        <f t="shared" si="26"/>
        <v>-1.8682538947587115</v>
      </c>
      <c r="G848" s="23">
        <f>(C848 - D848)/($L$7 - D848)</f>
        <v>0.6369654268285343</v>
      </c>
      <c r="H848" s="23">
        <f t="shared" si="27"/>
        <v>-0.45103989987736615</v>
      </c>
      <c r="I848" s="23"/>
      <c r="J848" s="15"/>
      <c r="K848" s="15"/>
      <c r="L848" s="15"/>
      <c r="M848" s="15"/>
      <c r="N848" s="15"/>
      <c r="O848" s="15"/>
      <c r="P848" s="15"/>
      <c r="Q848" s="15"/>
    </row>
    <row r="849" spans="1:17">
      <c r="A849" s="14">
        <v>477.14400000000001</v>
      </c>
      <c r="B849" s="23">
        <v>30.570215999999999</v>
      </c>
      <c r="C849" s="23">
        <v>57.111783000000003</v>
      </c>
      <c r="D849" s="23">
        <v>22.106629000000002</v>
      </c>
      <c r="E849" s="23">
        <f>(B849 - D849)/($L$7 - D849)</f>
        <v>0.15391542280332973</v>
      </c>
      <c r="F849" s="23">
        <f t="shared" si="26"/>
        <v>-1.8713520300112636</v>
      </c>
      <c r="G849" s="23">
        <f>(C849 - D849)/($L$7 - D849)</f>
        <v>0.63658979085412271</v>
      </c>
      <c r="H849" s="23">
        <f t="shared" si="27"/>
        <v>-0.45162980124966479</v>
      </c>
      <c r="I849" s="23"/>
      <c r="J849" s="15"/>
      <c r="K849" s="15"/>
      <c r="L849" s="15"/>
      <c r="M849" s="15"/>
      <c r="N849" s="15"/>
      <c r="O849" s="15"/>
      <c r="P849" s="15"/>
      <c r="Q849" s="15"/>
    </row>
    <row r="850" spans="1:17">
      <c r="A850" s="14">
        <v>477.70800000000003</v>
      </c>
      <c r="B850" s="23">
        <v>30.557608999999999</v>
      </c>
      <c r="C850" s="23">
        <v>57.097461000000003</v>
      </c>
      <c r="D850" s="23">
        <v>22.111248</v>
      </c>
      <c r="E850" s="23">
        <f>(B850 - D850)/($L$7 - D850)</f>
        <v>0.15361506118386792</v>
      </c>
      <c r="F850" s="23">
        <f t="shared" si="26"/>
        <v>-1.8733054084931282</v>
      </c>
      <c r="G850" s="23">
        <f>(C850 - D850)/($L$7 - D850)</f>
        <v>0.63629878602001932</v>
      </c>
      <c r="H850" s="23">
        <f t="shared" si="27"/>
        <v>-0.45208703661882471</v>
      </c>
      <c r="I850" s="23"/>
      <c r="J850" s="15"/>
      <c r="K850" s="15"/>
      <c r="L850" s="15"/>
      <c r="M850" s="15"/>
      <c r="N850" s="15"/>
      <c r="O850" s="15"/>
      <c r="P850" s="15"/>
      <c r="Q850" s="15"/>
    </row>
    <row r="851" spans="1:17">
      <c r="A851" s="14">
        <v>478.27199999999999</v>
      </c>
      <c r="B851" s="23">
        <v>30.540825999999999</v>
      </c>
      <c r="C851" s="23">
        <v>57.078364000000001</v>
      </c>
      <c r="D851" s="23">
        <v>22.104032</v>
      </c>
      <c r="E851" s="23">
        <f>(B851 - D851)/($L$7 - D851)</f>
        <v>0.15342093020997521</v>
      </c>
      <c r="F851" s="23">
        <f t="shared" si="26"/>
        <v>-1.8745699573095762</v>
      </c>
      <c r="G851" s="23">
        <f>(C851 - D851)/($L$7 - D851)</f>
        <v>0.63599923725914187</v>
      </c>
      <c r="H851" s="23">
        <f t="shared" si="27"/>
        <v>-0.45255791492081288</v>
      </c>
      <c r="I851" s="23"/>
      <c r="J851" s="15"/>
      <c r="K851" s="15"/>
      <c r="L851" s="15"/>
      <c r="M851" s="15"/>
      <c r="N851" s="15"/>
      <c r="O851" s="15"/>
      <c r="P851" s="15"/>
      <c r="Q851" s="15"/>
    </row>
    <row r="852" spans="1:17">
      <c r="A852" s="14">
        <v>478.83600000000001</v>
      </c>
      <c r="B852" s="23">
        <v>30.520644000000001</v>
      </c>
      <c r="C852" s="23">
        <v>57.062918000000003</v>
      </c>
      <c r="D852" s="23">
        <v>22.108360999999999</v>
      </c>
      <c r="E852" s="23">
        <f>(B852 - D852)/($L$7 - D852)</f>
        <v>0.15298724739971808</v>
      </c>
      <c r="F852" s="23">
        <f t="shared" si="26"/>
        <v>-1.8774007113921731</v>
      </c>
      <c r="G852" s="23">
        <f>(C852 - D852)/($L$7 - D852)</f>
        <v>0.63568967657252462</v>
      </c>
      <c r="H852" s="23">
        <f t="shared" si="27"/>
        <v>-0.45304476463596677</v>
      </c>
      <c r="I852" s="23"/>
      <c r="J852" s="15"/>
      <c r="K852" s="15"/>
      <c r="L852" s="15"/>
      <c r="M852" s="15"/>
      <c r="N852" s="15"/>
      <c r="O852" s="15"/>
      <c r="P852" s="15"/>
      <c r="Q852" s="15"/>
    </row>
    <row r="853" spans="1:17">
      <c r="A853" s="14">
        <v>479.4</v>
      </c>
      <c r="B853" s="23">
        <v>30.494568000000001</v>
      </c>
      <c r="C853" s="23">
        <v>57.042416000000003</v>
      </c>
      <c r="D853" s="23">
        <v>22.103453999999999</v>
      </c>
      <c r="E853" s="23">
        <f>(B853 - D853)/($L$7 - D853)</f>
        <v>0.1525886473261108</v>
      </c>
      <c r="F853" s="23">
        <f t="shared" si="26"/>
        <v>-1.8800095578788389</v>
      </c>
      <c r="G853" s="23">
        <f>(C853 - D853)/($L$7 - D853)</f>
        <v>0.63534936488270644</v>
      </c>
      <c r="H853" s="23">
        <f t="shared" si="27"/>
        <v>-0.45358025046582834</v>
      </c>
      <c r="I853" s="23"/>
      <c r="J853" s="15"/>
      <c r="K853" s="15"/>
      <c r="L853" s="15"/>
      <c r="M853" s="15"/>
      <c r="N853" s="15"/>
      <c r="O853" s="15"/>
      <c r="P853" s="15"/>
      <c r="Q853" s="15"/>
    </row>
    <row r="854" spans="1:17">
      <c r="A854" s="14">
        <v>479.964</v>
      </c>
      <c r="B854" s="23">
        <v>30.487977000000001</v>
      </c>
      <c r="C854" s="23">
        <v>57.034272000000001</v>
      </c>
      <c r="D854" s="23">
        <v>22.102011000000001</v>
      </c>
      <c r="E854" s="23">
        <f>(B854 - D854)/($L$7 - D854)</f>
        <v>0.15249103184167856</v>
      </c>
      <c r="F854" s="23">
        <f t="shared" si="26"/>
        <v>-1.8806494922594557</v>
      </c>
      <c r="G854" s="23">
        <f>(C854 - D854)/($L$7 - D854)</f>
        <v>0.63521084207267542</v>
      </c>
      <c r="H854" s="23">
        <f t="shared" si="27"/>
        <v>-0.45379830044066866</v>
      </c>
      <c r="I854" s="23"/>
      <c r="J854" s="15"/>
      <c r="K854" s="15"/>
      <c r="L854" s="15"/>
      <c r="M854" s="15"/>
      <c r="N854" s="15"/>
      <c r="O854" s="15"/>
      <c r="P854" s="15"/>
      <c r="Q854" s="15"/>
    </row>
    <row r="855" spans="1:17">
      <c r="A855" s="14">
        <v>480.52800000000002</v>
      </c>
      <c r="B855" s="23">
        <v>30.465052</v>
      </c>
      <c r="C855" s="23">
        <v>57.013207999999999</v>
      </c>
      <c r="D855" s="23">
        <v>22.114422999999999</v>
      </c>
      <c r="E855" s="23">
        <f>(B855 - D855)/($L$7 - D855)</f>
        <v>0.15188274124169579</v>
      </c>
      <c r="F855" s="23">
        <f t="shared" si="26"/>
        <v>-1.8846464950475708</v>
      </c>
      <c r="G855" s="23">
        <f>(C855 - D855)/($L$7 - D855)</f>
        <v>0.6347453744867092</v>
      </c>
      <c r="H855" s="23">
        <f t="shared" si="27"/>
        <v>-0.45453134556575298</v>
      </c>
      <c r="I855" s="23"/>
      <c r="J855" s="15"/>
      <c r="K855" s="15"/>
      <c r="L855" s="15"/>
      <c r="M855" s="15"/>
      <c r="N855" s="15"/>
      <c r="O855" s="15"/>
      <c r="P855" s="15"/>
      <c r="Q855" s="15"/>
    </row>
    <row r="856" spans="1:17">
      <c r="A856" s="14">
        <v>481.09199999999998</v>
      </c>
      <c r="B856" s="23">
        <v>30.444419</v>
      </c>
      <c r="C856" s="23">
        <v>56.998604</v>
      </c>
      <c r="D856" s="23">
        <v>22.110092999999999</v>
      </c>
      <c r="E856" s="23">
        <f>(B856 - D856)/($L$7 - D856)</f>
        <v>0.15157428214225266</v>
      </c>
      <c r="F856" s="23">
        <f t="shared" si="26"/>
        <v>-1.8866794630259738</v>
      </c>
      <c r="G856" s="23">
        <f>(C856 - D856)/($L$7 - D856)</f>
        <v>0.63450853852334121</v>
      </c>
      <c r="H856" s="23">
        <f t="shared" si="27"/>
        <v>-0.45490453482865628</v>
      </c>
      <c r="I856" s="23"/>
      <c r="J856" s="15"/>
      <c r="K856" s="15"/>
      <c r="L856" s="15"/>
      <c r="M856" s="15"/>
      <c r="N856" s="15"/>
      <c r="O856" s="15"/>
      <c r="P856" s="15"/>
      <c r="Q856" s="15"/>
    </row>
    <row r="857" spans="1:17">
      <c r="A857" s="14">
        <v>481.65600000000001</v>
      </c>
      <c r="B857" s="23">
        <v>30.426079000000001</v>
      </c>
      <c r="C857" s="23">
        <v>56.973776000000001</v>
      </c>
      <c r="D857" s="23">
        <v>22.11702</v>
      </c>
      <c r="E857" s="23">
        <f>(B857 - D857)/($L$7 - D857)</f>
        <v>0.15113379736966856</v>
      </c>
      <c r="F857" s="23">
        <f t="shared" si="26"/>
        <v>-1.8895897592043687</v>
      </c>
      <c r="G857" s="23">
        <f>(C857 - D857)/($L$7 - D857)</f>
        <v>0.63401089079617545</v>
      </c>
      <c r="H857" s="23">
        <f t="shared" si="27"/>
        <v>-0.4556891467805011</v>
      </c>
      <c r="I857" s="23"/>
      <c r="J857" s="15"/>
      <c r="K857" s="15"/>
      <c r="L857" s="15"/>
      <c r="M857" s="15"/>
      <c r="N857" s="15"/>
      <c r="O857" s="15"/>
      <c r="P857" s="15"/>
      <c r="Q857" s="15"/>
    </row>
    <row r="858" spans="1:17">
      <c r="A858" s="14">
        <v>482.22</v>
      </c>
      <c r="B858" s="23">
        <v>30.418341000000002</v>
      </c>
      <c r="C858" s="23">
        <v>56.956643999999997</v>
      </c>
      <c r="D858" s="23">
        <v>22.111825</v>
      </c>
      <c r="E858" s="23">
        <f>(B858 - D858)/($L$7 - D858)</f>
        <v>0.15107326741993821</v>
      </c>
      <c r="F858" s="23">
        <f t="shared" si="26"/>
        <v>-1.8899903451442237</v>
      </c>
      <c r="G858" s="23">
        <f>(C858 - D858)/($L$7 - D858)</f>
        <v>0.63373388542035469</v>
      </c>
      <c r="H858" s="23">
        <f t="shared" si="27"/>
        <v>-0.4561261517446325</v>
      </c>
      <c r="I858" s="23"/>
      <c r="J858" s="15"/>
      <c r="K858" s="15"/>
      <c r="L858" s="15"/>
      <c r="M858" s="15"/>
      <c r="N858" s="15"/>
      <c r="O858" s="15"/>
      <c r="P858" s="15"/>
      <c r="Q858" s="15"/>
    </row>
    <row r="859" spans="1:17">
      <c r="A859" s="14">
        <v>482.78399999999999</v>
      </c>
      <c r="B859" s="23">
        <v>30.398854</v>
      </c>
      <c r="C859" s="23">
        <v>56.941195999999998</v>
      </c>
      <c r="D859" s="23">
        <v>22.120773</v>
      </c>
      <c r="E859" s="23">
        <f>(B859 - D859)/($L$7 - D859)</f>
        <v>0.15058061647697812</v>
      </c>
      <c r="F859" s="23">
        <f t="shared" si="26"/>
        <v>-1.8932566805522169</v>
      </c>
      <c r="G859" s="23">
        <f>(C859 - D859)/($L$7 - D859)</f>
        <v>0.63339326606361401</v>
      </c>
      <c r="H859" s="23">
        <f t="shared" si="27"/>
        <v>-0.45666377634615124</v>
      </c>
      <c r="I859" s="23"/>
      <c r="J859" s="15"/>
      <c r="K859" s="15"/>
      <c r="L859" s="15"/>
      <c r="M859" s="15"/>
      <c r="N859" s="15"/>
      <c r="O859" s="15"/>
      <c r="P859" s="15"/>
      <c r="Q859" s="15"/>
    </row>
    <row r="860" spans="1:17">
      <c r="A860" s="14">
        <v>483.34800000000001</v>
      </c>
      <c r="B860" s="23">
        <v>30.386980000000001</v>
      </c>
      <c r="C860" s="23">
        <v>56.92221</v>
      </c>
      <c r="D860" s="23">
        <v>22.109227000000001</v>
      </c>
      <c r="E860" s="23">
        <f>(B860 - D860)/($L$7 - D860)</f>
        <v>0.15054303226756491</v>
      </c>
      <c r="F860" s="23">
        <f t="shared" si="26"/>
        <v>-1.8935063069748848</v>
      </c>
      <c r="G860" s="23">
        <f>(C860 - D860)/($L$7 - D860)</f>
        <v>0.63312495831890481</v>
      </c>
      <c r="H860" s="23">
        <f t="shared" si="27"/>
        <v>-0.45708746981310283</v>
      </c>
      <c r="I860" s="23"/>
      <c r="J860" s="15"/>
      <c r="K860" s="15"/>
      <c r="L860" s="15"/>
      <c r="M860" s="15"/>
      <c r="N860" s="15"/>
      <c r="O860" s="15"/>
      <c r="P860" s="15"/>
      <c r="Q860" s="15"/>
    </row>
    <row r="861" spans="1:17">
      <c r="A861" s="14">
        <v>483.91199999999998</v>
      </c>
      <c r="B861" s="23">
        <v>30.361311000000001</v>
      </c>
      <c r="C861" s="23">
        <v>56.907212000000001</v>
      </c>
      <c r="D861" s="23">
        <v>22.117308999999999</v>
      </c>
      <c r="E861" s="23">
        <f>(B861 - D861)/($L$7 - D861)</f>
        <v>0.14995126130461534</v>
      </c>
      <c r="F861" s="23">
        <f t="shared" si="26"/>
        <v>-1.8974449623212262</v>
      </c>
      <c r="G861" s="23">
        <f>(C861 - D861)/($L$7 - D861)</f>
        <v>0.6327982253661778</v>
      </c>
      <c r="H861" s="23">
        <f t="shared" si="27"/>
        <v>-0.45760366694764143</v>
      </c>
      <c r="I861" s="23"/>
      <c r="J861" s="15"/>
      <c r="K861" s="15"/>
      <c r="L861" s="15"/>
      <c r="M861" s="15"/>
      <c r="N861" s="15"/>
      <c r="O861" s="15"/>
      <c r="P861" s="15"/>
      <c r="Q861" s="15"/>
    </row>
    <row r="862" spans="1:17">
      <c r="A862" s="14">
        <v>484.476</v>
      </c>
      <c r="B862" s="23">
        <v>30.351443</v>
      </c>
      <c r="C862" s="23">
        <v>56.897661999999997</v>
      </c>
      <c r="D862" s="23">
        <v>22.101721999999999</v>
      </c>
      <c r="E862" s="23">
        <f>(B862 - D862)/($L$7 - D862)</f>
        <v>0.15001275424294058</v>
      </c>
      <c r="F862" s="23">
        <f t="shared" si="26"/>
        <v>-1.8970349602143106</v>
      </c>
      <c r="G862" s="23">
        <f>(C862 - D862)/($L$7 - D862)</f>
        <v>0.63272864571688014</v>
      </c>
      <c r="H862" s="23">
        <f t="shared" si="27"/>
        <v>-0.45771362849955732</v>
      </c>
      <c r="I862" s="23"/>
      <c r="J862" s="15"/>
      <c r="K862" s="15"/>
      <c r="L862" s="15"/>
      <c r="M862" s="15"/>
      <c r="N862" s="15"/>
      <c r="O862" s="15"/>
      <c r="P862" s="15"/>
      <c r="Q862" s="15"/>
    </row>
    <row r="863" spans="1:17">
      <c r="A863" s="14">
        <v>485.04</v>
      </c>
      <c r="B863" s="23">
        <v>30.326509000000001</v>
      </c>
      <c r="C863" s="23">
        <v>56.882213999999998</v>
      </c>
      <c r="D863" s="23">
        <v>22.114134</v>
      </c>
      <c r="E863" s="23">
        <f>(B863 - D863)/($L$7 - D863)</f>
        <v>0.14936736750690041</v>
      </c>
      <c r="F863" s="23">
        <f t="shared" si="26"/>
        <v>-1.9013464537899309</v>
      </c>
      <c r="G863" s="23">
        <f>(C863 - D863)/($L$7 - D863)</f>
        <v>0.63236476450105028</v>
      </c>
      <c r="H863" s="23">
        <f t="shared" si="27"/>
        <v>-0.45828889230683945</v>
      </c>
      <c r="I863" s="23"/>
      <c r="J863" s="15"/>
      <c r="K863" s="15"/>
      <c r="L863" s="15"/>
      <c r="M863" s="15"/>
      <c r="N863" s="15"/>
      <c r="O863" s="15"/>
      <c r="P863" s="15"/>
      <c r="Q863" s="15"/>
    </row>
    <row r="864" spans="1:17">
      <c r="A864" s="14">
        <v>485.60399999999998</v>
      </c>
      <c r="B864" s="23">
        <v>30.32479</v>
      </c>
      <c r="C864" s="23">
        <v>56.860585999999998</v>
      </c>
      <c r="D864" s="23">
        <v>22.110092999999999</v>
      </c>
      <c r="E864" s="23">
        <f>(B864 - D864)/($L$7 - D864)</f>
        <v>0.14939861973135157</v>
      </c>
      <c r="F864" s="23">
        <f t="shared" si="26"/>
        <v>-1.9011372450720709</v>
      </c>
      <c r="G864" s="23">
        <f>(C864 - D864)/($L$7 - D864)</f>
        <v>0.63199844001355054</v>
      </c>
      <c r="H864" s="23">
        <f t="shared" si="27"/>
        <v>-0.45886835317131563</v>
      </c>
      <c r="I864" s="23"/>
      <c r="J864" s="15"/>
      <c r="K864" s="15"/>
      <c r="L864" s="15"/>
      <c r="M864" s="15"/>
      <c r="N864" s="15"/>
      <c r="O864" s="15"/>
      <c r="P864" s="15"/>
      <c r="Q864" s="15"/>
    </row>
    <row r="865" spans="1:17">
      <c r="A865" s="14">
        <v>486.16800000000001</v>
      </c>
      <c r="B865" s="23">
        <v>30.303170999999999</v>
      </c>
      <c r="C865" s="23">
        <v>56.845419</v>
      </c>
      <c r="D865" s="23">
        <v>22.113845000000001</v>
      </c>
      <c r="E865" s="23">
        <f>(B865 - D865)/($L$7 - D865)</f>
        <v>0.14894736743507217</v>
      </c>
      <c r="F865" s="23">
        <f t="shared" si="26"/>
        <v>-1.904162274130951</v>
      </c>
      <c r="G865" s="23">
        <f>(C865 - D865)/($L$7 - D865)</f>
        <v>0.63169746987437059</v>
      </c>
      <c r="H865" s="23">
        <f t="shared" si="27"/>
        <v>-0.4593446863500743</v>
      </c>
      <c r="I865" s="23"/>
      <c r="J865" s="15"/>
      <c r="K865" s="15"/>
      <c r="L865" s="15"/>
      <c r="M865" s="15"/>
      <c r="N865" s="15"/>
      <c r="O865" s="15"/>
      <c r="P865" s="15"/>
      <c r="Q865" s="15"/>
    </row>
    <row r="866" spans="1:17">
      <c r="A866" s="14">
        <v>486.73200000000003</v>
      </c>
      <c r="B866" s="23">
        <v>30.282086</v>
      </c>
      <c r="C866" s="23">
        <v>56.824632999999999</v>
      </c>
      <c r="D866" s="23">
        <v>22.111825</v>
      </c>
      <c r="E866" s="23">
        <f>(B866 - D866)/($L$7 - D866)</f>
        <v>0.14859515408670634</v>
      </c>
      <c r="F866" s="23">
        <f t="shared" si="26"/>
        <v>-1.9065297576830615</v>
      </c>
      <c r="G866" s="23">
        <f>(C866 - D866)/($L$7 - D866)</f>
        <v>0.63133295907465525</v>
      </c>
      <c r="H866" s="23">
        <f t="shared" si="27"/>
        <v>-0.45992188671117518</v>
      </c>
      <c r="I866" s="23"/>
      <c r="J866" s="15"/>
      <c r="K866" s="15"/>
      <c r="L866" s="15"/>
      <c r="M866" s="15"/>
      <c r="N866" s="15"/>
      <c r="O866" s="15"/>
      <c r="P866" s="15"/>
      <c r="Q866" s="15"/>
    </row>
    <row r="867" spans="1:17">
      <c r="A867" s="14">
        <v>487.29599999999999</v>
      </c>
      <c r="B867" s="23">
        <v>30.263456000000001</v>
      </c>
      <c r="C867" s="23">
        <v>56.803286</v>
      </c>
      <c r="D867" s="23">
        <v>22.119907000000001</v>
      </c>
      <c r="E867" s="23">
        <f>(B867 - D867)/($L$7 - D867)</f>
        <v>0.14813110816590855</v>
      </c>
      <c r="F867" s="23">
        <f t="shared" si="26"/>
        <v>-1.9096575313798494</v>
      </c>
      <c r="G867" s="23">
        <f>(C867 - D867)/($L$7 - D867)</f>
        <v>0.63089045896429197</v>
      </c>
      <c r="H867" s="23">
        <f t="shared" si="27"/>
        <v>-0.46062303061671073</v>
      </c>
      <c r="I867" s="23"/>
      <c r="J867" s="15"/>
      <c r="K867" s="15"/>
      <c r="L867" s="15"/>
      <c r="M867" s="15"/>
      <c r="N867" s="15"/>
      <c r="O867" s="15"/>
      <c r="P867" s="15"/>
      <c r="Q867" s="15"/>
    </row>
    <row r="868" spans="1:17">
      <c r="A868" s="14">
        <v>487.86</v>
      </c>
      <c r="B868" s="23">
        <v>30.249984999999999</v>
      </c>
      <c r="C868" s="23">
        <v>56.797105999999999</v>
      </c>
      <c r="D868" s="23">
        <v>22.121638999999998</v>
      </c>
      <c r="E868" s="23">
        <f>(B868 - D868)/($L$7 - D868)</f>
        <v>0.14785922400095453</v>
      </c>
      <c r="F868" s="23">
        <f t="shared" si="26"/>
        <v>-1.9114946470682634</v>
      </c>
      <c r="G868" s="23">
        <f>(C868 - D868)/($L$7 - D868)</f>
        <v>0.63076641207088202</v>
      </c>
      <c r="H868" s="23">
        <f t="shared" si="27"/>
        <v>-0.46081967186942768</v>
      </c>
      <c r="I868" s="23"/>
      <c r="J868" s="15"/>
      <c r="K868" s="15"/>
      <c r="L868" s="15"/>
      <c r="M868" s="15"/>
      <c r="N868" s="15"/>
      <c r="O868" s="15"/>
      <c r="P868" s="15"/>
      <c r="Q868" s="15"/>
    </row>
    <row r="869" spans="1:17">
      <c r="A869" s="14">
        <v>488.42399999999998</v>
      </c>
      <c r="B869" s="23">
        <v>30.229512</v>
      </c>
      <c r="C869" s="23">
        <v>56.781937999999997</v>
      </c>
      <c r="D869" s="23">
        <v>22.126256999999999</v>
      </c>
      <c r="E869" s="23">
        <f>(B869 - D869)/($L$7 - D869)</f>
        <v>0.14741518795099684</v>
      </c>
      <c r="F869" s="23">
        <f t="shared" si="26"/>
        <v>-1.9145022655187949</v>
      </c>
      <c r="G869" s="23">
        <f>(C869 - D869)/($L$7 - D869)</f>
        <v>0.63045945464937114</v>
      </c>
      <c r="H869" s="23">
        <f t="shared" si="27"/>
        <v>-0.46130643230730212</v>
      </c>
      <c r="I869" s="23"/>
      <c r="J869" s="15"/>
      <c r="K869" s="15"/>
      <c r="L869" s="15"/>
      <c r="M869" s="15"/>
      <c r="N869" s="15"/>
      <c r="O869" s="15"/>
      <c r="P869" s="15"/>
      <c r="Q869" s="15"/>
    </row>
    <row r="870" spans="1:17">
      <c r="A870" s="14">
        <v>488.988</v>
      </c>
      <c r="B870" s="23">
        <v>30.216736999999998</v>
      </c>
      <c r="C870" s="23">
        <v>56.765645999999997</v>
      </c>
      <c r="D870" s="23">
        <v>22.125101999999998</v>
      </c>
      <c r="E870" s="23">
        <f>(B870 - D870)/($L$7 - D870)</f>
        <v>0.14720070284047593</v>
      </c>
      <c r="F870" s="23">
        <f t="shared" si="26"/>
        <v>-1.915958297967266</v>
      </c>
      <c r="G870" s="23">
        <f>(C870 - D870)/($L$7 - D870)</f>
        <v>0.63017083983353561</v>
      </c>
      <c r="H870" s="23">
        <f t="shared" si="27"/>
        <v>-0.46176432201872869</v>
      </c>
      <c r="I870" s="23"/>
      <c r="J870" s="15"/>
      <c r="K870" s="15"/>
      <c r="L870" s="15"/>
      <c r="M870" s="15"/>
      <c r="N870" s="15"/>
      <c r="O870" s="15"/>
      <c r="P870" s="15"/>
      <c r="Q870" s="15"/>
    </row>
    <row r="871" spans="1:17">
      <c r="A871" s="14">
        <v>489.55200000000002</v>
      </c>
      <c r="B871" s="23">
        <v>30.202120000000001</v>
      </c>
      <c r="C871" s="23">
        <v>56.738118</v>
      </c>
      <c r="D871" s="23">
        <v>22.123082</v>
      </c>
      <c r="E871" s="23">
        <f>(B871 - D871)/($L$7 - D871)</f>
        <v>0.14696614122683024</v>
      </c>
      <c r="F871" s="23">
        <f t="shared" si="26"/>
        <v>-1.9175530505241118</v>
      </c>
      <c r="G871" s="23">
        <f>(C871 - D871)/($L$7 - D871)</f>
        <v>0.62968366646472185</v>
      </c>
      <c r="H871" s="23">
        <f t="shared" si="27"/>
        <v>-0.46253770242203801</v>
      </c>
      <c r="I871" s="23"/>
      <c r="J871" s="15"/>
      <c r="K871" s="15"/>
      <c r="L871" s="15"/>
      <c r="M871" s="15"/>
      <c r="N871" s="15"/>
      <c r="O871" s="15"/>
      <c r="P871" s="15"/>
      <c r="Q871" s="15"/>
    </row>
    <row r="872" spans="1:17">
      <c r="A872" s="14">
        <v>490.11599999999999</v>
      </c>
      <c r="B872" s="23">
        <v>30.183651000000001</v>
      </c>
      <c r="C872" s="23">
        <v>56.726882000000003</v>
      </c>
      <c r="D872" s="23">
        <v>22.126545</v>
      </c>
      <c r="E872" s="23">
        <f>(B872 - D872)/($L$7 - D872)</f>
        <v>0.14657640890194104</v>
      </c>
      <c r="F872" s="23">
        <f t="shared" si="26"/>
        <v>-1.9202084240208586</v>
      </c>
      <c r="G872" s="23">
        <f>(C872 - D872)/($L$7 - D872)</f>
        <v>0.62945592924518556</v>
      </c>
      <c r="H872" s="23">
        <f t="shared" si="27"/>
        <v>-0.46289943709037112</v>
      </c>
      <c r="I872" s="23"/>
      <c r="J872" s="15"/>
      <c r="K872" s="15"/>
      <c r="L872" s="15"/>
      <c r="M872" s="15"/>
      <c r="N872" s="15"/>
      <c r="O872" s="15"/>
      <c r="P872" s="15"/>
      <c r="Q872" s="15"/>
    </row>
    <row r="873" spans="1:17">
      <c r="A873" s="14">
        <v>490.68</v>
      </c>
      <c r="B873" s="23">
        <v>30.158714</v>
      </c>
      <c r="C873" s="23">
        <v>56.71396</v>
      </c>
      <c r="D873" s="23">
        <v>22.132318000000001</v>
      </c>
      <c r="E873" s="23">
        <f>(B873 - D873)/($L$7 - D873)</f>
        <v>0.14603306363125007</v>
      </c>
      <c r="F873" s="23">
        <f t="shared" si="26"/>
        <v>-1.9239222196849863</v>
      </c>
      <c r="G873" s="23">
        <f>(C873 - D873)/($L$7 - D873)</f>
        <v>0.62918190513639138</v>
      </c>
      <c r="H873" s="23">
        <f t="shared" si="27"/>
        <v>-0.4633348667360378</v>
      </c>
      <c r="I873" s="23"/>
      <c r="J873" s="15"/>
      <c r="K873" s="15"/>
      <c r="L873" s="15"/>
      <c r="M873" s="15"/>
      <c r="N873" s="15"/>
      <c r="O873" s="15"/>
      <c r="P873" s="15"/>
      <c r="Q873" s="15"/>
    </row>
    <row r="874" spans="1:17">
      <c r="A874" s="14">
        <v>491.24400000000003</v>
      </c>
      <c r="B874" s="23">
        <v>30.152981</v>
      </c>
      <c r="C874" s="23">
        <v>56.702049000000002</v>
      </c>
      <c r="D874" s="23">
        <v>22.126833999999999</v>
      </c>
      <c r="E874" s="23">
        <f>(B874 - D874)/($L$7 - D874)</f>
        <v>0.1460139645445438</v>
      </c>
      <c r="F874" s="23">
        <f t="shared" si="26"/>
        <v>-1.9240530142823689</v>
      </c>
      <c r="G874" s="23">
        <f>(C874 - D874)/($L$7 - D874)</f>
        <v>0.62900221203648243</v>
      </c>
      <c r="H874" s="23">
        <f t="shared" si="27"/>
        <v>-0.46362050553671585</v>
      </c>
      <c r="I874" s="23"/>
      <c r="J874" s="15"/>
      <c r="K874" s="15"/>
      <c r="L874" s="15"/>
      <c r="M874" s="15"/>
      <c r="N874" s="15"/>
      <c r="O874" s="15"/>
      <c r="P874" s="15"/>
      <c r="Q874" s="15"/>
    </row>
    <row r="875" spans="1:17">
      <c r="A875" s="14">
        <v>491.80799999999999</v>
      </c>
      <c r="B875" s="23">
        <v>30.136355999999999</v>
      </c>
      <c r="C875" s="23">
        <v>56.680250999999998</v>
      </c>
      <c r="D875" s="23">
        <v>22.132318000000001</v>
      </c>
      <c r="E875" s="23">
        <f>(B875 - D875)/($L$7 - D875)</f>
        <v>0.14562627990955634</v>
      </c>
      <c r="F875" s="23">
        <f t="shared" si="26"/>
        <v>-1.9267116656222973</v>
      </c>
      <c r="G875" s="23">
        <f>(C875 - D875)/($L$7 - D875)</f>
        <v>0.62856860016839</v>
      </c>
      <c r="H875" s="23">
        <f t="shared" si="27"/>
        <v>-0.46431010787332849</v>
      </c>
      <c r="I875" s="23"/>
      <c r="J875" s="15"/>
      <c r="K875" s="15"/>
      <c r="L875" s="15"/>
      <c r="M875" s="15"/>
      <c r="N875" s="15"/>
      <c r="O875" s="15"/>
      <c r="P875" s="15"/>
      <c r="Q875" s="15"/>
    </row>
    <row r="876" spans="1:17">
      <c r="A876" s="14">
        <v>492.37200000000001</v>
      </c>
      <c r="B876" s="23">
        <v>30.130786000000001</v>
      </c>
      <c r="C876" s="23">
        <v>56.665643000000003</v>
      </c>
      <c r="D876" s="23">
        <v>22.138090999999999</v>
      </c>
      <c r="E876" s="23">
        <f>(B876 - D876)/($L$7 - D876)</f>
        <v>0.14543517993445618</v>
      </c>
      <c r="F876" s="23">
        <f t="shared" si="26"/>
        <v>-1.9280247903668926</v>
      </c>
      <c r="G876" s="23">
        <f>(C876 - D876)/($L$7 - D876)</f>
        <v>0.62826377558711943</v>
      </c>
      <c r="H876" s="23">
        <f t="shared" si="27"/>
        <v>-0.46479517587941671</v>
      </c>
      <c r="I876" s="23"/>
      <c r="J876" s="15"/>
      <c r="K876" s="15"/>
      <c r="L876" s="15"/>
      <c r="M876" s="15"/>
      <c r="N876" s="15"/>
      <c r="O876" s="15"/>
      <c r="P876" s="15"/>
      <c r="Q876" s="15"/>
    </row>
    <row r="877" spans="1:17">
      <c r="A877" s="14">
        <v>492.93599999999998</v>
      </c>
      <c r="B877" s="23">
        <v>30.106708000000001</v>
      </c>
      <c r="C877" s="23">
        <v>56.643732</v>
      </c>
      <c r="D877" s="23">
        <v>22.135493</v>
      </c>
      <c r="E877" s="23">
        <f>(B877 - D877)/($L$7 - D877)</f>
        <v>0.14503747318967011</v>
      </c>
      <c r="F877" s="23">
        <f t="shared" si="26"/>
        <v>-1.9307631341595108</v>
      </c>
      <c r="G877" s="23">
        <f>(C877 - D877)/($L$7 - D877)</f>
        <v>0.62788267394433961</v>
      </c>
      <c r="H877" s="23">
        <f t="shared" si="27"/>
        <v>-0.46540195489728498</v>
      </c>
      <c r="I877" s="23"/>
      <c r="J877" s="15"/>
      <c r="K877" s="15"/>
      <c r="L877" s="15"/>
      <c r="M877" s="15"/>
      <c r="N877" s="15"/>
      <c r="O877" s="15"/>
      <c r="P877" s="15"/>
      <c r="Q877" s="15"/>
    </row>
    <row r="878" spans="1:17">
      <c r="A878" s="14">
        <v>493.5</v>
      </c>
      <c r="B878" s="23">
        <v>30.083774999999999</v>
      </c>
      <c r="C878" s="23">
        <v>56.637832000000003</v>
      </c>
      <c r="D878" s="23">
        <v>22.141843000000001</v>
      </c>
      <c r="E878" s="23">
        <f>(B878 - D878)/($L$7 - D878)</f>
        <v>0.14452136242193669</v>
      </c>
      <c r="F878" s="23">
        <f t="shared" si="26"/>
        <v>-1.9343279455264257</v>
      </c>
      <c r="G878" s="23">
        <f>(C878 - D878)/($L$7 - D878)</f>
        <v>0.62773231102610083</v>
      </c>
      <c r="H878" s="23">
        <f t="shared" si="27"/>
        <v>-0.46564145971485621</v>
      </c>
      <c r="I878" s="23"/>
      <c r="J878" s="15"/>
      <c r="K878" s="15"/>
      <c r="L878" s="15"/>
      <c r="M878" s="15"/>
      <c r="N878" s="15"/>
      <c r="O878" s="15"/>
      <c r="P878" s="15"/>
      <c r="Q878" s="15"/>
    </row>
    <row r="879" spans="1:17">
      <c r="A879" s="14">
        <v>494.06400000000002</v>
      </c>
      <c r="B879" s="23">
        <v>30.057812999999999</v>
      </c>
      <c r="C879" s="23">
        <v>56.610863000000002</v>
      </c>
      <c r="D879" s="23">
        <v>22.136648000000001</v>
      </c>
      <c r="E879" s="23">
        <f>(B879 - D879)/($L$7 - D879)</f>
        <v>0.14412983474924312</v>
      </c>
      <c r="F879" s="23">
        <f t="shared" si="26"/>
        <v>-1.9370407554274129</v>
      </c>
      <c r="G879" s="23">
        <f>(C879 - D879)/($L$7 - D879)</f>
        <v>0.6272767845461974</v>
      </c>
      <c r="H879" s="23">
        <f t="shared" si="27"/>
        <v>-0.46636739309894876</v>
      </c>
      <c r="I879" s="23"/>
      <c r="J879" s="15"/>
      <c r="K879" s="15"/>
      <c r="L879" s="15"/>
      <c r="M879" s="15"/>
      <c r="N879" s="15"/>
      <c r="O879" s="15"/>
      <c r="P879" s="15"/>
      <c r="Q879" s="15"/>
    </row>
    <row r="880" spans="1:17">
      <c r="A880" s="14">
        <v>494.62799999999999</v>
      </c>
      <c r="B880" s="23">
        <v>30.051096000000001</v>
      </c>
      <c r="C880" s="23">
        <v>56.595973999999998</v>
      </c>
      <c r="D880" s="23">
        <v>22.136358999999999</v>
      </c>
      <c r="E880" s="23">
        <f>(B880 - D880)/($L$7 - D880)</f>
        <v>0.14401211656136698</v>
      </c>
      <c r="F880" s="23">
        <f t="shared" si="26"/>
        <v>-1.9378578401586715</v>
      </c>
      <c r="G880" s="23">
        <f>(C880 - D880)/($L$7 - D880)</f>
        <v>0.62700783260894555</v>
      </c>
      <c r="H880" s="23">
        <f t="shared" si="27"/>
        <v>-0.46679624622796806</v>
      </c>
      <c r="I880" s="23"/>
      <c r="J880" s="15"/>
      <c r="K880" s="15"/>
      <c r="L880" s="15"/>
      <c r="M880" s="15"/>
      <c r="N880" s="15"/>
      <c r="O880" s="15"/>
      <c r="P880" s="15"/>
      <c r="Q880" s="15"/>
    </row>
    <row r="881" spans="1:17">
      <c r="A881" s="14">
        <v>495.19200000000001</v>
      </c>
      <c r="B881" s="23">
        <v>30.039916000000002</v>
      </c>
      <c r="C881" s="23">
        <v>56.583331999999999</v>
      </c>
      <c r="D881" s="23">
        <v>22.136935999999999</v>
      </c>
      <c r="E881" s="23">
        <f>(B881 - D881)/($L$7 - D881)</f>
        <v>0.14379970250144433</v>
      </c>
      <c r="F881" s="23">
        <f t="shared" si="26"/>
        <v>-1.9393339025329057</v>
      </c>
      <c r="G881" s="23">
        <f>(C881 - D881)/($L$7 - D881)</f>
        <v>0.62677388745092866</v>
      </c>
      <c r="H881" s="23">
        <f t="shared" si="27"/>
        <v>-0.46716942946551077</v>
      </c>
      <c r="I881" s="23"/>
      <c r="J881" s="15"/>
      <c r="K881" s="15"/>
      <c r="L881" s="15"/>
      <c r="M881" s="15"/>
      <c r="N881" s="15"/>
      <c r="O881" s="15"/>
      <c r="P881" s="15"/>
      <c r="Q881" s="15"/>
    </row>
    <row r="882" spans="1:17">
      <c r="A882" s="14">
        <v>495.75599999999997</v>
      </c>
      <c r="B882" s="23">
        <v>30.022019</v>
      </c>
      <c r="C882" s="23">
        <v>56.567599999999999</v>
      </c>
      <c r="D882" s="23">
        <v>22.139244999999999</v>
      </c>
      <c r="E882" s="23">
        <f>(B882 - D882)/($L$7 - D882)</f>
        <v>0.14343806796065964</v>
      </c>
      <c r="F882" s="23">
        <f t="shared" si="26"/>
        <v>-1.9418519190965264</v>
      </c>
      <c r="G882" s="23">
        <f>(C882 - D882)/($L$7 - D882)</f>
        <v>0.62647194049502308</v>
      </c>
      <c r="H882" s="23">
        <f t="shared" si="27"/>
        <v>-0.46765129336645506</v>
      </c>
      <c r="I882" s="23"/>
      <c r="J882" s="15"/>
      <c r="K882" s="15"/>
      <c r="L882" s="15"/>
      <c r="M882" s="15"/>
      <c r="N882" s="15"/>
      <c r="O882" s="15"/>
      <c r="P882" s="15"/>
      <c r="Q882" s="15"/>
    </row>
    <row r="883" spans="1:17">
      <c r="A883" s="14">
        <v>496.32</v>
      </c>
      <c r="B883" s="23">
        <v>29.999496000000001</v>
      </c>
      <c r="C883" s="23">
        <v>56.550350000000002</v>
      </c>
      <c r="D883" s="23">
        <v>22.138957000000001</v>
      </c>
      <c r="E883" s="23">
        <f>(B883 - D883)/($L$7 - D883)</f>
        <v>0.14303272155009034</v>
      </c>
      <c r="F883" s="23">
        <f t="shared" si="26"/>
        <v>-1.9446818528693934</v>
      </c>
      <c r="G883" s="23">
        <f>(C883 - D883)/($L$7 - D883)</f>
        <v>0.62616001181594916</v>
      </c>
      <c r="H883" s="23">
        <f t="shared" si="27"/>
        <v>-0.46814933061505953</v>
      </c>
      <c r="I883" s="23"/>
      <c r="J883" s="15"/>
      <c r="K883" s="15"/>
      <c r="L883" s="15"/>
      <c r="M883" s="15"/>
      <c r="N883" s="15"/>
      <c r="O883" s="15"/>
      <c r="P883" s="15"/>
      <c r="Q883" s="15"/>
    </row>
    <row r="884" spans="1:17">
      <c r="A884" s="14">
        <v>496.88400000000001</v>
      </c>
      <c r="B884" s="23">
        <v>29.985161999999999</v>
      </c>
      <c r="C884" s="23">
        <v>56.531920999999997</v>
      </c>
      <c r="D884" s="23">
        <v>22.128565999999999</v>
      </c>
      <c r="E884" s="23">
        <f>(B884 - D884)/($L$7 - D884)</f>
        <v>0.14293394791238756</v>
      </c>
      <c r="F884" s="23">
        <f t="shared" si="26"/>
        <v>-1.9453726581427242</v>
      </c>
      <c r="G884" s="23">
        <f>(C884 - D884)/($L$7 - D884)</f>
        <v>0.62589540706705271</v>
      </c>
      <c r="H884" s="23">
        <f t="shared" si="27"/>
        <v>-0.46857200320421993</v>
      </c>
      <c r="I884" s="23"/>
      <c r="J884" s="15"/>
      <c r="K884" s="15"/>
      <c r="L884" s="15"/>
      <c r="M884" s="15"/>
      <c r="N884" s="15"/>
      <c r="O884" s="15"/>
      <c r="P884" s="15"/>
      <c r="Q884" s="15"/>
    </row>
    <row r="885" spans="1:17">
      <c r="A885" s="14">
        <v>497.44799999999998</v>
      </c>
      <c r="B885" s="23">
        <v>29.961366999999999</v>
      </c>
      <c r="C885" s="23">
        <v>56.517592999999998</v>
      </c>
      <c r="D885" s="23">
        <v>22.131855999999999</v>
      </c>
      <c r="E885" s="23">
        <f>(B885 - D885)/($L$7 - D885)</f>
        <v>0.14244972056824068</v>
      </c>
      <c r="F885" s="23">
        <f t="shared" si="26"/>
        <v>-1.9487661796530558</v>
      </c>
      <c r="G885" s="23">
        <f>(C885 - D885)/($L$7 - D885)</f>
        <v>0.62561233098504043</v>
      </c>
      <c r="H885" s="23">
        <f t="shared" si="27"/>
        <v>-0.46902437929145108</v>
      </c>
      <c r="I885" s="23"/>
      <c r="J885" s="15"/>
      <c r="K885" s="15"/>
      <c r="L885" s="15"/>
      <c r="M885" s="15"/>
      <c r="N885" s="15"/>
      <c r="O885" s="15"/>
      <c r="P885" s="15"/>
      <c r="Q885" s="15"/>
    </row>
    <row r="886" spans="1:17">
      <c r="A886" s="14">
        <v>498.012</v>
      </c>
      <c r="B886" s="23">
        <v>29.942731999999999</v>
      </c>
      <c r="C886" s="23">
        <v>56.499330999999998</v>
      </c>
      <c r="D886" s="23">
        <v>22.133761</v>
      </c>
      <c r="E886" s="23">
        <f>(B886 - D886)/($L$7 - D886)</f>
        <v>0.14208094131474938</v>
      </c>
      <c r="F886" s="23">
        <f t="shared" si="26"/>
        <v>-1.9513583745156478</v>
      </c>
      <c r="G886" s="23">
        <f>(C886 - D886)/($L$7 - D886)</f>
        <v>0.62526708505101536</v>
      </c>
      <c r="H886" s="23">
        <f t="shared" si="27"/>
        <v>-0.46957638444616984</v>
      </c>
      <c r="I886" s="23"/>
      <c r="J886" s="15"/>
      <c r="K886" s="15"/>
      <c r="L886" s="15"/>
      <c r="M886" s="15"/>
      <c r="N886" s="15"/>
      <c r="O886" s="15"/>
      <c r="P886" s="15"/>
      <c r="Q886" s="15"/>
    </row>
    <row r="887" spans="1:17">
      <c r="A887" s="14">
        <v>498.57600000000002</v>
      </c>
      <c r="B887" s="23">
        <v>29.932001</v>
      </c>
      <c r="C887" s="23">
        <v>56.479945999999998</v>
      </c>
      <c r="D887" s="23">
        <v>22.125391</v>
      </c>
      <c r="E887" s="23">
        <f>(B887 - D887)/($L$7 - D887)</f>
        <v>0.14201635643720337</v>
      </c>
      <c r="F887" s="23">
        <f t="shared" si="26"/>
        <v>-1.9518130418368063</v>
      </c>
      <c r="G887" s="23">
        <f>(C887 - D887)/($L$7 - D887)</f>
        <v>0.62497149570959831</v>
      </c>
      <c r="H887" s="23">
        <f t="shared" si="27"/>
        <v>-0.47004923715040292</v>
      </c>
      <c r="I887" s="23"/>
      <c r="J887" s="15"/>
      <c r="K887" s="15"/>
      <c r="L887" s="15"/>
      <c r="M887" s="15"/>
      <c r="N887" s="15"/>
      <c r="O887" s="15"/>
      <c r="P887" s="15"/>
      <c r="Q887" s="15"/>
    </row>
    <row r="888" spans="1:17">
      <c r="A888" s="14">
        <v>499.14</v>
      </c>
      <c r="B888" s="23">
        <v>29.926553999999999</v>
      </c>
      <c r="C888" s="23">
        <v>56.459155000000003</v>
      </c>
      <c r="D888" s="23">
        <v>22.132607</v>
      </c>
      <c r="E888" s="23">
        <f>(B888 - D888)/($L$7 - D888)</f>
        <v>0.14180460855011914</v>
      </c>
      <c r="F888" s="23">
        <f t="shared" si="26"/>
        <v>-1.9533051650587854</v>
      </c>
      <c r="G888" s="23">
        <f>(C888 - D888)/($L$7 - D888)</f>
        <v>0.62454398291608559</v>
      </c>
      <c r="H888" s="23">
        <f t="shared" si="27"/>
        <v>-0.47073352288756681</v>
      </c>
      <c r="I888" s="23"/>
      <c r="J888" s="15"/>
      <c r="K888" s="15"/>
      <c r="L888" s="15"/>
      <c r="M888" s="15"/>
      <c r="N888" s="15"/>
      <c r="O888" s="15"/>
      <c r="P888" s="15"/>
      <c r="Q888" s="15"/>
    </row>
    <row r="889" spans="1:17">
      <c r="A889" s="14">
        <v>499.70400000000001</v>
      </c>
      <c r="B889" s="23">
        <v>29.897310999999998</v>
      </c>
      <c r="C889" s="23">
        <v>56.445388000000001</v>
      </c>
      <c r="D889" s="23">
        <v>22.119617999999999</v>
      </c>
      <c r="E889" s="23">
        <f>(B889 - D889)/($L$7 - D889)</f>
        <v>0.14147544596537864</v>
      </c>
      <c r="F889" s="23">
        <f t="shared" si="26"/>
        <v>-1.9556291037027933</v>
      </c>
      <c r="G889" s="23">
        <f>(C889 - D889)/($L$7 - D889)</f>
        <v>0.62438227104811372</v>
      </c>
      <c r="H889" s="23">
        <f t="shared" si="27"/>
        <v>-0.47099248432482105</v>
      </c>
      <c r="I889" s="23"/>
      <c r="J889" s="15"/>
      <c r="K889" s="15"/>
      <c r="L889" s="15"/>
      <c r="M889" s="15"/>
      <c r="N889" s="15"/>
      <c r="O889" s="15"/>
      <c r="P889" s="15"/>
      <c r="Q889" s="15"/>
    </row>
    <row r="890" spans="1:17">
      <c r="A890" s="14">
        <v>500.26799999999997</v>
      </c>
      <c r="B890" s="23">
        <v>29.888995999999999</v>
      </c>
      <c r="C890" s="23">
        <v>56.428418000000001</v>
      </c>
      <c r="D890" s="23">
        <v>22.114711</v>
      </c>
      <c r="E890" s="23">
        <f>(B890 - D890)/($L$7 - D890)</f>
        <v>0.1414008336595855</v>
      </c>
      <c r="F890" s="23">
        <f t="shared" si="26"/>
        <v>-1.9561566297832573</v>
      </c>
      <c r="G890" s="23">
        <f>(C890 - D890)/($L$7 - D890)</f>
        <v>0.62410713985282962</v>
      </c>
      <c r="H890" s="23">
        <f t="shared" si="27"/>
        <v>-0.47143322686910799</v>
      </c>
      <c r="I890" s="23"/>
      <c r="J890" s="15"/>
      <c r="K890" s="15"/>
      <c r="L890" s="15"/>
      <c r="M890" s="15"/>
      <c r="N890" s="15"/>
      <c r="O890" s="15"/>
      <c r="P890" s="15"/>
      <c r="Q890" s="15"/>
    </row>
    <row r="891" spans="1:17">
      <c r="A891" s="14">
        <v>500.83199999999999</v>
      </c>
      <c r="B891" s="23">
        <v>29.867493</v>
      </c>
      <c r="C891" s="23">
        <v>56.413527000000002</v>
      </c>
      <c r="D891" s="23">
        <v>22.123370000000001</v>
      </c>
      <c r="E891" s="23">
        <f>(B891 - D891)/($L$7 - D891)</f>
        <v>0.14087442554199045</v>
      </c>
      <c r="F891" s="23">
        <f t="shared" si="26"/>
        <v>-1.9598863844158494</v>
      </c>
      <c r="G891" s="23">
        <f>(C891 - D891)/($L$7 - D891)</f>
        <v>0.62377704604119322</v>
      </c>
      <c r="H891" s="23">
        <f t="shared" si="27"/>
        <v>-0.47196227246976052</v>
      </c>
      <c r="I891" s="23"/>
      <c r="J891" s="15"/>
      <c r="K891" s="15"/>
      <c r="L891" s="15"/>
      <c r="M891" s="15"/>
      <c r="N891" s="15"/>
      <c r="O891" s="15"/>
      <c r="P891" s="15"/>
      <c r="Q891" s="15"/>
    </row>
    <row r="892" spans="1:17">
      <c r="A892" s="14">
        <v>501.39600000000002</v>
      </c>
      <c r="B892" s="23">
        <v>29.853444</v>
      </c>
      <c r="C892" s="23">
        <v>56.404536</v>
      </c>
      <c r="D892" s="23">
        <v>22.113557</v>
      </c>
      <c r="E892" s="23">
        <f>(B892 - D892)/($L$7 - D892)</f>
        <v>0.14077223866902888</v>
      </c>
      <c r="F892" s="23">
        <f t="shared" si="26"/>
        <v>-1.9606120232422968</v>
      </c>
      <c r="G892" s="23">
        <f>(C892 - D892)/($L$7 - D892)</f>
        <v>0.6236806661366836</v>
      </c>
      <c r="H892" s="23">
        <f t="shared" si="27"/>
        <v>-0.47211679458904443</v>
      </c>
      <c r="I892" s="23"/>
      <c r="J892" s="15"/>
      <c r="K892" s="15"/>
      <c r="L892" s="15"/>
      <c r="M892" s="15"/>
      <c r="N892" s="15"/>
      <c r="O892" s="15"/>
      <c r="P892" s="15"/>
      <c r="Q892" s="15"/>
    </row>
    <row r="893" spans="1:17">
      <c r="A893" s="14">
        <v>501.96</v>
      </c>
      <c r="B893" s="23">
        <v>29.839558</v>
      </c>
      <c r="C893" s="23">
        <v>56.382733000000002</v>
      </c>
      <c r="D893" s="23">
        <v>22.121926999999999</v>
      </c>
      <c r="E893" s="23">
        <f>(B893 - D893)/($L$7 - D893)</f>
        <v>0.14038882068097874</v>
      </c>
      <c r="F893" s="23">
        <f t="shared" si="26"/>
        <v>-1.963339415340001</v>
      </c>
      <c r="G893" s="23">
        <f>(C893 - D893)/($L$7 - D893)</f>
        <v>0.62322675830443308</v>
      </c>
      <c r="H893" s="23">
        <f t="shared" si="27"/>
        <v>-0.47284484840186686</v>
      </c>
      <c r="I893" s="23"/>
      <c r="J893" s="15"/>
      <c r="K893" s="15"/>
      <c r="L893" s="15"/>
      <c r="M893" s="15"/>
      <c r="N893" s="15"/>
      <c r="O893" s="15"/>
      <c r="P893" s="15"/>
      <c r="Q893" s="15"/>
    </row>
    <row r="894" spans="1:17">
      <c r="A894" s="14">
        <v>502.524</v>
      </c>
      <c r="B894" s="23">
        <v>29.820184999999999</v>
      </c>
      <c r="C894" s="23">
        <v>56.367728999999997</v>
      </c>
      <c r="D894" s="23">
        <v>22.128855000000001</v>
      </c>
      <c r="E894" s="23">
        <f>(B894 - D894)/($L$7 - D894)</f>
        <v>0.13992802248343622</v>
      </c>
      <c r="F894" s="23">
        <f t="shared" si="26"/>
        <v>-1.9666271136987803</v>
      </c>
      <c r="G894" s="23">
        <f>(C894 - D894)/($L$7 - D894)</f>
        <v>0.62290630240537603</v>
      </c>
      <c r="H894" s="23">
        <f t="shared" si="27"/>
        <v>-0.47335916892866287</v>
      </c>
      <c r="I894" s="23"/>
      <c r="J894" s="15"/>
      <c r="K894" s="15"/>
      <c r="L894" s="15"/>
      <c r="M894" s="15"/>
      <c r="N894" s="15"/>
      <c r="O894" s="15"/>
      <c r="P894" s="15"/>
      <c r="Q894" s="15"/>
    </row>
    <row r="895" spans="1:17">
      <c r="A895" s="14">
        <v>503.08800000000002</v>
      </c>
      <c r="B895" s="23">
        <v>29.805439</v>
      </c>
      <c r="C895" s="23">
        <v>56.347329999999999</v>
      </c>
      <c r="D895" s="23">
        <v>22.123659</v>
      </c>
      <c r="E895" s="23">
        <f>(B895 - D895)/($L$7 - D895)</f>
        <v>0.13974106995426924</v>
      </c>
      <c r="F895" s="23">
        <f t="shared" si="26"/>
        <v>-1.9679640691369717</v>
      </c>
      <c r="G895" s="23">
        <f>(C895 - D895)/($L$7 - D895)</f>
        <v>0.62257086291235819</v>
      </c>
      <c r="H895" s="23">
        <f t="shared" si="27"/>
        <v>-0.4738978211183123</v>
      </c>
      <c r="I895" s="23"/>
      <c r="J895" s="15"/>
      <c r="K895" s="15"/>
      <c r="L895" s="15"/>
      <c r="M895" s="15"/>
      <c r="N895" s="15"/>
      <c r="O895" s="15"/>
      <c r="P895" s="15"/>
      <c r="Q895" s="15"/>
    </row>
    <row r="896" spans="1:17">
      <c r="A896" s="14">
        <v>503.65199999999999</v>
      </c>
      <c r="B896" s="23">
        <v>29.787662000000001</v>
      </c>
      <c r="C896" s="23">
        <v>56.323334000000003</v>
      </c>
      <c r="D896" s="23">
        <v>22.131567</v>
      </c>
      <c r="E896" s="23">
        <f>(B896 - D896)/($L$7 - D896)</f>
        <v>0.13929386636640503</v>
      </c>
      <c r="F896" s="23">
        <f t="shared" si="26"/>
        <v>-1.9711694309934802</v>
      </c>
      <c r="G896" s="23">
        <f>(C896 - D896)/($L$7 - D896)</f>
        <v>0.62207997984994401</v>
      </c>
      <c r="H896" s="23">
        <f t="shared" si="27"/>
        <v>-0.47468660954154035</v>
      </c>
      <c r="I896" s="23"/>
      <c r="J896" s="15"/>
      <c r="K896" s="15"/>
      <c r="L896" s="15"/>
      <c r="M896" s="15"/>
      <c r="N896" s="15"/>
      <c r="O896" s="15"/>
      <c r="P896" s="15"/>
      <c r="Q896" s="15"/>
    </row>
    <row r="897" spans="1:17">
      <c r="A897" s="14">
        <v>504.21600000000001</v>
      </c>
      <c r="B897" s="23">
        <v>29.773039000000001</v>
      </c>
      <c r="C897" s="23">
        <v>56.320075000000003</v>
      </c>
      <c r="D897" s="23">
        <v>22.130298</v>
      </c>
      <c r="E897" s="23">
        <f>(B897 - D897)/($L$7 - D897)</f>
        <v>0.13904769532142047</v>
      </c>
      <c r="F897" s="23">
        <f t="shared" si="26"/>
        <v>-1.9729382728989209</v>
      </c>
      <c r="G897" s="23">
        <f>(C897 - D897)/($L$7 - D897)</f>
        <v>0.62202941266795642</v>
      </c>
      <c r="H897" s="23">
        <f t="shared" si="27"/>
        <v>-0.47476790011344588</v>
      </c>
      <c r="I897" s="23"/>
      <c r="J897" s="15"/>
      <c r="K897" s="15"/>
      <c r="L897" s="15"/>
      <c r="M897" s="15"/>
      <c r="N897" s="15"/>
      <c r="O897" s="15"/>
      <c r="P897" s="15"/>
      <c r="Q897" s="15"/>
    </row>
    <row r="898" spans="1:17">
      <c r="A898" s="14">
        <v>504.78</v>
      </c>
      <c r="B898" s="23">
        <v>29.754688000000002</v>
      </c>
      <c r="C898" s="23">
        <v>56.294111999999998</v>
      </c>
      <c r="D898" s="23">
        <v>22.132607</v>
      </c>
      <c r="E898" s="23">
        <f>(B898 - D898)/($L$7 - D898)</f>
        <v>0.13867764465710392</v>
      </c>
      <c r="F898" s="23">
        <f t="shared" si="26"/>
        <v>-1.9756031423223515</v>
      </c>
      <c r="G898" s="23">
        <f>(C898 - D898)/($L$7 - D898)</f>
        <v>0.62154115803044829</v>
      </c>
      <c r="H898" s="23">
        <f t="shared" si="27"/>
        <v>-0.47555314652261838</v>
      </c>
      <c r="I898" s="23"/>
      <c r="J898" s="15"/>
      <c r="K898" s="15"/>
      <c r="L898" s="15"/>
      <c r="M898" s="15"/>
      <c r="N898" s="15"/>
      <c r="O898" s="15"/>
      <c r="P898" s="15"/>
      <c r="Q898" s="15"/>
    </row>
    <row r="899" spans="1:17">
      <c r="A899" s="14">
        <v>505.34399999999999</v>
      </c>
      <c r="B899" s="23">
        <v>29.743504999999999</v>
      </c>
      <c r="C899" s="23">
        <v>56.279893999999999</v>
      </c>
      <c r="D899" s="23">
        <v>22.13607</v>
      </c>
      <c r="E899" s="23">
        <f>(B899 - D899)/($L$7 - D899)</f>
        <v>0.13841989379887404</v>
      </c>
      <c r="F899" s="23">
        <f t="shared" si="26"/>
        <v>-1.9774635048070175</v>
      </c>
      <c r="G899" s="23">
        <f>(C899 - D899)/($L$7 - D899)</f>
        <v>0.62125860976366498</v>
      </c>
      <c r="H899" s="23">
        <f t="shared" si="27"/>
        <v>-0.47600784289281944</v>
      </c>
      <c r="I899" s="23"/>
      <c r="J899" s="15"/>
      <c r="K899" s="15"/>
      <c r="L899" s="15"/>
      <c r="M899" s="15"/>
      <c r="N899" s="15"/>
      <c r="O899" s="15"/>
      <c r="P899" s="15"/>
      <c r="Q899" s="15"/>
    </row>
    <row r="900" spans="1:17">
      <c r="A900" s="14">
        <v>505.90800000000002</v>
      </c>
      <c r="B900" s="23">
        <v>29.726749999999999</v>
      </c>
      <c r="C900" s="23">
        <v>56.262360000000001</v>
      </c>
      <c r="D900" s="23">
        <v>22.131163999999998</v>
      </c>
      <c r="E900" s="23">
        <f>(B900 - D900)/($L$7 - D900)</f>
        <v>0.1381919612796895</v>
      </c>
      <c r="F900" s="23">
        <f t="shared" ref="F900:F950" si="28">LN(E900)</f>
        <v>-1.9791115366363743</v>
      </c>
      <c r="G900" s="23">
        <f>(C900 - D900)/($L$7 - D900)</f>
        <v>0.62097340693153791</v>
      </c>
      <c r="H900" s="23">
        <f t="shared" ref="H900:H950" si="29">LN(G900)</f>
        <v>-0.47646702094217763</v>
      </c>
      <c r="I900" s="23"/>
      <c r="J900" s="15"/>
      <c r="K900" s="15"/>
      <c r="L900" s="15"/>
      <c r="M900" s="15"/>
      <c r="N900" s="15"/>
      <c r="O900" s="15"/>
      <c r="P900" s="15"/>
      <c r="Q900" s="15"/>
    </row>
    <row r="901" spans="1:17">
      <c r="A901" s="14">
        <v>506.47199999999998</v>
      </c>
      <c r="B901" s="23">
        <v>29.709831999999999</v>
      </c>
      <c r="C901" s="23">
        <v>56.246343000000003</v>
      </c>
      <c r="D901" s="23">
        <v>22.129432000000001</v>
      </c>
      <c r="E901" s="23">
        <f>(B901 - D901)/($L$7 - D901)</f>
        <v>0.13791132565924591</v>
      </c>
      <c r="F901" s="23">
        <f t="shared" si="28"/>
        <v>-1.9811443680466521</v>
      </c>
      <c r="G901" s="23">
        <f>(C901 - D901)/($L$7 - D901)</f>
        <v>0.62069395063697308</v>
      </c>
      <c r="H901" s="23">
        <f t="shared" si="29"/>
        <v>-0.47691715164357684</v>
      </c>
      <c r="I901" s="23"/>
      <c r="J901" s="15"/>
      <c r="K901" s="15"/>
      <c r="L901" s="15"/>
      <c r="M901" s="15"/>
      <c r="N901" s="15"/>
      <c r="O901" s="15"/>
      <c r="P901" s="15"/>
      <c r="Q901" s="15"/>
    </row>
    <row r="902" spans="1:17">
      <c r="A902" s="14">
        <v>507.036</v>
      </c>
      <c r="B902" s="23">
        <v>29.698649</v>
      </c>
      <c r="C902" s="23">
        <v>56.222177000000002</v>
      </c>
      <c r="D902" s="23">
        <v>22.129719999999999</v>
      </c>
      <c r="E902" s="23">
        <f>(B902 - D902)/($L$7 - D902)</f>
        <v>0.13770335359296326</v>
      </c>
      <c r="F902" s="23">
        <f t="shared" si="28"/>
        <v>-1.9826535192015826</v>
      </c>
      <c r="G902" s="23">
        <f>(C902 - D902)/($L$7 - D902)</f>
        <v>0.62025230532931352</v>
      </c>
      <c r="H902" s="23">
        <f t="shared" si="29"/>
        <v>-0.47762893964274689</v>
      </c>
      <c r="I902" s="23"/>
      <c r="J902" s="15"/>
      <c r="K902" s="15"/>
      <c r="L902" s="15"/>
      <c r="M902" s="15"/>
      <c r="N902" s="15"/>
      <c r="O902" s="15"/>
      <c r="P902" s="15"/>
      <c r="Q902" s="15"/>
    </row>
    <row r="903" spans="1:17">
      <c r="A903" s="14">
        <v>507.6</v>
      </c>
      <c r="B903" s="23">
        <v>29.678863</v>
      </c>
      <c r="C903" s="23">
        <v>56.215432999999997</v>
      </c>
      <c r="D903" s="23">
        <v>22.127526</v>
      </c>
      <c r="E903" s="23">
        <f>(B903 - D903)/($L$7 - D903)</f>
        <v>0.13737781451857331</v>
      </c>
      <c r="F903" s="23">
        <f t="shared" si="28"/>
        <v>-1.9850203786169176</v>
      </c>
      <c r="G903" s="23">
        <f>(C903 - D903)/($L$7 - D903)</f>
        <v>0.62014477239889787</v>
      </c>
      <c r="H903" s="23">
        <f t="shared" si="29"/>
        <v>-0.47780232433159503</v>
      </c>
      <c r="I903" s="23"/>
      <c r="J903" s="15"/>
      <c r="K903" s="15"/>
      <c r="L903" s="15"/>
      <c r="M903" s="15"/>
      <c r="N903" s="15"/>
      <c r="O903" s="15"/>
      <c r="P903" s="15"/>
      <c r="Q903" s="15"/>
    </row>
    <row r="904" spans="1:17">
      <c r="A904" s="14">
        <v>508.16399999999999</v>
      </c>
      <c r="B904" s="23">
        <v>29.660511</v>
      </c>
      <c r="C904" s="23">
        <v>56.198853999999997</v>
      </c>
      <c r="D904" s="23">
        <v>22.119040999999999</v>
      </c>
      <c r="E904" s="23">
        <f>(B904 - D904)/($L$7 - D904)</f>
        <v>0.13717713382777202</v>
      </c>
      <c r="F904" s="23">
        <f t="shared" si="28"/>
        <v>-1.98648224064307</v>
      </c>
      <c r="G904" s="23">
        <f>(C904 - D904)/($L$7 - D904)</f>
        <v>0.61990183196730142</v>
      </c>
      <c r="H904" s="23">
        <f t="shared" si="29"/>
        <v>-0.47819414901600482</v>
      </c>
      <c r="I904" s="23"/>
      <c r="J904" s="15"/>
      <c r="K904" s="15"/>
      <c r="L904" s="15"/>
      <c r="M904" s="15"/>
      <c r="N904" s="15"/>
      <c r="O904" s="15"/>
      <c r="P904" s="15"/>
      <c r="Q904" s="15"/>
    </row>
    <row r="905" spans="1:17">
      <c r="A905" s="14">
        <v>508.72800000000001</v>
      </c>
      <c r="B905" s="23">
        <v>29.653341999999999</v>
      </c>
      <c r="C905" s="23">
        <v>56.180588999999998</v>
      </c>
      <c r="D905" s="23">
        <v>22.121061000000001</v>
      </c>
      <c r="E905" s="23">
        <f>(B905 - D905)/($L$7 - D905)</f>
        <v>0.13701502297671855</v>
      </c>
      <c r="F905" s="23">
        <f t="shared" si="28"/>
        <v>-1.9876647024015066</v>
      </c>
      <c r="G905" s="23">
        <f>(C905 - D905)/($L$7 - D905)</f>
        <v>0.6195556182112949</v>
      </c>
      <c r="H905" s="23">
        <f t="shared" si="29"/>
        <v>-0.47875280274786292</v>
      </c>
      <c r="I905" s="23"/>
      <c r="J905" s="15"/>
      <c r="K905" s="15"/>
      <c r="L905" s="15"/>
      <c r="M905" s="15"/>
      <c r="N905" s="15"/>
      <c r="O905" s="15"/>
      <c r="P905" s="15"/>
      <c r="Q905" s="15"/>
    </row>
    <row r="906" spans="1:17">
      <c r="A906" s="14">
        <v>509.29199999999997</v>
      </c>
      <c r="B906" s="23">
        <v>29.631997999999999</v>
      </c>
      <c r="C906" s="23">
        <v>56.162604000000002</v>
      </c>
      <c r="D906" s="23">
        <v>22.117308999999999</v>
      </c>
      <c r="E906" s="23">
        <f>(B906 - D906)/($L$7 - D906)</f>
        <v>0.13668568904543188</v>
      </c>
      <c r="F906" s="23">
        <f t="shared" si="28"/>
        <v>-1.9900712295003569</v>
      </c>
      <c r="G906" s="23">
        <f>(C906 - D906)/($L$7 - D906)</f>
        <v>0.61925445029461579</v>
      </c>
      <c r="H906" s="23">
        <f t="shared" si="29"/>
        <v>-0.47923902405049668</v>
      </c>
      <c r="I906" s="23"/>
      <c r="J906" s="15"/>
      <c r="K906" s="15"/>
      <c r="L906" s="15"/>
      <c r="M906" s="15"/>
      <c r="N906" s="15"/>
      <c r="O906" s="15"/>
      <c r="P906" s="15"/>
      <c r="Q906" s="15"/>
    </row>
    <row r="907" spans="1:17">
      <c r="A907" s="14">
        <v>509.85599999999999</v>
      </c>
      <c r="B907" s="23">
        <v>29.604181000000001</v>
      </c>
      <c r="C907" s="23">
        <v>56.143214</v>
      </c>
      <c r="D907" s="23">
        <v>22.102703000000002</v>
      </c>
      <c r="E907" s="23">
        <f>(B907 - D907)/($L$7 - D907)</f>
        <v>0.13640915250180646</v>
      </c>
      <c r="F907" s="23">
        <f t="shared" si="28"/>
        <v>-1.9920964353707835</v>
      </c>
      <c r="G907" s="23">
        <f>(C907 - D907)/($L$7 - D907)</f>
        <v>0.61900298264400977</v>
      </c>
      <c r="H907" s="23">
        <f t="shared" si="29"/>
        <v>-0.47964518782125037</v>
      </c>
      <c r="I907" s="23"/>
      <c r="J907" s="15"/>
      <c r="K907" s="15"/>
      <c r="L907" s="15"/>
      <c r="M907" s="15"/>
      <c r="N907" s="15"/>
      <c r="O907" s="15"/>
      <c r="P907" s="15"/>
      <c r="Q907" s="15"/>
    </row>
    <row r="908" spans="1:17">
      <c r="A908" s="14">
        <v>510.42</v>
      </c>
      <c r="B908" s="23">
        <v>29.60877</v>
      </c>
      <c r="C908" s="23">
        <v>56.130567999999997</v>
      </c>
      <c r="D908" s="23">
        <v>22.107899</v>
      </c>
      <c r="E908" s="23">
        <f>(B908 - D908)/($L$7 - D908)</f>
        <v>0.13641100351068422</v>
      </c>
      <c r="F908" s="23">
        <f t="shared" si="28"/>
        <v>-1.9920828659270529</v>
      </c>
      <c r="G908" s="23">
        <f>(C908 - D908)/($L$7 - D908)</f>
        <v>0.61873700006330545</v>
      </c>
      <c r="H908" s="23">
        <f t="shared" si="29"/>
        <v>-0.48007497531864834</v>
      </c>
      <c r="I908" s="23"/>
      <c r="J908" s="15"/>
      <c r="K908" s="15"/>
      <c r="L908" s="15"/>
      <c r="M908" s="15"/>
      <c r="N908" s="15"/>
      <c r="O908" s="15"/>
      <c r="P908" s="15"/>
      <c r="Q908" s="15"/>
    </row>
    <row r="909" spans="1:17">
      <c r="A909" s="14">
        <v>510.98399999999998</v>
      </c>
      <c r="B909" s="23">
        <v>29.588121999999998</v>
      </c>
      <c r="C909" s="23">
        <v>56.109772</v>
      </c>
      <c r="D909" s="23">
        <v>22.115114999999999</v>
      </c>
      <c r="E909" s="23">
        <f>(B909 - D909)/($L$7 - D909)</f>
        <v>0.13592210530248314</v>
      </c>
      <c r="F909" s="23">
        <f t="shared" si="28"/>
        <v>-1.9956733124617616</v>
      </c>
      <c r="G909" s="23">
        <f>(C909 - D909)/($L$7 - D909)</f>
        <v>0.61830871407932531</v>
      </c>
      <c r="H909" s="23">
        <f t="shared" si="29"/>
        <v>-0.48076740890650377</v>
      </c>
      <c r="I909" s="23"/>
      <c r="J909" s="15"/>
      <c r="K909" s="15"/>
      <c r="L909" s="15"/>
      <c r="M909" s="15"/>
      <c r="N909" s="15"/>
      <c r="O909" s="15"/>
      <c r="P909" s="15"/>
      <c r="Q909" s="15"/>
    </row>
    <row r="910" spans="1:17">
      <c r="A910" s="14">
        <v>511.548</v>
      </c>
      <c r="B910" s="23">
        <v>29.577511000000001</v>
      </c>
      <c r="C910" s="23">
        <v>56.095272000000001</v>
      </c>
      <c r="D910" s="23">
        <v>22.106918</v>
      </c>
      <c r="E910" s="23">
        <f>(B910 - D910)/($L$7 - D910)</f>
        <v>0.13585794337075685</v>
      </c>
      <c r="F910" s="23">
        <f t="shared" si="28"/>
        <v>-1.9961454731904944</v>
      </c>
      <c r="G910" s="23">
        <f>(C910 - D910)/($L$7 - D910)</f>
        <v>0.6181019194858075</v>
      </c>
      <c r="H910" s="23">
        <f t="shared" si="29"/>
        <v>-0.48110191686014342</v>
      </c>
      <c r="I910" s="23"/>
      <c r="J910" s="15"/>
      <c r="K910" s="15"/>
      <c r="L910" s="15"/>
      <c r="M910" s="15"/>
      <c r="N910" s="15"/>
      <c r="O910" s="15"/>
      <c r="P910" s="15"/>
      <c r="Q910" s="15"/>
    </row>
    <row r="911" spans="1:17">
      <c r="A911" s="14">
        <v>512.11199999999997</v>
      </c>
      <c r="B911" s="23">
        <v>29.557722999999999</v>
      </c>
      <c r="C911" s="23">
        <v>56.078296999999999</v>
      </c>
      <c r="D911" s="23">
        <v>22.102125999999998</v>
      </c>
      <c r="E911" s="23">
        <f>(B911 - D911)/($L$7 - D911)</f>
        <v>0.13557341599103598</v>
      </c>
      <c r="F911" s="23">
        <f t="shared" si="28"/>
        <v>-1.9982419699593652</v>
      </c>
      <c r="G911" s="23">
        <f>(C911 - D911)/($L$7 - D911)</f>
        <v>0.61782652211024447</v>
      </c>
      <c r="H911" s="23">
        <f t="shared" si="29"/>
        <v>-0.48154756948994348</v>
      </c>
      <c r="I911" s="23"/>
      <c r="J911" s="15"/>
      <c r="K911" s="15"/>
      <c r="L911" s="15"/>
      <c r="M911" s="15"/>
      <c r="N911" s="15"/>
      <c r="O911" s="15"/>
      <c r="P911" s="15"/>
      <c r="Q911" s="15"/>
    </row>
    <row r="912" spans="1:17">
      <c r="A912" s="14">
        <v>512.67600000000004</v>
      </c>
      <c r="B912" s="23">
        <v>29.541664000000001</v>
      </c>
      <c r="C912" s="23">
        <v>56.057220000000001</v>
      </c>
      <c r="D912" s="23">
        <v>22.10126</v>
      </c>
      <c r="E912" s="23">
        <f>(B912 - D912)/($L$7 - D912)</f>
        <v>0.13529501421666096</v>
      </c>
      <c r="F912" s="23">
        <f t="shared" si="28"/>
        <v>-2.0002975943242709</v>
      </c>
      <c r="G912" s="23">
        <f>(C912 - D912)/($L$7 - D912)</f>
        <v>0.61744927976227781</v>
      </c>
      <c r="H912" s="23">
        <f t="shared" si="29"/>
        <v>-0.48215835189031514</v>
      </c>
      <c r="I912" s="23"/>
      <c r="J912" s="15"/>
      <c r="K912" s="15"/>
      <c r="L912" s="15"/>
      <c r="M912" s="15"/>
      <c r="N912" s="15"/>
      <c r="O912" s="15"/>
      <c r="P912" s="15"/>
      <c r="Q912" s="15"/>
    </row>
    <row r="913" spans="1:17">
      <c r="A913" s="14">
        <v>513.24</v>
      </c>
      <c r="B913" s="23">
        <v>29.536501000000001</v>
      </c>
      <c r="C913" s="23">
        <v>56.047946000000003</v>
      </c>
      <c r="D913" s="23">
        <v>22.103857999999999</v>
      </c>
      <c r="E913" s="23">
        <f>(B913 - D913)/($L$7 - D913)</f>
        <v>0.1351602747254986</v>
      </c>
      <c r="F913" s="23">
        <f t="shared" si="28"/>
        <v>-2.0012939845434214</v>
      </c>
      <c r="G913" s="23">
        <f>(C913 - D913)/($L$7 - D913)</f>
        <v>0.61726256183520445</v>
      </c>
      <c r="H913" s="23">
        <f t="shared" si="29"/>
        <v>-0.48246079967158062</v>
      </c>
      <c r="I913" s="23"/>
      <c r="J913" s="15"/>
      <c r="K913" s="15"/>
      <c r="L913" s="15"/>
      <c r="M913" s="15"/>
      <c r="N913" s="15"/>
      <c r="O913" s="15"/>
      <c r="P913" s="15"/>
      <c r="Q913" s="15"/>
    </row>
    <row r="914" spans="1:17">
      <c r="A914" s="14">
        <v>513.80399999999997</v>
      </c>
      <c r="B914" s="23">
        <v>29.514417999999999</v>
      </c>
      <c r="C914" s="23">
        <v>56.033332000000001</v>
      </c>
      <c r="D914" s="23">
        <v>22.100104999999999</v>
      </c>
      <c r="E914" s="23">
        <f>(B914 - D914)/($L$7 - D914)</f>
        <v>0.13481774851827202</v>
      </c>
      <c r="F914" s="23">
        <f t="shared" si="28"/>
        <v>-2.0038314236052641</v>
      </c>
      <c r="G914" s="23">
        <f>(C914 - D914)/($L$7 - D914)</f>
        <v>0.61702294792510626</v>
      </c>
      <c r="H914" s="23">
        <f t="shared" si="29"/>
        <v>-0.48284906302104641</v>
      </c>
      <c r="I914" s="23"/>
      <c r="J914" s="15"/>
      <c r="K914" s="15"/>
      <c r="L914" s="15"/>
      <c r="M914" s="15"/>
      <c r="N914" s="15"/>
      <c r="O914" s="15"/>
      <c r="P914" s="15"/>
      <c r="Q914" s="15"/>
    </row>
    <row r="915" spans="1:17">
      <c r="A915" s="14">
        <v>514.36800000000005</v>
      </c>
      <c r="B915" s="23">
        <v>29.502085999999998</v>
      </c>
      <c r="C915" s="23">
        <v>56.013378000000003</v>
      </c>
      <c r="D915" s="23">
        <v>22.114536999999999</v>
      </c>
      <c r="E915" s="23">
        <f>(B915 - D915)/($L$7 - D915)</f>
        <v>0.13436634769444064</v>
      </c>
      <c r="F915" s="23">
        <f t="shared" si="28"/>
        <v>-2.0071852714239609</v>
      </c>
      <c r="G915" s="23">
        <f>(C915 - D915)/($L$7 - D915)</f>
        <v>0.61655949168588398</v>
      </c>
      <c r="H915" s="23">
        <f t="shared" si="29"/>
        <v>-0.48360046194850531</v>
      </c>
      <c r="I915" s="23"/>
      <c r="J915" s="15"/>
      <c r="K915" s="15"/>
      <c r="L915" s="15"/>
      <c r="M915" s="15"/>
      <c r="N915" s="15"/>
      <c r="O915" s="15"/>
      <c r="P915" s="15"/>
      <c r="Q915" s="15"/>
    </row>
    <row r="916" spans="1:17">
      <c r="A916" s="14">
        <v>514.93200000000002</v>
      </c>
      <c r="B916" s="23">
        <v>29.478854999999999</v>
      </c>
      <c r="C916" s="23">
        <v>55.994267000000001</v>
      </c>
      <c r="D916" s="23">
        <v>22.116558000000001</v>
      </c>
      <c r="E916" s="23">
        <f>(B916 - D916)/($L$7 - D916)</f>
        <v>0.13391198121568254</v>
      </c>
      <c r="F916" s="23">
        <f t="shared" si="28"/>
        <v>-2.0105725514554216</v>
      </c>
      <c r="G916" s="23">
        <f>(C916 - D916)/($L$7 - D916)</f>
        <v>0.61619778871164255</v>
      </c>
      <c r="H916" s="23">
        <f t="shared" si="29"/>
        <v>-0.48418728141470935</v>
      </c>
      <c r="I916" s="23"/>
      <c r="J916" s="15"/>
      <c r="K916" s="15"/>
      <c r="L916" s="15"/>
      <c r="M916" s="15"/>
      <c r="N916" s="15"/>
      <c r="O916" s="15"/>
      <c r="P916" s="15"/>
      <c r="Q916" s="15"/>
    </row>
    <row r="917" spans="1:17">
      <c r="A917" s="14">
        <v>515.49599999999998</v>
      </c>
      <c r="B917" s="23">
        <v>29.464514999999999</v>
      </c>
      <c r="C917" s="23">
        <v>55.983305999999999</v>
      </c>
      <c r="D917" s="23">
        <v>22.123197000000001</v>
      </c>
      <c r="E917" s="23">
        <f>(B917 - D917)/($L$7 - D917)</f>
        <v>0.13354652312107532</v>
      </c>
      <c r="F917" s="23">
        <f t="shared" si="28"/>
        <v>-2.013305374051285</v>
      </c>
      <c r="G917" s="23">
        <f>(C917 - D917)/($L$7 - D917)</f>
        <v>0.61595204423110828</v>
      </c>
      <c r="H917" s="23">
        <f t="shared" si="29"/>
        <v>-0.48458616875328203</v>
      </c>
      <c r="I917" s="23"/>
      <c r="J917" s="15"/>
      <c r="K917" s="15"/>
      <c r="L917" s="15"/>
      <c r="M917" s="15"/>
      <c r="N917" s="15"/>
      <c r="O917" s="15"/>
      <c r="P917" s="15"/>
      <c r="Q917" s="15"/>
    </row>
    <row r="918" spans="1:17">
      <c r="A918" s="14">
        <v>516.05999999999995</v>
      </c>
      <c r="B918" s="23">
        <v>29.444438999999999</v>
      </c>
      <c r="C918" s="23">
        <v>55.966161999999997</v>
      </c>
      <c r="D918" s="23">
        <v>22.116268999999999</v>
      </c>
      <c r="E918" s="23">
        <f>(B918 - D918)/($L$7 - D918)</f>
        <v>0.13329054844787142</v>
      </c>
      <c r="F918" s="23">
        <f t="shared" si="28"/>
        <v>-2.0152239586783636</v>
      </c>
      <c r="G918" s="23">
        <f>(C918 - D918)/($L$7 - D918)</f>
        <v>0.6156886102358109</v>
      </c>
      <c r="H918" s="23">
        <f t="shared" si="29"/>
        <v>-0.48501394612220727</v>
      </c>
      <c r="I918" s="23"/>
      <c r="J918" s="15"/>
      <c r="K918" s="15"/>
      <c r="L918" s="15"/>
      <c r="M918" s="15"/>
      <c r="N918" s="15"/>
      <c r="O918" s="15"/>
      <c r="P918" s="15"/>
      <c r="Q918" s="15"/>
    </row>
    <row r="919" spans="1:17">
      <c r="A919" s="14">
        <v>516.62400000000002</v>
      </c>
      <c r="B919" s="23">
        <v>29.436571000000001</v>
      </c>
      <c r="C919" s="23">
        <v>55.944521000000002</v>
      </c>
      <c r="D919" s="23">
        <v>22.121175999999998</v>
      </c>
      <c r="E919" s="23">
        <f>(B919 - D919)/($L$7 - D919)</f>
        <v>0.13307006347181155</v>
      </c>
      <c r="F919" s="23">
        <f t="shared" si="28"/>
        <v>-2.0168794964459762</v>
      </c>
      <c r="G919" s="23">
        <f>(C919 - D919)/($L$7 - D919)</f>
        <v>0.61526064771334676</v>
      </c>
      <c r="H919" s="23">
        <f t="shared" si="29"/>
        <v>-0.48570928354077847</v>
      </c>
      <c r="I919" s="23"/>
      <c r="J919" s="15"/>
      <c r="K919" s="15"/>
      <c r="L919" s="15"/>
      <c r="M919" s="15"/>
      <c r="N919" s="15"/>
      <c r="O919" s="15"/>
      <c r="P919" s="15"/>
      <c r="Q919" s="15"/>
    </row>
    <row r="920" spans="1:17">
      <c r="A920" s="14">
        <v>517.18799999999999</v>
      </c>
      <c r="B920" s="23">
        <v>29.423090999999999</v>
      </c>
      <c r="C920" s="23">
        <v>55.935639999999999</v>
      </c>
      <c r="D920" s="23">
        <v>22.123484999999999</v>
      </c>
      <c r="E920" s="23">
        <f>(B920 - D920)/($L$7 - D920)</f>
        <v>0.13278843236086149</v>
      </c>
      <c r="F920" s="23">
        <f t="shared" si="28"/>
        <v>-2.0189981514501314</v>
      </c>
      <c r="G920" s="23">
        <f>(C920 - D920)/($L$7 - D920)</f>
        <v>0.61508293148869464</v>
      </c>
      <c r="H920" s="23">
        <f t="shared" si="29"/>
        <v>-0.4859981723176896</v>
      </c>
      <c r="I920" s="23"/>
      <c r="J920" s="15"/>
      <c r="K920" s="15"/>
      <c r="L920" s="15"/>
      <c r="M920" s="15"/>
      <c r="N920" s="15"/>
      <c r="O920" s="15"/>
      <c r="P920" s="15"/>
      <c r="Q920" s="15"/>
    </row>
    <row r="921" spans="1:17">
      <c r="A921" s="14">
        <v>517.75199999999995</v>
      </c>
      <c r="B921" s="23">
        <v>29.405308000000002</v>
      </c>
      <c r="C921" s="23">
        <v>55.912199999999999</v>
      </c>
      <c r="D921" s="23">
        <v>22.123311000000001</v>
      </c>
      <c r="E921" s="23">
        <f>(B921 - D921)/($L$7 - D921)</f>
        <v>0.13246768461144906</v>
      </c>
      <c r="F921" s="23">
        <f t="shared" si="28"/>
        <v>-2.0214165530267083</v>
      </c>
      <c r="G921" s="23">
        <f>(C921 - D921)/($L$7 - D921)</f>
        <v>0.61465774998578815</v>
      </c>
      <c r="H921" s="23">
        <f t="shared" si="29"/>
        <v>-0.48668967016964176</v>
      </c>
      <c r="I921" s="23"/>
      <c r="J921" s="15"/>
      <c r="K921" s="15"/>
      <c r="L921" s="15"/>
      <c r="M921" s="15"/>
      <c r="N921" s="15"/>
      <c r="O921" s="15"/>
      <c r="P921" s="15"/>
      <c r="Q921" s="15"/>
    </row>
    <row r="922" spans="1:17">
      <c r="A922" s="14">
        <v>518.31600000000003</v>
      </c>
      <c r="B922" s="23">
        <v>29.381789000000001</v>
      </c>
      <c r="C922" s="23">
        <v>55.902363000000001</v>
      </c>
      <c r="D922" s="23">
        <v>22.127526</v>
      </c>
      <c r="E922" s="23">
        <f>(B922 - D922)/($L$7 - D922)</f>
        <v>0.13197329120431908</v>
      </c>
      <c r="F922" s="23">
        <f t="shared" si="28"/>
        <v>-2.0251557162303557</v>
      </c>
      <c r="G922" s="23">
        <f>(C922 - D922)/($L$7 - D922)</f>
        <v>0.61444924160861147</v>
      </c>
      <c r="H922" s="23">
        <f t="shared" si="29"/>
        <v>-0.48702895451283207</v>
      </c>
      <c r="I922" s="23"/>
      <c r="J922" s="15"/>
      <c r="K922" s="15"/>
      <c r="L922" s="15"/>
      <c r="M922" s="15"/>
      <c r="N922" s="15"/>
      <c r="O922" s="15"/>
      <c r="P922" s="15"/>
      <c r="Q922" s="15"/>
    </row>
    <row r="923" spans="1:17">
      <c r="A923" s="14">
        <v>518.88</v>
      </c>
      <c r="B923" s="23">
        <v>29.369454999999999</v>
      </c>
      <c r="C923" s="23">
        <v>55.878472000000002</v>
      </c>
      <c r="D923" s="23">
        <v>22.124928000000001</v>
      </c>
      <c r="E923" s="23">
        <f>(B923 - D923)/($L$7 - D923)</f>
        <v>0.13178993993442778</v>
      </c>
      <c r="F923" s="23">
        <f t="shared" si="28"/>
        <v>-2.0265459880937411</v>
      </c>
      <c r="G923" s="23">
        <f>(C923 - D923)/($L$7 - D923)</f>
        <v>0.61403284663499313</v>
      </c>
      <c r="H923" s="23">
        <f t="shared" si="29"/>
        <v>-0.48770685611766523</v>
      </c>
      <c r="I923" s="23"/>
      <c r="J923" s="15"/>
      <c r="K923" s="15"/>
      <c r="L923" s="15"/>
      <c r="M923" s="15"/>
      <c r="N923" s="15"/>
      <c r="O923" s="15"/>
      <c r="P923" s="15"/>
      <c r="Q923" s="15"/>
    </row>
    <row r="924" spans="1:17">
      <c r="A924" s="14">
        <v>519.44399999999996</v>
      </c>
      <c r="B924" s="23">
        <v>29.355687</v>
      </c>
      <c r="C924" s="23">
        <v>55.863013000000002</v>
      </c>
      <c r="D924" s="23">
        <v>22.126660000000001</v>
      </c>
      <c r="E924" s="23">
        <f>(B924 - D924)/($L$7 - D924)</f>
        <v>0.13151211294987242</v>
      </c>
      <c r="F924" s="23">
        <f t="shared" si="28"/>
        <v>-2.0286563179192805</v>
      </c>
      <c r="G924" s="23">
        <f>(C924 - D924)/($L$7 - D924)</f>
        <v>0.61373945155451326</v>
      </c>
      <c r="H924" s="23">
        <f t="shared" si="29"/>
        <v>-0.48818478689765959</v>
      </c>
      <c r="I924" s="23"/>
      <c r="J924" s="15"/>
      <c r="K924" s="15"/>
      <c r="L924" s="15"/>
      <c r="M924" s="15"/>
      <c r="N924" s="15"/>
      <c r="O924" s="15"/>
      <c r="P924" s="15"/>
      <c r="Q924" s="15"/>
    </row>
    <row r="925" spans="1:17">
      <c r="A925" s="14">
        <v>520.00800000000004</v>
      </c>
      <c r="B925" s="23">
        <v>29.344214000000001</v>
      </c>
      <c r="C925" s="23">
        <v>55.850645999999998</v>
      </c>
      <c r="D925" s="23">
        <v>22.126486</v>
      </c>
      <c r="E925" s="23">
        <f>(B925 - D925)/($L$7 - D925)</f>
        <v>0.13130614331428617</v>
      </c>
      <c r="F925" s="23">
        <f t="shared" si="28"/>
        <v>-2.0302237103879883</v>
      </c>
      <c r="G925" s="23">
        <f>(C925 - D925)/($L$7 - D925)</f>
        <v>0.61351569165725217</v>
      </c>
      <c r="H925" s="23">
        <f t="shared" si="29"/>
        <v>-0.48854943788482913</v>
      </c>
      <c r="I925" s="23"/>
      <c r="J925" s="15"/>
      <c r="K925" s="15"/>
      <c r="L925" s="15"/>
      <c r="M925" s="15"/>
      <c r="N925" s="15"/>
      <c r="O925" s="15"/>
      <c r="P925" s="15"/>
      <c r="Q925" s="15"/>
    </row>
    <row r="926" spans="1:17">
      <c r="A926" s="14">
        <v>520.572</v>
      </c>
      <c r="B926" s="23">
        <v>29.327003999999999</v>
      </c>
      <c r="C926" s="23">
        <v>55.840246</v>
      </c>
      <c r="D926" s="23">
        <v>22.128969000000001</v>
      </c>
      <c r="E926" s="23">
        <f>(B926 - D926)/($L$7 - D926)</f>
        <v>0.13095380022241657</v>
      </c>
      <c r="F926" s="23">
        <f t="shared" si="28"/>
        <v>-2.0329106880415844</v>
      </c>
      <c r="G926" s="23">
        <f>(C926 - D926)/($L$7 - D926)</f>
        <v>0.61330902579669977</v>
      </c>
      <c r="H926" s="23">
        <f t="shared" si="29"/>
        <v>-0.48888634968578498</v>
      </c>
      <c r="I926" s="23"/>
      <c r="J926" s="15"/>
      <c r="K926" s="15"/>
      <c r="L926" s="15"/>
      <c r="M926" s="15"/>
      <c r="N926" s="15"/>
      <c r="O926" s="15"/>
      <c r="P926" s="15"/>
      <c r="Q926" s="15"/>
    </row>
    <row r="927" spans="1:17">
      <c r="A927" s="14">
        <v>521.13599999999997</v>
      </c>
      <c r="B927" s="23">
        <v>29.316554</v>
      </c>
      <c r="C927" s="23">
        <v>55.813656000000002</v>
      </c>
      <c r="D927" s="23">
        <v>22.126372</v>
      </c>
      <c r="E927" s="23">
        <f>(B927 - D927)/($L$7 - D927)</f>
        <v>0.13080475048997783</v>
      </c>
      <c r="F927" s="23">
        <f t="shared" si="28"/>
        <v>-2.0340495218878303</v>
      </c>
      <c r="G927" s="23">
        <f>(C927 - D927)/($L$7 - D927)</f>
        <v>0.61284356617190261</v>
      </c>
      <c r="H927" s="23">
        <f t="shared" si="29"/>
        <v>-0.48964556946023086</v>
      </c>
      <c r="I927" s="23"/>
      <c r="J927" s="15"/>
      <c r="K927" s="15"/>
      <c r="L927" s="15"/>
      <c r="M927" s="15"/>
      <c r="N927" s="15"/>
      <c r="O927" s="15"/>
      <c r="P927" s="15"/>
      <c r="Q927" s="15"/>
    </row>
    <row r="928" spans="1:17">
      <c r="A928" s="14">
        <v>521.70000000000005</v>
      </c>
      <c r="B928" s="23">
        <v>29.297909000000001</v>
      </c>
      <c r="C928" s="23">
        <v>55.798647000000003</v>
      </c>
      <c r="D928" s="23">
        <v>22.128681</v>
      </c>
      <c r="E928" s="23">
        <f>(B928 - D928)/($L$7 - D928)</f>
        <v>0.13042903128004957</v>
      </c>
      <c r="F928" s="23">
        <f t="shared" si="28"/>
        <v>-2.0369260217528078</v>
      </c>
      <c r="G928" s="23">
        <f>(C928 - D928)/($L$7 - D928)</f>
        <v>0.61255424553553117</v>
      </c>
      <c r="H928" s="23">
        <f t="shared" si="29"/>
        <v>-0.49011777634518416</v>
      </c>
      <c r="I928" s="23"/>
      <c r="J928" s="15"/>
      <c r="K928" s="15"/>
      <c r="L928" s="15"/>
      <c r="M928" s="15"/>
      <c r="N928" s="15"/>
      <c r="O928" s="15"/>
      <c r="P928" s="15"/>
      <c r="Q928" s="15"/>
    </row>
    <row r="929" spans="1:17">
      <c r="A929" s="14">
        <v>522.26400000000001</v>
      </c>
      <c r="B929" s="23">
        <v>29.284140000000001</v>
      </c>
      <c r="C929" s="23">
        <v>55.782063000000001</v>
      </c>
      <c r="D929" s="23">
        <v>22.127351999999998</v>
      </c>
      <c r="E929" s="23">
        <f>(B929 - D929)/($L$7 - D929)</f>
        <v>0.13019956362115348</v>
      </c>
      <c r="F929" s="23">
        <f t="shared" si="28"/>
        <v>-2.038686900817329</v>
      </c>
      <c r="G929" s="23">
        <f>(C929 - D929)/($L$7 - D929)</f>
        <v>0.61226190939231862</v>
      </c>
      <c r="H929" s="23">
        <f t="shared" si="29"/>
        <v>-0.49059513149368961</v>
      </c>
      <c r="I929" s="23"/>
      <c r="J929" s="15"/>
      <c r="K929" s="15"/>
      <c r="L929" s="15"/>
      <c r="M929" s="15"/>
      <c r="N929" s="15"/>
      <c r="O929" s="15"/>
      <c r="P929" s="15"/>
      <c r="Q929" s="15"/>
    </row>
    <row r="930" spans="1:17">
      <c r="A930" s="14">
        <v>522.82799999999997</v>
      </c>
      <c r="B930" s="23">
        <v>29.267503000000001</v>
      </c>
      <c r="C930" s="23">
        <v>55.763792000000002</v>
      </c>
      <c r="D930" s="23">
        <v>22.133702</v>
      </c>
      <c r="E930" s="23">
        <f>(B930 - D930)/($L$7 - D930)</f>
        <v>0.1297963679437768</v>
      </c>
      <c r="F930" s="23">
        <f t="shared" si="28"/>
        <v>-2.0417884570468172</v>
      </c>
      <c r="G930" s="23">
        <f>(C930 - D930)/($L$7 - D930)</f>
        <v>0.61188467909636512</v>
      </c>
      <c r="H930" s="23">
        <f t="shared" si="29"/>
        <v>-0.49121144707458742</v>
      </c>
      <c r="I930" s="23"/>
      <c r="J930" s="15"/>
      <c r="K930" s="15"/>
      <c r="L930" s="15"/>
      <c r="M930" s="15"/>
      <c r="N930" s="15"/>
      <c r="O930" s="15"/>
      <c r="P930" s="15"/>
      <c r="Q930" s="15"/>
    </row>
    <row r="931" spans="1:17">
      <c r="A931" s="14">
        <v>523.39200000000005</v>
      </c>
      <c r="B931" s="23">
        <v>29.255455000000001</v>
      </c>
      <c r="C931" s="23">
        <v>55.754516000000002</v>
      </c>
      <c r="D931" s="23">
        <v>22.127929999999999</v>
      </c>
      <c r="E931" s="23">
        <f>(B931 - D931)/($L$7 - D931)</f>
        <v>0.12966856122488638</v>
      </c>
      <c r="F931" s="23">
        <f t="shared" si="28"/>
        <v>-2.042773613149699</v>
      </c>
      <c r="G931" s="23">
        <f>(C931 - D931)/($L$7 - D931)</f>
        <v>0.61175667928557331</v>
      </c>
      <c r="H931" s="23">
        <f t="shared" si="29"/>
        <v>-0.49142065839354437</v>
      </c>
      <c r="I931" s="23"/>
      <c r="J931" s="15"/>
      <c r="K931" s="15"/>
      <c r="L931" s="15"/>
      <c r="M931" s="15"/>
      <c r="N931" s="15"/>
      <c r="O931" s="15"/>
      <c r="P931" s="15"/>
      <c r="Q931" s="15"/>
    </row>
    <row r="932" spans="1:17">
      <c r="A932" s="14">
        <v>523.95600000000002</v>
      </c>
      <c r="B932" s="23">
        <v>29.241973000000002</v>
      </c>
      <c r="C932" s="23">
        <v>55.732028</v>
      </c>
      <c r="D932" s="23">
        <v>22.130815999999999</v>
      </c>
      <c r="E932" s="23">
        <f>(B932 - D932)/($L$7 - D932)</f>
        <v>0.12937757678292322</v>
      </c>
      <c r="F932" s="23">
        <f t="shared" si="28"/>
        <v>-2.0450201979981562</v>
      </c>
      <c r="G932" s="23">
        <f>(C932 - D932)/($L$7 - D932)</f>
        <v>0.61132715611950073</v>
      </c>
      <c r="H932" s="23">
        <f t="shared" si="29"/>
        <v>-0.49212301937861569</v>
      </c>
      <c r="I932" s="23"/>
      <c r="J932" s="15"/>
      <c r="K932" s="15"/>
      <c r="L932" s="15"/>
      <c r="M932" s="15"/>
      <c r="N932" s="15"/>
      <c r="O932" s="15"/>
      <c r="P932" s="15"/>
      <c r="Q932" s="15"/>
    </row>
    <row r="933" spans="1:17">
      <c r="A933" s="14">
        <v>524.52</v>
      </c>
      <c r="B933" s="23">
        <v>29.218450000000001</v>
      </c>
      <c r="C933" s="23">
        <v>55.709372000000002</v>
      </c>
      <c r="D933" s="23">
        <v>22.121290999999999</v>
      </c>
      <c r="E933" s="23">
        <f>(B933 - D933)/($L$7 - D933)</f>
        <v>0.12910053035172425</v>
      </c>
      <c r="F933" s="23">
        <f t="shared" si="28"/>
        <v>-2.0471638730688517</v>
      </c>
      <c r="G933" s="23">
        <f>(C933 - D933)/($L$7 - D933)</f>
        <v>0.61098237627150132</v>
      </c>
      <c r="H933" s="23">
        <f t="shared" si="29"/>
        <v>-0.49268716429936926</v>
      </c>
      <c r="I933" s="23"/>
      <c r="J933" s="15"/>
      <c r="K933" s="15"/>
      <c r="L933" s="15"/>
      <c r="M933" s="15"/>
      <c r="N933" s="15"/>
      <c r="O933" s="15"/>
      <c r="P933" s="15"/>
      <c r="Q933" s="15"/>
    </row>
    <row r="934" spans="1:17">
      <c r="A934" s="14">
        <v>525.08399999999995</v>
      </c>
      <c r="B934" s="23">
        <v>29.208697000000001</v>
      </c>
      <c r="C934" s="23">
        <v>55.697172000000002</v>
      </c>
      <c r="D934" s="23">
        <v>22.121406</v>
      </c>
      <c r="E934" s="23">
        <f>(B934 - D934)/($L$7 - D934)</f>
        <v>0.12892129666179042</v>
      </c>
      <c r="F934" s="23">
        <f t="shared" si="28"/>
        <v>-2.0485531642062496</v>
      </c>
      <c r="G934" s="23">
        <f>(C934 - D934)/($L$7 - D934)</f>
        <v>0.6107596385040287</v>
      </c>
      <c r="H934" s="23">
        <f t="shared" si="29"/>
        <v>-0.49305178754592477</v>
      </c>
      <c r="I934" s="23"/>
      <c r="J934" s="15"/>
      <c r="K934" s="15"/>
      <c r="L934" s="15"/>
      <c r="M934" s="15"/>
      <c r="N934" s="15"/>
      <c r="O934" s="15"/>
      <c r="P934" s="15"/>
      <c r="Q934" s="15"/>
    </row>
    <row r="935" spans="1:17">
      <c r="A935" s="14">
        <v>525.64800000000002</v>
      </c>
      <c r="B935" s="23">
        <v>29.193491999999999</v>
      </c>
      <c r="C935" s="23">
        <v>55.690143999999997</v>
      </c>
      <c r="D935" s="23">
        <v>22.121867999999999</v>
      </c>
      <c r="E935" s="23">
        <f>(B935 - D935)/($L$7 - D935)</f>
        <v>0.12863738732306462</v>
      </c>
      <c r="F935" s="23">
        <f t="shared" si="28"/>
        <v>-2.050757783746346</v>
      </c>
      <c r="G935" s="23">
        <f>(C935 - D935)/($L$7 - D935)</f>
        <v>0.61062852345932617</v>
      </c>
      <c r="H935" s="23">
        <f t="shared" si="29"/>
        <v>-0.49326648595104999</v>
      </c>
      <c r="I935" s="23"/>
      <c r="J935" s="15"/>
      <c r="K935" s="15"/>
      <c r="L935" s="15"/>
      <c r="M935" s="15"/>
      <c r="N935" s="15"/>
      <c r="O935" s="15"/>
      <c r="P935" s="15"/>
      <c r="Q935" s="15"/>
    </row>
    <row r="936" spans="1:17">
      <c r="A936" s="14">
        <v>526.21199999999999</v>
      </c>
      <c r="B936" s="23">
        <v>29.171403000000002</v>
      </c>
      <c r="C936" s="23">
        <v>55.667937000000002</v>
      </c>
      <c r="D936" s="23">
        <v>22.131682000000001</v>
      </c>
      <c r="E936" s="23">
        <f>(B936 - D936)/($L$7 - D936)</f>
        <v>0.12807991644783054</v>
      </c>
      <c r="F936" s="23">
        <f t="shared" si="28"/>
        <v>-2.0551008626374996</v>
      </c>
      <c r="G936" s="23">
        <f>(C936 - D936)/($L$7 - D936)</f>
        <v>0.61015496755810905</v>
      </c>
      <c r="H936" s="23">
        <f t="shared" si="29"/>
        <v>-0.49404230890156398</v>
      </c>
      <c r="I936" s="23"/>
      <c r="J936" s="15"/>
      <c r="K936" s="15"/>
      <c r="L936" s="15"/>
      <c r="M936" s="15"/>
      <c r="N936" s="15"/>
      <c r="O936" s="15"/>
      <c r="P936" s="15"/>
      <c r="Q936" s="15"/>
    </row>
    <row r="937" spans="1:17">
      <c r="A937" s="14">
        <v>526.77599999999995</v>
      </c>
      <c r="B937" s="23">
        <v>29.157509000000001</v>
      </c>
      <c r="C937" s="23">
        <v>55.646965999999999</v>
      </c>
      <c r="D937" s="23">
        <v>22.125157999999999</v>
      </c>
      <c r="E937" s="23">
        <f>(B937 - D937)/($L$7 - D937)</f>
        <v>0.12793064249485195</v>
      </c>
      <c r="F937" s="23">
        <f t="shared" si="28"/>
        <v>-2.056267017428238</v>
      </c>
      <c r="G937" s="23">
        <f>(C937 - D937)/($L$7 - D937)</f>
        <v>0.60981973667541156</v>
      </c>
      <c r="H937" s="23">
        <f t="shared" si="29"/>
        <v>-0.49459187913440827</v>
      </c>
      <c r="I937" s="23"/>
      <c r="J937" s="15"/>
      <c r="K937" s="15"/>
      <c r="L937" s="15"/>
      <c r="M937" s="15"/>
      <c r="N937" s="15"/>
      <c r="O937" s="15"/>
      <c r="P937" s="15"/>
      <c r="Q937" s="15"/>
    </row>
    <row r="938" spans="1:17">
      <c r="A938" s="14">
        <v>527.34</v>
      </c>
      <c r="B938" s="23">
        <v>29.145747</v>
      </c>
      <c r="C938" s="23">
        <v>55.633473000000002</v>
      </c>
      <c r="D938" s="23">
        <v>22.130239</v>
      </c>
      <c r="E938" s="23">
        <f>(B938 - D938)/($L$7 - D938)</f>
        <v>0.12763603683634955</v>
      </c>
      <c r="F938" s="23">
        <f t="shared" si="28"/>
        <v>-2.0585725275969997</v>
      </c>
      <c r="G938" s="23">
        <f>(C938 - D938)/($L$7 - D938)</f>
        <v>0.60953818439959584</v>
      </c>
      <c r="H938" s="23">
        <f t="shared" si="29"/>
        <v>-0.49505368329535759</v>
      </c>
      <c r="I938" s="23"/>
      <c r="J938" s="15"/>
      <c r="K938" s="15"/>
      <c r="L938" s="15"/>
      <c r="M938" s="15"/>
      <c r="N938" s="15"/>
      <c r="O938" s="15"/>
      <c r="P938" s="15"/>
      <c r="Q938" s="15"/>
    </row>
    <row r="939" spans="1:17">
      <c r="A939" s="14">
        <v>527.904</v>
      </c>
      <c r="B939" s="23">
        <v>29.130953000000002</v>
      </c>
      <c r="C939" s="23">
        <v>55.613681999999997</v>
      </c>
      <c r="D939" s="23">
        <v>22.123138000000001</v>
      </c>
      <c r="E939" s="23">
        <f>(B939 - D939)/($L$7 - D939)</f>
        <v>0.12747960563521302</v>
      </c>
      <c r="F939" s="23">
        <f t="shared" si="28"/>
        <v>-2.0597988829802008</v>
      </c>
      <c r="G939" s="23">
        <f>(C939 - D939)/($L$7 - D939)</f>
        <v>0.60922860287104452</v>
      </c>
      <c r="H939" s="23">
        <f t="shared" si="29"/>
        <v>-0.495561707535012</v>
      </c>
      <c r="I939" s="23"/>
      <c r="J939" s="15"/>
      <c r="K939" s="15"/>
      <c r="L939" s="15"/>
      <c r="M939" s="15"/>
      <c r="N939" s="15"/>
      <c r="O939" s="15"/>
      <c r="P939" s="15"/>
      <c r="Q939" s="15"/>
    </row>
    <row r="940" spans="1:17">
      <c r="A940" s="14">
        <v>528.46799999999996</v>
      </c>
      <c r="B940" s="23">
        <v>29.114190000000001</v>
      </c>
      <c r="C940" s="23">
        <v>55.592429000000003</v>
      </c>
      <c r="D940" s="23">
        <v>22.130931</v>
      </c>
      <c r="E940" s="23">
        <f>(B940 - D940)/($L$7 - D940)</f>
        <v>0.12705091700051244</v>
      </c>
      <c r="F940" s="23">
        <f t="shared" si="28"/>
        <v>-2.0631673516071238</v>
      </c>
      <c r="G940" s="23">
        <f>(C940 - D940)/($L$7 - D940)</f>
        <v>0.60878652862665039</v>
      </c>
      <c r="H940" s="23">
        <f t="shared" si="29"/>
        <v>-0.4962876004280864</v>
      </c>
      <c r="I940" s="23"/>
      <c r="J940" s="15"/>
      <c r="K940" s="15"/>
      <c r="L940" s="15"/>
      <c r="M940" s="15"/>
      <c r="N940" s="15"/>
      <c r="O940" s="15"/>
      <c r="P940" s="15"/>
      <c r="Q940" s="15"/>
    </row>
    <row r="941" spans="1:17">
      <c r="A941" s="14">
        <v>529.03200000000004</v>
      </c>
      <c r="B941" s="23">
        <v>29.105295999999999</v>
      </c>
      <c r="C941" s="23">
        <v>55.591473999999998</v>
      </c>
      <c r="D941" s="23">
        <v>22.121983</v>
      </c>
      <c r="E941" s="23">
        <f>(B941 - D941)/($L$7 - D941)</f>
        <v>0.12703121919237631</v>
      </c>
      <c r="F941" s="23">
        <f t="shared" si="28"/>
        <v>-2.0633224023200207</v>
      </c>
      <c r="G941" s="23">
        <f>(C941 - D941)/($L$7 - D941)</f>
        <v>0.60883283442662051</v>
      </c>
      <c r="H941" s="23">
        <f t="shared" si="29"/>
        <v>-0.49621154086235097</v>
      </c>
      <c r="I941" s="23"/>
      <c r="J941" s="15"/>
      <c r="K941" s="15"/>
      <c r="L941" s="15"/>
      <c r="M941" s="15"/>
      <c r="N941" s="15"/>
      <c r="O941" s="15"/>
      <c r="P941" s="15"/>
      <c r="Q941" s="15"/>
    </row>
    <row r="942" spans="1:17">
      <c r="A942" s="14">
        <v>529.596</v>
      </c>
      <c r="B942" s="23">
        <v>29.096689000000001</v>
      </c>
      <c r="C942" s="23">
        <v>55.566172000000002</v>
      </c>
      <c r="D942" s="23">
        <v>22.115748</v>
      </c>
      <c r="E942" s="23">
        <f>(B942 - D942)/($L$7 - D942)</f>
        <v>0.12697366968356427</v>
      </c>
      <c r="F942" s="23">
        <f t="shared" si="28"/>
        <v>-2.0637755393446779</v>
      </c>
      <c r="G942" s="23">
        <f>(C942 - D942)/($L$7 - D942)</f>
        <v>0.60841698672874756</v>
      </c>
      <c r="H942" s="23">
        <f t="shared" si="29"/>
        <v>-0.49689479865680458</v>
      </c>
      <c r="I942" s="23"/>
      <c r="J942" s="15"/>
      <c r="K942" s="15"/>
      <c r="L942" s="15"/>
      <c r="M942" s="15"/>
      <c r="N942" s="15"/>
      <c r="O942" s="15"/>
      <c r="P942" s="15"/>
      <c r="Q942" s="15"/>
    </row>
    <row r="943" spans="1:17">
      <c r="A943" s="14">
        <v>530.16</v>
      </c>
      <c r="B943" s="23">
        <v>29.074722000000001</v>
      </c>
      <c r="C943" s="23">
        <v>55.550991000000003</v>
      </c>
      <c r="D943" s="23">
        <v>22.111881</v>
      </c>
      <c r="E943" s="23">
        <f>(B943 - D943)/($L$7 - D943)</f>
        <v>0.12663554873611182</v>
      </c>
      <c r="F943" s="23">
        <f t="shared" si="28"/>
        <v>-2.0664420129839116</v>
      </c>
      <c r="G943" s="23">
        <f>(C943 - D943)/($L$7 - D943)</f>
        <v>0.60816842494280765</v>
      </c>
      <c r="H943" s="23">
        <f t="shared" si="29"/>
        <v>-0.49730342066889494</v>
      </c>
      <c r="I943" s="23"/>
      <c r="J943" s="15"/>
      <c r="K943" s="15"/>
      <c r="L943" s="15"/>
      <c r="M943" s="15"/>
      <c r="N943" s="15"/>
      <c r="O943" s="15"/>
      <c r="P943" s="15"/>
      <c r="Q943" s="15"/>
    </row>
    <row r="944" spans="1:17">
      <c r="A944" s="14">
        <v>530.72400000000005</v>
      </c>
      <c r="B944" s="23">
        <v>29.057096999999999</v>
      </c>
      <c r="C944" s="23">
        <v>55.530299999999997</v>
      </c>
      <c r="D944" s="23">
        <v>22.110437999999998</v>
      </c>
      <c r="E944" s="23">
        <f>(B944 - D944)/($L$7 - D944)</f>
        <v>0.12633792556437654</v>
      </c>
      <c r="F944" s="23">
        <f t="shared" si="28"/>
        <v>-2.0687950131146713</v>
      </c>
      <c r="G944" s="23">
        <f>(C944 - D944)/($L$7 - D944)</f>
        <v>0.60780240367747063</v>
      </c>
      <c r="H944" s="23">
        <f t="shared" si="29"/>
        <v>-0.49790544378947776</v>
      </c>
      <c r="I944" s="23"/>
      <c r="J944" s="15"/>
      <c r="K944" s="15"/>
      <c r="L944" s="15"/>
      <c r="M944" s="15"/>
      <c r="N944" s="15"/>
      <c r="O944" s="15"/>
      <c r="P944" s="15"/>
      <c r="Q944" s="15"/>
    </row>
    <row r="945" spans="1:17">
      <c r="A945" s="14">
        <v>531.28800000000001</v>
      </c>
      <c r="B945" s="23">
        <v>29.044186</v>
      </c>
      <c r="C945" s="23">
        <v>55.514163000000003</v>
      </c>
      <c r="D945" s="23">
        <v>22.121406</v>
      </c>
      <c r="E945" s="23">
        <f>(B945 - D945)/($L$7 - D945)</f>
        <v>0.1259287609474917</v>
      </c>
      <c r="F945" s="23">
        <f t="shared" si="28"/>
        <v>-2.0720389212290846</v>
      </c>
      <c r="G945" s="23">
        <f>(C945 - D945)/($L$7 - D945)</f>
        <v>0.60743061510414609</v>
      </c>
      <c r="H945" s="23">
        <f t="shared" si="29"/>
        <v>-0.49851732411066424</v>
      </c>
      <c r="I945" s="23"/>
      <c r="J945" s="15"/>
      <c r="K945" s="15"/>
      <c r="L945" s="15"/>
      <c r="M945" s="15"/>
      <c r="N945" s="15"/>
      <c r="O945" s="15"/>
      <c r="P945" s="15"/>
      <c r="Q945" s="15"/>
    </row>
    <row r="946" spans="1:17">
      <c r="A946" s="14">
        <v>531.85199999999998</v>
      </c>
      <c r="B946" s="23">
        <v>29.023816</v>
      </c>
      <c r="C946" s="23">
        <v>55.493752000000001</v>
      </c>
      <c r="D946" s="23">
        <v>22.115459000000001</v>
      </c>
      <c r="E946" s="23">
        <f>(B946 - D946)/($L$7 - D946)</f>
        <v>0.12565280653357916</v>
      </c>
      <c r="F946" s="23">
        <f t="shared" si="28"/>
        <v>-2.0742326791211783</v>
      </c>
      <c r="G946" s="23">
        <f>(C946 - D946)/($L$7 - D946)</f>
        <v>0.60710183228083325</v>
      </c>
      <c r="H946" s="23">
        <f t="shared" si="29"/>
        <v>-0.49905873876294804</v>
      </c>
      <c r="I946" s="23"/>
      <c r="J946" s="15"/>
      <c r="K946" s="15"/>
      <c r="L946" s="15"/>
      <c r="M946" s="15"/>
      <c r="N946" s="15"/>
      <c r="O946" s="15"/>
      <c r="P946" s="15"/>
      <c r="Q946" s="15"/>
    </row>
    <row r="947" spans="1:17">
      <c r="A947" s="14">
        <v>532.41600000000005</v>
      </c>
      <c r="B947" s="23">
        <v>29.006764</v>
      </c>
      <c r="C947" s="23">
        <v>55.479132</v>
      </c>
      <c r="D947" s="23">
        <v>22.109687000000001</v>
      </c>
      <c r="E947" s="23">
        <f>(B947 - D947)/($L$7 - D947)</f>
        <v>0.125434471368533</v>
      </c>
      <c r="F947" s="23">
        <f t="shared" si="28"/>
        <v>-2.0759717972628899</v>
      </c>
      <c r="G947" s="23">
        <f>(C947 - D947)/($L$7 - D947)</f>
        <v>0.60687718774726407</v>
      </c>
      <c r="H947" s="23">
        <f t="shared" si="29"/>
        <v>-0.49942883500419633</v>
      </c>
      <c r="I947" s="23"/>
      <c r="J947" s="15"/>
      <c r="K947" s="15"/>
      <c r="L947" s="15"/>
      <c r="M947" s="15"/>
      <c r="N947" s="15"/>
      <c r="O947" s="15"/>
      <c r="P947" s="15"/>
      <c r="Q947" s="15"/>
    </row>
    <row r="948" spans="1:17">
      <c r="A948" s="14">
        <v>532.98</v>
      </c>
      <c r="B948" s="23">
        <v>28.997132000000001</v>
      </c>
      <c r="C948" s="23">
        <v>55.462713000000001</v>
      </c>
      <c r="D948" s="23">
        <v>22.113035</v>
      </c>
      <c r="E948" s="23">
        <f>(B948 - D948)/($L$7 - D948)</f>
        <v>0.12520603277234463</v>
      </c>
      <c r="F948" s="23">
        <f t="shared" si="28"/>
        <v>-2.077794636394378</v>
      </c>
      <c r="G948" s="23">
        <f>(C948 - D948)/($L$7 - D948)</f>
        <v>0.60655462533650228</v>
      </c>
      <c r="H948" s="23">
        <f t="shared" si="29"/>
        <v>-0.49996048814676536</v>
      </c>
      <c r="I948" s="23"/>
      <c r="J948" s="15"/>
      <c r="K948" s="15"/>
      <c r="L948" s="15"/>
      <c r="M948" s="15"/>
      <c r="N948" s="15"/>
      <c r="O948" s="15"/>
      <c r="P948" s="15"/>
      <c r="Q948" s="15"/>
    </row>
    <row r="949" spans="1:17">
      <c r="A949" s="14">
        <v>533.54399999999998</v>
      </c>
      <c r="B949" s="23">
        <v>28.985081999999998</v>
      </c>
      <c r="C949" s="23">
        <v>55.452872999999997</v>
      </c>
      <c r="D949" s="23">
        <v>22.111881</v>
      </c>
      <c r="E949" s="23">
        <f>(B949 - D949)/($L$7 - D949)</f>
        <v>0.12500523568017596</v>
      </c>
      <c r="F949" s="23">
        <f t="shared" si="28"/>
        <v>-2.0793996571155988</v>
      </c>
      <c r="G949" s="23">
        <f>(C949 - D949)/($L$7 - D949)</f>
        <v>0.60638391962796701</v>
      </c>
      <c r="H949" s="23">
        <f t="shared" si="29"/>
        <v>-0.50024196276948396</v>
      </c>
      <c r="I949" s="23"/>
      <c r="J949" s="15"/>
      <c r="K949" s="15"/>
      <c r="L949" s="15"/>
      <c r="M949" s="15"/>
      <c r="N949" s="15"/>
      <c r="O949" s="15"/>
      <c r="P949" s="15"/>
      <c r="Q949" s="15"/>
    </row>
    <row r="950" spans="1:17">
      <c r="A950" s="14">
        <v>534.10799999999995</v>
      </c>
      <c r="B950" s="23">
        <v>28.976924</v>
      </c>
      <c r="C950" s="23">
        <v>55.437691000000001</v>
      </c>
      <c r="D950" s="23">
        <v>22.109974999999999</v>
      </c>
      <c r="E950" s="23">
        <f>(B950 - D950)/($L$7 - D950)</f>
        <v>0.12488719921434878</v>
      </c>
      <c r="F950" s="23">
        <f t="shared" si="28"/>
        <v>-2.0803443553787178</v>
      </c>
      <c r="G950" s="23">
        <f>(C950 - D950)/($L$7 - D950)</f>
        <v>0.60612145327586364</v>
      </c>
      <c r="H950" s="23">
        <f t="shared" si="29"/>
        <v>-0.50067489504684659</v>
      </c>
      <c r="I950" s="23"/>
      <c r="J950" s="15"/>
      <c r="K950" s="15"/>
      <c r="L950" s="15"/>
      <c r="M950" s="15"/>
      <c r="N950" s="15"/>
      <c r="O950" s="15"/>
      <c r="P950" s="15"/>
      <c r="Q950" s="15"/>
    </row>
    <row r="951" spans="1:17">
      <c r="K951" s="15"/>
      <c r="L951" s="15"/>
    </row>
    <row r="952" spans="1:17">
      <c r="K952" s="15"/>
      <c r="L952" s="15"/>
    </row>
    <row r="953" spans="1:17">
      <c r="K953" s="15"/>
      <c r="L953" s="15"/>
    </row>
    <row r="955" spans="1:17">
      <c r="B955" s="17"/>
    </row>
    <row r="956" spans="1:17">
      <c r="B956" s="18"/>
    </row>
    <row r="959" spans="1:17">
      <c r="B959" s="19"/>
    </row>
    <row r="1915" spans="2:2">
      <c r="B1915" s="17"/>
    </row>
    <row r="1916" spans="2:2">
      <c r="B1916" s="18"/>
    </row>
    <row r="1919" spans="2:2">
      <c r="B1919" s="19"/>
    </row>
  </sheetData>
  <mergeCells count="4">
    <mergeCell ref="R1:Y1"/>
    <mergeCell ref="A1:D1"/>
    <mergeCell ref="E1:F1"/>
    <mergeCell ref="G1:H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Vaught, Jacob</dc:creator>
  <cp:keywords/>
  <dc:description/>
  <cp:lastModifiedBy>Tekin, Kerem</cp:lastModifiedBy>
  <cp:revision/>
  <dcterms:created xsi:type="dcterms:W3CDTF">2024-09-11T03:38:11Z</dcterms:created>
  <dcterms:modified xsi:type="dcterms:W3CDTF">2024-09-18T03:08:14Z</dcterms:modified>
  <cp:category/>
  <cp:contentStatus/>
</cp:coreProperties>
</file>