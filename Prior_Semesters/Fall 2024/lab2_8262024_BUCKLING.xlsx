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271" documentId="8_{7E9C0327-59FF-4968-8A34-4E7F6D4250D9}" xr6:coauthVersionLast="47" xr6:coauthVersionMax="47" xr10:uidLastSave="{BD8F2C9B-F503-6E47-886D-201925306A28}"/>
  <bookViews>
    <workbookView xWindow="0" yWindow="760" windowWidth="34200" windowHeight="21380" xr2:uid="{141B98AB-BE20-47D8-9FE1-ED93C11AC85B}"/>
  </bookViews>
  <sheets>
    <sheet name="Data Collection" sheetId="1" r:id="rId1"/>
    <sheet name="Final+Ide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Q28" i="1"/>
  <c r="P28" i="1"/>
  <c r="O28" i="1"/>
  <c r="N28" i="1"/>
  <c r="M28" i="1"/>
  <c r="Q27" i="1"/>
  <c r="Q26" i="1"/>
  <c r="P26" i="1"/>
  <c r="O26" i="1"/>
  <c r="N26" i="1"/>
  <c r="M26" i="1"/>
  <c r="Q25" i="1"/>
  <c r="P25" i="1"/>
  <c r="O25" i="1"/>
  <c r="N25" i="1"/>
  <c r="M25" i="1"/>
  <c r="Q24" i="1"/>
  <c r="P24" i="1"/>
  <c r="O24" i="1"/>
  <c r="N24" i="1"/>
  <c r="M24" i="1"/>
  <c r="Q21" i="1"/>
  <c r="P21" i="1"/>
  <c r="O21" i="1"/>
  <c r="N21" i="1"/>
  <c r="M21" i="1"/>
  <c r="Q19" i="1"/>
  <c r="P19" i="1"/>
  <c r="O19" i="1"/>
  <c r="N19" i="1"/>
  <c r="M19" i="1"/>
  <c r="Q18" i="1"/>
  <c r="P18" i="1"/>
  <c r="O18" i="1"/>
  <c r="N18" i="1"/>
  <c r="M18" i="1"/>
  <c r="Q17" i="1"/>
  <c r="P17" i="1"/>
  <c r="O17" i="1"/>
  <c r="N17" i="1"/>
  <c r="M17" i="1"/>
  <c r="R17" i="1" s="1"/>
  <c r="Q14" i="1"/>
  <c r="P14" i="1"/>
  <c r="O14" i="1"/>
  <c r="N14" i="1"/>
  <c r="M14" i="1"/>
  <c r="Q12" i="1"/>
  <c r="P12" i="1"/>
  <c r="O12" i="1"/>
  <c r="N12" i="1"/>
  <c r="M12" i="1"/>
  <c r="Q11" i="1"/>
  <c r="P11" i="1"/>
  <c r="O11" i="1"/>
  <c r="N11" i="1"/>
  <c r="M11" i="1"/>
  <c r="S11" i="1" s="1"/>
  <c r="Q10" i="1"/>
  <c r="P10" i="1"/>
  <c r="O10" i="1"/>
  <c r="N10" i="1"/>
  <c r="M10" i="1"/>
  <c r="N4" i="1"/>
  <c r="O4" i="1"/>
  <c r="P4" i="1"/>
  <c r="Q4" i="1"/>
  <c r="M4" i="1"/>
  <c r="S4" i="1" s="1"/>
  <c r="N5" i="1"/>
  <c r="O5" i="1"/>
  <c r="P5" i="1"/>
  <c r="Q5" i="1"/>
  <c r="M5" i="1"/>
  <c r="M7" i="1"/>
  <c r="N7" i="1"/>
  <c r="O7" i="1"/>
  <c r="P7" i="1"/>
  <c r="Q7" i="1"/>
  <c r="R7" i="1"/>
  <c r="S7" i="1"/>
  <c r="N3" i="1"/>
  <c r="O3" i="1"/>
  <c r="P3" i="1"/>
  <c r="Q3" i="1"/>
  <c r="M3" i="1"/>
  <c r="H27" i="1"/>
  <c r="H29" i="1" s="1"/>
  <c r="Q29" i="1" s="1"/>
  <c r="G27" i="1"/>
  <c r="G29" i="1" s="1"/>
  <c r="P29" i="1" s="1"/>
  <c r="F27" i="1"/>
  <c r="F29" i="1" s="1"/>
  <c r="O29" i="1" s="1"/>
  <c r="E27" i="1"/>
  <c r="E29" i="1" s="1"/>
  <c r="N29" i="1" s="1"/>
  <c r="D27" i="1"/>
  <c r="D29" i="1" s="1"/>
  <c r="H20" i="1"/>
  <c r="H22" i="1" s="1"/>
  <c r="Q22" i="1" s="1"/>
  <c r="G20" i="1"/>
  <c r="P20" i="1" s="1"/>
  <c r="F20" i="1"/>
  <c r="O20" i="1" s="1"/>
  <c r="E20" i="1"/>
  <c r="N20" i="1" s="1"/>
  <c r="D20" i="1"/>
  <c r="D22" i="1" s="1"/>
  <c r="M22" i="1" s="1"/>
  <c r="H13" i="1"/>
  <c r="Q13" i="1" s="1"/>
  <c r="G13" i="1"/>
  <c r="P13" i="1" s="1"/>
  <c r="F13" i="1"/>
  <c r="O13" i="1" s="1"/>
  <c r="E13" i="1"/>
  <c r="N13" i="1" s="1"/>
  <c r="D13" i="1"/>
  <c r="M13" i="1" s="1"/>
  <c r="E6" i="1"/>
  <c r="N6" i="1" s="1"/>
  <c r="F6" i="1"/>
  <c r="F8" i="1" s="1"/>
  <c r="O8" i="1" s="1"/>
  <c r="G6" i="1"/>
  <c r="G8" i="1" s="1"/>
  <c r="P8" i="1" s="1"/>
  <c r="H6" i="1"/>
  <c r="H8" i="1" s="1"/>
  <c r="Q8" i="1" s="1"/>
  <c r="D6" i="1"/>
  <c r="M6" i="1" s="1"/>
  <c r="J4" i="1"/>
  <c r="J5" i="1"/>
  <c r="J7" i="1"/>
  <c r="J10" i="1"/>
  <c r="J11" i="1"/>
  <c r="J12" i="1"/>
  <c r="J14" i="1"/>
  <c r="S14" i="1" s="1"/>
  <c r="J17" i="1"/>
  <c r="J18" i="1"/>
  <c r="J19" i="1"/>
  <c r="J21" i="1"/>
  <c r="S21" i="1" s="1"/>
  <c r="J24" i="1"/>
  <c r="J25" i="1"/>
  <c r="J26" i="1"/>
  <c r="J28" i="1"/>
  <c r="S28" i="1" s="1"/>
  <c r="J3" i="1"/>
  <c r="I4" i="1"/>
  <c r="I5" i="1"/>
  <c r="I7" i="1"/>
  <c r="I10" i="1"/>
  <c r="I11" i="1"/>
  <c r="I12" i="1"/>
  <c r="I14" i="1"/>
  <c r="R14" i="1" s="1"/>
  <c r="I17" i="1"/>
  <c r="I18" i="1"/>
  <c r="I19" i="1"/>
  <c r="I21" i="1"/>
  <c r="I24" i="1"/>
  <c r="I25" i="1"/>
  <c r="I26" i="1"/>
  <c r="I28" i="1"/>
  <c r="R28" i="1" s="1"/>
  <c r="I3" i="1"/>
  <c r="I6" i="1" s="1"/>
  <c r="I13" i="1" l="1"/>
  <c r="S18" i="1"/>
  <c r="D15" i="1"/>
  <c r="M15" i="1" s="1"/>
  <c r="I27" i="1"/>
  <c r="F15" i="1"/>
  <c r="E15" i="1"/>
  <c r="N15" i="1" s="1"/>
  <c r="I20" i="1"/>
  <c r="R20" i="1" s="1"/>
  <c r="S24" i="1"/>
  <c r="F22" i="1"/>
  <c r="O22" i="1" s="1"/>
  <c r="J29" i="1"/>
  <c r="S29" i="1" s="1"/>
  <c r="I22" i="1"/>
  <c r="G22" i="1"/>
  <c r="P22" i="1" s="1"/>
  <c r="E22" i="1"/>
  <c r="N22" i="1" s="1"/>
  <c r="S10" i="1"/>
  <c r="R24" i="1"/>
  <c r="M27" i="1"/>
  <c r="S5" i="1"/>
  <c r="N27" i="1"/>
  <c r="S25" i="1"/>
  <c r="O27" i="1"/>
  <c r="P27" i="1"/>
  <c r="J20" i="1"/>
  <c r="S20" i="1" s="1"/>
  <c r="M29" i="1"/>
  <c r="R26" i="1"/>
  <c r="S19" i="1"/>
  <c r="M20" i="1"/>
  <c r="S17" i="1"/>
  <c r="Q20" i="1"/>
  <c r="H15" i="1"/>
  <c r="Q15" i="1" s="1"/>
  <c r="S12" i="1"/>
  <c r="G15" i="1"/>
  <c r="P15" i="1" s="1"/>
  <c r="O15" i="1"/>
  <c r="R10" i="1"/>
  <c r="O6" i="1"/>
  <c r="M8" i="1"/>
  <c r="Q6" i="1"/>
  <c r="P6" i="1"/>
  <c r="E8" i="1"/>
  <c r="J8" i="1" s="1"/>
  <c r="S8" i="1" s="1"/>
  <c r="R21" i="1"/>
  <c r="S26" i="1"/>
  <c r="R25" i="1"/>
  <c r="R19" i="1"/>
  <c r="R18" i="1"/>
  <c r="R12" i="1"/>
  <c r="R11" i="1"/>
  <c r="R4" i="1"/>
  <c r="R5" i="1"/>
  <c r="S3" i="1"/>
  <c r="R3" i="1"/>
  <c r="J22" i="1"/>
  <c r="S22" i="1" s="1"/>
  <c r="J27" i="1"/>
  <c r="S27" i="1" s="1"/>
  <c r="J13" i="1"/>
  <c r="S13" i="1" s="1"/>
  <c r="J6" i="1"/>
  <c r="S6" i="1" s="1"/>
  <c r="N8" i="1" l="1"/>
  <c r="R27" i="1"/>
  <c r="I29" i="1"/>
  <c r="R29" i="1" s="1"/>
  <c r="R22" i="1"/>
  <c r="R13" i="1"/>
  <c r="I15" i="1"/>
  <c r="R15" i="1" s="1"/>
  <c r="J15" i="1"/>
  <c r="S15" i="1" s="1"/>
  <c r="R6" i="1"/>
  <c r="I8" i="1"/>
  <c r="R8" i="1" s="1"/>
</calcChain>
</file>

<file path=xl/sharedStrings.xml><?xml version="1.0" encoding="utf-8"?>
<sst xmlns="http://schemas.openxmlformats.org/spreadsheetml/2006/main" count="61" uniqueCount="37">
  <si>
    <t>Type</t>
  </si>
  <si>
    <t>Measurements</t>
  </si>
  <si>
    <t>#1</t>
  </si>
  <si>
    <t>#2</t>
  </si>
  <si>
    <t>#3</t>
  </si>
  <si>
    <t>#4</t>
  </si>
  <si>
    <t>#5</t>
  </si>
  <si>
    <t>AVG</t>
  </si>
  <si>
    <t>St. Dev</t>
  </si>
  <si>
    <t>REFORMATTED</t>
  </si>
  <si>
    <t>Free-Fixed</t>
  </si>
  <si>
    <t>Thickness (mm)</t>
  </si>
  <si>
    <t>Length/height (cm)</t>
  </si>
  <si>
    <t>Width (mm)</t>
  </si>
  <si>
    <t>I_y(mm^4)</t>
  </si>
  <si>
    <t>Force(Newtons)</t>
  </si>
  <si>
    <t>E (MPa)</t>
  </si>
  <si>
    <t>Pinned-Pinned</t>
  </si>
  <si>
    <t>Fixed-Pinned</t>
  </si>
  <si>
    <t>Fixed-Fixed</t>
  </si>
  <si>
    <t>Case</t>
  </si>
  <si>
    <t>Mean (GPa)</t>
  </si>
  <si>
    <t>St. Dev (Gpa)</t>
  </si>
  <si>
    <t>Sample</t>
  </si>
  <si>
    <t>Critical Value</t>
  </si>
  <si>
    <t>Margin of Error</t>
  </si>
  <si>
    <t xml:space="preserve">Lower Bound </t>
  </si>
  <si>
    <t>Upper Bound</t>
  </si>
  <si>
    <t>Pinned-Fixed</t>
  </si>
  <si>
    <t>Fixed-Free</t>
  </si>
  <si>
    <t>Length (mm)</t>
  </si>
  <si>
    <t>Width b (mm)</t>
  </si>
  <si>
    <t>Height h (mm)</t>
  </si>
  <si>
    <t>I_y (m^4)</t>
  </si>
  <si>
    <t>E (Pa)</t>
  </si>
  <si>
    <t>K</t>
  </si>
  <si>
    <t>P_cr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</si>
</sst>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1" fillId="3" borderId="2" xfId="2" applyBorder="1"/>
    <xf numFmtId="0" fontId="1" fillId="3" borderId="1" xfId="2" applyBorder="1"/>
    <xf numFmtId="0" fontId="1" fillId="3" borderId="0" xfId="2" applyBorder="1"/>
    <xf numFmtId="0" fontId="1" fillId="2" borderId="2" xfId="1" applyBorder="1"/>
    <xf numFmtId="0" fontId="1" fillId="2" borderId="1" xfId="1" applyBorder="1"/>
    <xf numFmtId="0" fontId="1" fillId="2" borderId="0" xfId="1" applyBorder="1"/>
    <xf numFmtId="11" fontId="0" fillId="0" borderId="1" xfId="0" applyNumberFormat="1" applyBorder="1"/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/>
    <xf numFmtId="0" fontId="0" fillId="5" borderId="1" xfId="0" applyFill="1" applyBorder="1"/>
    <xf numFmtId="0" fontId="1" fillId="2" borderId="1" xfId="1" applyBorder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20% - Accent1" xfId="1" builtinId="30"/>
    <cellStyle name="20% - Accent2" xfId="2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6F58-1546-4F5B-A4E9-E8EA7ECD8532}">
  <dimension ref="B2:S29"/>
  <sheetViews>
    <sheetView tabSelected="1" zoomScale="125" workbookViewId="0">
      <selection activeCell="D22" sqref="D22"/>
    </sheetView>
  </sheetViews>
  <sheetFormatPr defaultColWidth="8.85546875" defaultRowHeight="15"/>
  <cols>
    <col min="1" max="1" width="9.85546875" customWidth="1"/>
    <col min="2" max="2" width="14.42578125" customWidth="1"/>
    <col min="3" max="3" width="17.42578125" customWidth="1"/>
    <col min="21" max="21" width="12.140625" bestFit="1" customWidth="1"/>
    <col min="22" max="23" width="11.85546875" bestFit="1" customWidth="1"/>
    <col min="24" max="24" width="12.42578125" bestFit="1" customWidth="1"/>
    <col min="25" max="25" width="11.85546875" bestFit="1" customWidth="1"/>
  </cols>
  <sheetData>
    <row r="2" spans="2:19">
      <c r="B2" s="6" t="s">
        <v>0</v>
      </c>
      <c r="C2" s="6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3" t="s">
        <v>7</v>
      </c>
      <c r="J2" s="3" t="s">
        <v>8</v>
      </c>
      <c r="M2" s="14" t="s">
        <v>9</v>
      </c>
      <c r="N2" s="14"/>
      <c r="O2" s="14"/>
      <c r="P2" s="14"/>
      <c r="Q2" s="14"/>
      <c r="R2" s="14"/>
      <c r="S2" s="14"/>
    </row>
    <row r="3" spans="2:19">
      <c r="B3" s="13" t="s">
        <v>10</v>
      </c>
      <c r="C3" s="7" t="s">
        <v>11</v>
      </c>
      <c r="D3" s="1">
        <v>11.9</v>
      </c>
      <c r="E3" s="1">
        <v>12</v>
      </c>
      <c r="F3" s="1">
        <v>11.8</v>
      </c>
      <c r="G3" s="1">
        <v>11.9</v>
      </c>
      <c r="H3" s="1">
        <v>12.1</v>
      </c>
      <c r="I3" s="4">
        <f>AVERAGE(D3:H3)</f>
        <v>11.940000000000001</v>
      </c>
      <c r="J3" s="4">
        <f>_xlfn.STDEV.S(D3:H3)</f>
        <v>0.11401754250991339</v>
      </c>
      <c r="M3" s="1">
        <f>D4*10</f>
        <v>181</v>
      </c>
      <c r="N3" s="1">
        <f t="shared" ref="N3:Q3" si="0">E4*10</f>
        <v>180</v>
      </c>
      <c r="O3" s="1">
        <f t="shared" si="0"/>
        <v>181</v>
      </c>
      <c r="P3" s="1">
        <f t="shared" si="0"/>
        <v>179</v>
      </c>
      <c r="Q3" s="1">
        <f t="shared" si="0"/>
        <v>180</v>
      </c>
      <c r="R3" s="1">
        <f t="shared" ref="R3:R4" si="1">AVERAGE(M3:Q3)</f>
        <v>180.2</v>
      </c>
      <c r="S3" s="1">
        <f t="shared" ref="S3:S4" si="2">_xlfn.STDEV.S(M3:Q3)</f>
        <v>0.83666002653407556</v>
      </c>
    </row>
    <row r="4" spans="2:19">
      <c r="B4" s="13"/>
      <c r="C4" s="7" t="s">
        <v>12</v>
      </c>
      <c r="D4" s="1">
        <v>18.100000000000001</v>
      </c>
      <c r="E4" s="1">
        <v>18</v>
      </c>
      <c r="F4" s="1">
        <v>18.100000000000001</v>
      </c>
      <c r="G4" s="1">
        <v>17.899999999999999</v>
      </c>
      <c r="H4" s="1">
        <v>18</v>
      </c>
      <c r="I4" s="4">
        <f t="shared" ref="I4:I28" si="3">AVERAGE(D4:H4)</f>
        <v>18.02</v>
      </c>
      <c r="J4" s="4">
        <f t="shared" ref="J4:J28" si="4">_xlfn.STDEV.S(D4:H4)</f>
        <v>8.3666002653408747E-2</v>
      </c>
      <c r="M4" s="1">
        <f>D5</f>
        <v>0.4</v>
      </c>
      <c r="N4" s="1">
        <f t="shared" ref="N4:Q4" si="5">E5</f>
        <v>0.6</v>
      </c>
      <c r="O4" s="1">
        <f t="shared" si="5"/>
        <v>0.4</v>
      </c>
      <c r="P4" s="1">
        <f t="shared" si="5"/>
        <v>0.6</v>
      </c>
      <c r="Q4" s="1">
        <f t="shared" si="5"/>
        <v>0.5</v>
      </c>
      <c r="R4" s="1">
        <f t="shared" si="1"/>
        <v>0.5</v>
      </c>
      <c r="S4" s="1">
        <f t="shared" si="2"/>
        <v>0.10000000000000005</v>
      </c>
    </row>
    <row r="5" spans="2:19">
      <c r="B5" s="13"/>
      <c r="C5" s="7" t="s">
        <v>13</v>
      </c>
      <c r="D5" s="1">
        <v>0.4</v>
      </c>
      <c r="E5" s="1">
        <v>0.6</v>
      </c>
      <c r="F5" s="1">
        <v>0.4</v>
      </c>
      <c r="G5" s="1">
        <v>0.6</v>
      </c>
      <c r="H5" s="1">
        <v>0.5</v>
      </c>
      <c r="I5" s="4">
        <f t="shared" si="3"/>
        <v>0.5</v>
      </c>
      <c r="J5" s="4">
        <f t="shared" si="4"/>
        <v>0.10000000000000005</v>
      </c>
      <c r="M5" s="1">
        <f>D3</f>
        <v>11.9</v>
      </c>
      <c r="N5" s="1">
        <f t="shared" ref="N5:Q5" si="6">E3</f>
        <v>12</v>
      </c>
      <c r="O5" s="1">
        <f t="shared" si="6"/>
        <v>11.8</v>
      </c>
      <c r="P5" s="1">
        <f t="shared" si="6"/>
        <v>11.9</v>
      </c>
      <c r="Q5" s="1">
        <f t="shared" si="6"/>
        <v>12.1</v>
      </c>
      <c r="R5" s="1">
        <f>AVERAGE(M5:Q5)</f>
        <v>11.940000000000001</v>
      </c>
      <c r="S5" s="1">
        <f>_xlfn.STDEV.S(M5:Q5)</f>
        <v>0.11401754250991339</v>
      </c>
    </row>
    <row r="6" spans="2:19">
      <c r="B6" s="13"/>
      <c r="C6" s="7" t="s">
        <v>14</v>
      </c>
      <c r="D6" s="1">
        <f>D3*D5^3/12</f>
        <v>6.3466666666666685E-2</v>
      </c>
      <c r="E6" s="1">
        <f>E3*E5^3/12</f>
        <v>0.216</v>
      </c>
      <c r="F6" s="1">
        <f t="shared" ref="F6:I6" si="7">F3*F5^3/12</f>
        <v>6.2933333333333355E-2</v>
      </c>
      <c r="G6" s="1">
        <f t="shared" si="7"/>
        <v>0.21420000000000003</v>
      </c>
      <c r="H6" s="1">
        <f t="shared" si="7"/>
        <v>0.12604166666666666</v>
      </c>
      <c r="I6" s="1">
        <f t="shared" si="7"/>
        <v>0.12437500000000001</v>
      </c>
      <c r="J6" s="4">
        <f t="shared" si="4"/>
        <v>7.6178794530440727E-2</v>
      </c>
      <c r="M6" s="1">
        <f>D6</f>
        <v>6.3466666666666685E-2</v>
      </c>
      <c r="N6" s="1">
        <f t="shared" ref="N6:S6" si="8">E6</f>
        <v>0.216</v>
      </c>
      <c r="O6" s="1">
        <f t="shared" si="8"/>
        <v>6.2933333333333355E-2</v>
      </c>
      <c r="P6" s="1">
        <f t="shared" si="8"/>
        <v>0.21420000000000003</v>
      </c>
      <c r="Q6" s="1">
        <f t="shared" si="8"/>
        <v>0.12604166666666666</v>
      </c>
      <c r="R6" s="1">
        <f t="shared" si="8"/>
        <v>0.12437500000000001</v>
      </c>
      <c r="S6" s="1">
        <f t="shared" si="8"/>
        <v>7.6178794530440727E-2</v>
      </c>
    </row>
    <row r="7" spans="2:19">
      <c r="B7" s="13"/>
      <c r="C7" s="7" t="s">
        <v>15</v>
      </c>
      <c r="D7" s="1">
        <v>4</v>
      </c>
      <c r="E7" s="1">
        <v>5</v>
      </c>
      <c r="F7" s="1">
        <v>5</v>
      </c>
      <c r="G7" s="1">
        <v>4</v>
      </c>
      <c r="H7" s="1">
        <v>5.3924000000000003</v>
      </c>
      <c r="I7" s="4">
        <f t="shared" si="3"/>
        <v>4.6784800000000004</v>
      </c>
      <c r="J7" s="4">
        <f t="shared" si="4"/>
        <v>0.63974647478512958</v>
      </c>
      <c r="M7" s="1">
        <f>D7</f>
        <v>4</v>
      </c>
      <c r="N7" s="1">
        <f t="shared" ref="N7" si="9">E7</f>
        <v>5</v>
      </c>
      <c r="O7" s="1">
        <f t="shared" ref="O7" si="10">F7</f>
        <v>5</v>
      </c>
      <c r="P7" s="1">
        <f t="shared" ref="P7" si="11">G7</f>
        <v>4</v>
      </c>
      <c r="Q7" s="1">
        <f t="shared" ref="Q7" si="12">H7</f>
        <v>5.3924000000000003</v>
      </c>
      <c r="R7" s="1">
        <f t="shared" ref="R7" si="13">I7</f>
        <v>4.6784800000000004</v>
      </c>
      <c r="S7" s="1">
        <f t="shared" ref="S7" si="14">J7</f>
        <v>0.63974647478512958</v>
      </c>
    </row>
    <row r="8" spans="2:19">
      <c r="B8" s="13"/>
      <c r="C8" s="7" t="s">
        <v>16</v>
      </c>
      <c r="D8" s="1">
        <f>(D4*10*2)^2*D7/(PI()^2*D6)</f>
        <v>836819.31864872959</v>
      </c>
      <c r="E8" s="1">
        <f t="shared" ref="E8:I8" si="15">(E4*10*2)^2*E7/(PI()^2*E6)</f>
        <v>303963.55092701333</v>
      </c>
      <c r="F8" s="1">
        <f t="shared" si="15"/>
        <v>1054888.7597372755</v>
      </c>
      <c r="G8" s="1">
        <f t="shared" si="15"/>
        <v>242497.25826959062</v>
      </c>
      <c r="H8" s="1">
        <f t="shared" si="15"/>
        <v>561788.98391177505</v>
      </c>
      <c r="I8" s="1">
        <f t="shared" si="15"/>
        <v>495041.38005283946</v>
      </c>
      <c r="J8" s="4">
        <f t="shared" si="4"/>
        <v>346378.78267173085</v>
      </c>
      <c r="M8" s="1">
        <f>D8/1000</f>
        <v>836.81931864872956</v>
      </c>
      <c r="N8" s="1">
        <f t="shared" ref="N8:R8" si="16">E8/1000</f>
        <v>303.96355092701333</v>
      </c>
      <c r="O8" s="1">
        <f t="shared" si="16"/>
        <v>1054.8887597372754</v>
      </c>
      <c r="P8" s="1">
        <f t="shared" si="16"/>
        <v>242.49725826959062</v>
      </c>
      <c r="Q8" s="1">
        <f t="shared" si="16"/>
        <v>561.78898391177506</v>
      </c>
      <c r="R8" s="1">
        <f t="shared" si="16"/>
        <v>495.04138005283949</v>
      </c>
      <c r="S8" s="1">
        <f>J8/1000</f>
        <v>346.37878267173085</v>
      </c>
    </row>
    <row r="9" spans="2:19">
      <c r="B9" s="8"/>
      <c r="C9" s="8"/>
      <c r="I9" s="5"/>
      <c r="J9" s="5"/>
      <c r="M9" s="1"/>
      <c r="N9" s="1"/>
      <c r="O9" s="1"/>
      <c r="P9" s="1"/>
      <c r="Q9" s="1"/>
      <c r="R9" s="1"/>
      <c r="S9" s="1"/>
    </row>
    <row r="10" spans="2:19">
      <c r="B10" s="13" t="s">
        <v>17</v>
      </c>
      <c r="C10" s="7" t="s">
        <v>11</v>
      </c>
      <c r="D10" s="1">
        <v>11.9</v>
      </c>
      <c r="E10" s="1">
        <v>12</v>
      </c>
      <c r="F10" s="1">
        <v>11.8</v>
      </c>
      <c r="G10" s="1">
        <v>11.9</v>
      </c>
      <c r="H10" s="1">
        <v>12.1</v>
      </c>
      <c r="I10" s="4">
        <f t="shared" si="3"/>
        <v>11.940000000000001</v>
      </c>
      <c r="J10" s="4">
        <f t="shared" si="4"/>
        <v>0.11401754250991339</v>
      </c>
      <c r="M10" s="1">
        <f>D11*10</f>
        <v>181</v>
      </c>
      <c r="N10" s="1">
        <f t="shared" ref="N10" si="17">E11*10</f>
        <v>180</v>
      </c>
      <c r="O10" s="1">
        <f t="shared" ref="O10" si="18">F11*10</f>
        <v>181</v>
      </c>
      <c r="P10" s="1">
        <f t="shared" ref="P10" si="19">G11*10</f>
        <v>179</v>
      </c>
      <c r="Q10" s="1">
        <f t="shared" ref="Q10" si="20">H11*10</f>
        <v>180</v>
      </c>
      <c r="R10" s="1">
        <f t="shared" ref="R10:R11" si="21">AVERAGE(M10:Q10)</f>
        <v>180.2</v>
      </c>
      <c r="S10" s="1">
        <f t="shared" ref="S10:S11" si="22">_xlfn.STDEV.S(M10:Q10)</f>
        <v>0.83666002653407556</v>
      </c>
    </row>
    <row r="11" spans="2:19">
      <c r="B11" s="13"/>
      <c r="C11" s="7" t="s">
        <v>12</v>
      </c>
      <c r="D11" s="1">
        <v>18.100000000000001</v>
      </c>
      <c r="E11" s="1">
        <v>18</v>
      </c>
      <c r="F11" s="1">
        <v>18.100000000000001</v>
      </c>
      <c r="G11" s="1">
        <v>17.899999999999999</v>
      </c>
      <c r="H11" s="1">
        <v>18</v>
      </c>
      <c r="I11" s="4">
        <f t="shared" si="3"/>
        <v>18.02</v>
      </c>
      <c r="J11" s="4">
        <f t="shared" si="4"/>
        <v>8.3666002653408747E-2</v>
      </c>
      <c r="M11" s="1">
        <f>D12</f>
        <v>0.4</v>
      </c>
      <c r="N11" s="1">
        <f t="shared" ref="N11" si="23">E12</f>
        <v>0.6</v>
      </c>
      <c r="O11" s="1">
        <f t="shared" ref="O11" si="24">F12</f>
        <v>0.4</v>
      </c>
      <c r="P11" s="1">
        <f t="shared" ref="P11" si="25">G12</f>
        <v>0.6</v>
      </c>
      <c r="Q11" s="1">
        <f t="shared" ref="Q11" si="26">H12</f>
        <v>0.5</v>
      </c>
      <c r="R11" s="1">
        <f t="shared" si="21"/>
        <v>0.5</v>
      </c>
      <c r="S11" s="1">
        <f t="shared" si="22"/>
        <v>0.10000000000000005</v>
      </c>
    </row>
    <row r="12" spans="2:19">
      <c r="B12" s="13"/>
      <c r="C12" s="7" t="s">
        <v>13</v>
      </c>
      <c r="D12" s="1">
        <v>0.4</v>
      </c>
      <c r="E12" s="1">
        <v>0.6</v>
      </c>
      <c r="F12" s="1">
        <v>0.4</v>
      </c>
      <c r="G12" s="1">
        <v>0.6</v>
      </c>
      <c r="H12" s="1">
        <v>0.5</v>
      </c>
      <c r="I12" s="4">
        <f t="shared" si="3"/>
        <v>0.5</v>
      </c>
      <c r="J12" s="4">
        <f t="shared" si="4"/>
        <v>0.10000000000000005</v>
      </c>
      <c r="M12" s="1">
        <f>D10</f>
        <v>11.9</v>
      </c>
      <c r="N12" s="1">
        <f t="shared" ref="N12" si="27">E10</f>
        <v>12</v>
      </c>
      <c r="O12" s="1">
        <f t="shared" ref="O12" si="28">F10</f>
        <v>11.8</v>
      </c>
      <c r="P12" s="1">
        <f t="shared" ref="P12" si="29">G10</f>
        <v>11.9</v>
      </c>
      <c r="Q12" s="1">
        <f t="shared" ref="Q12" si="30">H10</f>
        <v>12.1</v>
      </c>
      <c r="R12" s="1">
        <f>AVERAGE(M12:Q12)</f>
        <v>11.940000000000001</v>
      </c>
      <c r="S12" s="1">
        <f>_xlfn.STDEV.S(M12:Q12)</f>
        <v>0.11401754250991339</v>
      </c>
    </row>
    <row r="13" spans="2:19">
      <c r="B13" s="13"/>
      <c r="C13" s="7" t="s">
        <v>14</v>
      </c>
      <c r="D13" s="1">
        <f>D10*D12^3/12</f>
        <v>6.3466666666666685E-2</v>
      </c>
      <c r="E13" s="1">
        <f>E10*E12^3/12</f>
        <v>0.216</v>
      </c>
      <c r="F13" s="1">
        <f t="shared" ref="F13" si="31">F10*F12^3/12</f>
        <v>6.2933333333333355E-2</v>
      </c>
      <c r="G13" s="1">
        <f t="shared" ref="G13" si="32">G10*G12^3/12</f>
        <v>0.21420000000000003</v>
      </c>
      <c r="H13" s="1">
        <f t="shared" ref="H13:I13" si="33">H10*H12^3/12</f>
        <v>0.12604166666666666</v>
      </c>
      <c r="I13" s="1">
        <f t="shared" si="33"/>
        <v>0.12437500000000001</v>
      </c>
      <c r="J13" s="4">
        <f t="shared" ref="J13" si="34">_xlfn.STDEV.S(D13:H13)</f>
        <v>7.6178794530440727E-2</v>
      </c>
      <c r="M13" s="1">
        <f>D13</f>
        <v>6.3466666666666685E-2</v>
      </c>
      <c r="N13" s="1">
        <f t="shared" ref="N13:N14" si="35">E13</f>
        <v>0.216</v>
      </c>
      <c r="O13" s="1">
        <f t="shared" ref="O13:O14" si="36">F13</f>
        <v>6.2933333333333355E-2</v>
      </c>
      <c r="P13" s="1">
        <f t="shared" ref="P13:P14" si="37">G13</f>
        <v>0.21420000000000003</v>
      </c>
      <c r="Q13" s="1">
        <f t="shared" ref="Q13:Q14" si="38">H13</f>
        <v>0.12604166666666666</v>
      </c>
      <c r="R13" s="1">
        <f t="shared" ref="R13:R14" si="39">I13</f>
        <v>0.12437500000000001</v>
      </c>
      <c r="S13" s="1">
        <f t="shared" ref="S13:S14" si="40">J13</f>
        <v>7.6178794530440727E-2</v>
      </c>
    </row>
    <row r="14" spans="2:19">
      <c r="B14" s="13"/>
      <c r="C14" s="7" t="s">
        <v>15</v>
      </c>
      <c r="D14" s="1">
        <v>7</v>
      </c>
      <c r="E14" s="1">
        <v>7</v>
      </c>
      <c r="F14" s="1">
        <v>7</v>
      </c>
      <c r="G14" s="1">
        <v>7</v>
      </c>
      <c r="H14" s="1">
        <v>7</v>
      </c>
      <c r="I14" s="4">
        <f t="shared" si="3"/>
        <v>7</v>
      </c>
      <c r="J14" s="4">
        <f t="shared" si="4"/>
        <v>0</v>
      </c>
      <c r="M14" s="1">
        <f>D14</f>
        <v>7</v>
      </c>
      <c r="N14" s="1">
        <f t="shared" si="35"/>
        <v>7</v>
      </c>
      <c r="O14" s="1">
        <f t="shared" si="36"/>
        <v>7</v>
      </c>
      <c r="P14" s="1">
        <f t="shared" si="37"/>
        <v>7</v>
      </c>
      <c r="Q14" s="1">
        <f t="shared" si="38"/>
        <v>7</v>
      </c>
      <c r="R14" s="1">
        <f t="shared" si="39"/>
        <v>7</v>
      </c>
      <c r="S14" s="1">
        <f t="shared" si="40"/>
        <v>0</v>
      </c>
    </row>
    <row r="15" spans="2:19">
      <c r="B15" s="13"/>
      <c r="C15" s="7" t="s">
        <v>16</v>
      </c>
      <c r="D15" s="1">
        <f>(D11*10*1)^2*D14/(PI()^2*D13)</f>
        <v>366108.4519088192</v>
      </c>
      <c r="E15" s="1">
        <f t="shared" ref="E15:I15" si="41">(E11*10*1)^2*E14/(PI()^2*E13)</f>
        <v>106387.24282445466</v>
      </c>
      <c r="F15" s="1">
        <f t="shared" si="41"/>
        <v>369211.06590804638</v>
      </c>
      <c r="G15" s="1">
        <f t="shared" si="41"/>
        <v>106092.5504929459</v>
      </c>
      <c r="H15" s="1">
        <f t="shared" si="41"/>
        <v>182317.84026511502</v>
      </c>
      <c r="I15" s="1">
        <f t="shared" si="41"/>
        <v>185171.76841462805</v>
      </c>
      <c r="J15" s="4">
        <f t="shared" si="4"/>
        <v>132978.31040760115</v>
      </c>
      <c r="M15" s="1">
        <f>D15/1000</f>
        <v>366.10845190881918</v>
      </c>
      <c r="N15" s="1">
        <f t="shared" ref="N15" si="42">E15/1000</f>
        <v>106.38724282445466</v>
      </c>
      <c r="O15" s="1">
        <f t="shared" ref="O15" si="43">F15/1000</f>
        <v>369.21106590804641</v>
      </c>
      <c r="P15" s="1">
        <f t="shared" ref="P15" si="44">G15/1000</f>
        <v>106.0925504929459</v>
      </c>
      <c r="Q15" s="1">
        <f t="shared" ref="Q15" si="45">H15/1000</f>
        <v>182.31784026511502</v>
      </c>
      <c r="R15" s="1">
        <f t="shared" ref="R15" si="46">I15/1000</f>
        <v>185.17176841462805</v>
      </c>
      <c r="S15" s="1">
        <f t="shared" ref="S15" si="47">J15/1000</f>
        <v>132.97831040760116</v>
      </c>
    </row>
    <row r="16" spans="2:19">
      <c r="B16" s="8"/>
      <c r="C16" s="8"/>
      <c r="I16" s="5"/>
      <c r="J16" s="5"/>
      <c r="M16" s="1"/>
      <c r="N16" s="1"/>
      <c r="O16" s="1"/>
      <c r="P16" s="1"/>
      <c r="Q16" s="1"/>
      <c r="R16" s="1"/>
      <c r="S16" s="1"/>
    </row>
    <row r="17" spans="2:19">
      <c r="B17" s="13" t="s">
        <v>18</v>
      </c>
      <c r="C17" s="7" t="s">
        <v>11</v>
      </c>
      <c r="D17" s="1">
        <v>11.9</v>
      </c>
      <c r="E17" s="1">
        <v>12</v>
      </c>
      <c r="F17" s="1">
        <v>11.8</v>
      </c>
      <c r="G17" s="1">
        <v>11.9</v>
      </c>
      <c r="H17" s="1">
        <v>12.1</v>
      </c>
      <c r="I17" s="4">
        <f t="shared" si="3"/>
        <v>11.940000000000001</v>
      </c>
      <c r="J17" s="4">
        <f t="shared" si="4"/>
        <v>0.11401754250991339</v>
      </c>
      <c r="M17" s="1">
        <f>D18*10</f>
        <v>181</v>
      </c>
      <c r="N17" s="1">
        <f t="shared" ref="N17" si="48">E18*10</f>
        <v>180</v>
      </c>
      <c r="O17" s="1">
        <f t="shared" ref="O17" si="49">F18*10</f>
        <v>181</v>
      </c>
      <c r="P17" s="1">
        <f t="shared" ref="P17" si="50">G18*10</f>
        <v>179</v>
      </c>
      <c r="Q17" s="1">
        <f t="shared" ref="Q17" si="51">H18*10</f>
        <v>180</v>
      </c>
      <c r="R17" s="1">
        <f t="shared" ref="R17:R18" si="52">AVERAGE(M17:Q17)</f>
        <v>180.2</v>
      </c>
      <c r="S17" s="1">
        <f t="shared" ref="S17:S18" si="53">_xlfn.STDEV.S(M17:Q17)</f>
        <v>0.83666002653407556</v>
      </c>
    </row>
    <row r="18" spans="2:19">
      <c r="B18" s="13"/>
      <c r="C18" s="7" t="s">
        <v>12</v>
      </c>
      <c r="D18" s="1">
        <v>18.100000000000001</v>
      </c>
      <c r="E18" s="1">
        <v>18</v>
      </c>
      <c r="F18" s="1">
        <v>18.100000000000001</v>
      </c>
      <c r="G18" s="1">
        <v>17.899999999999999</v>
      </c>
      <c r="H18" s="1">
        <v>18</v>
      </c>
      <c r="I18" s="4">
        <f t="shared" si="3"/>
        <v>18.02</v>
      </c>
      <c r="J18" s="4">
        <f t="shared" si="4"/>
        <v>8.3666002653408747E-2</v>
      </c>
      <c r="M18" s="1">
        <f>D19</f>
        <v>0.4</v>
      </c>
      <c r="N18" s="1">
        <f t="shared" ref="N18" si="54">E19</f>
        <v>0.6</v>
      </c>
      <c r="O18" s="1">
        <f t="shared" ref="O18" si="55">F19</f>
        <v>0.4</v>
      </c>
      <c r="P18" s="1">
        <f t="shared" ref="P18" si="56">G19</f>
        <v>0.6</v>
      </c>
      <c r="Q18" s="1">
        <f t="shared" ref="Q18" si="57">H19</f>
        <v>0.5</v>
      </c>
      <c r="R18" s="1">
        <f t="shared" si="52"/>
        <v>0.5</v>
      </c>
      <c r="S18" s="1">
        <f t="shared" si="53"/>
        <v>0.10000000000000005</v>
      </c>
    </row>
    <row r="19" spans="2:19">
      <c r="B19" s="13"/>
      <c r="C19" s="7" t="s">
        <v>13</v>
      </c>
      <c r="D19" s="1">
        <v>0.4</v>
      </c>
      <c r="E19" s="1">
        <v>0.6</v>
      </c>
      <c r="F19" s="1">
        <v>0.4</v>
      </c>
      <c r="G19" s="1">
        <v>0.6</v>
      </c>
      <c r="H19" s="1">
        <v>0.5</v>
      </c>
      <c r="I19" s="4">
        <f t="shared" si="3"/>
        <v>0.5</v>
      </c>
      <c r="J19" s="4">
        <f t="shared" si="4"/>
        <v>0.10000000000000005</v>
      </c>
      <c r="M19" s="1">
        <f>D17</f>
        <v>11.9</v>
      </c>
      <c r="N19" s="1">
        <f t="shared" ref="N19" si="58">E17</f>
        <v>12</v>
      </c>
      <c r="O19" s="1">
        <f t="shared" ref="O19" si="59">F17</f>
        <v>11.8</v>
      </c>
      <c r="P19" s="1">
        <f t="shared" ref="P19" si="60">G17</f>
        <v>11.9</v>
      </c>
      <c r="Q19" s="1">
        <f t="shared" ref="Q19" si="61">H17</f>
        <v>12.1</v>
      </c>
      <c r="R19" s="1">
        <f>AVERAGE(M19:Q19)</f>
        <v>11.940000000000001</v>
      </c>
      <c r="S19" s="1">
        <f>_xlfn.STDEV.S(M19:Q19)</f>
        <v>0.11401754250991339</v>
      </c>
    </row>
    <row r="20" spans="2:19">
      <c r="B20" s="13"/>
      <c r="C20" s="7" t="s">
        <v>14</v>
      </c>
      <c r="D20" s="1">
        <f>D17*D19^3/12</f>
        <v>6.3466666666666685E-2</v>
      </c>
      <c r="E20" s="1">
        <f>E17*E19^3/12</f>
        <v>0.216</v>
      </c>
      <c r="F20" s="1">
        <f t="shared" ref="F20" si="62">F17*F19^3/12</f>
        <v>6.2933333333333355E-2</v>
      </c>
      <c r="G20" s="1">
        <f t="shared" ref="G20" si="63">G17*G19^3/12</f>
        <v>0.21420000000000003</v>
      </c>
      <c r="H20" s="1">
        <f t="shared" ref="H20:I20" si="64">H17*H19^3/12</f>
        <v>0.12604166666666666</v>
      </c>
      <c r="I20" s="1">
        <f t="shared" si="64"/>
        <v>0.12437500000000001</v>
      </c>
      <c r="J20" s="4">
        <f t="shared" si="4"/>
        <v>7.6178794530440727E-2</v>
      </c>
      <c r="M20" s="1">
        <f>D20</f>
        <v>6.3466666666666685E-2</v>
      </c>
      <c r="N20" s="1">
        <f t="shared" ref="N20:N21" si="65">E20</f>
        <v>0.216</v>
      </c>
      <c r="O20" s="1">
        <f t="shared" ref="O20:O21" si="66">F20</f>
        <v>6.2933333333333355E-2</v>
      </c>
      <c r="P20" s="1">
        <f t="shared" ref="P20:P21" si="67">G20</f>
        <v>0.21420000000000003</v>
      </c>
      <c r="Q20" s="1">
        <f t="shared" ref="Q20:Q21" si="68">H20</f>
        <v>0.12604166666666666</v>
      </c>
      <c r="R20" s="1">
        <f t="shared" ref="R20:R21" si="69">I20</f>
        <v>0.12437500000000001</v>
      </c>
      <c r="S20" s="1">
        <f t="shared" ref="S20:S21" si="70">J20</f>
        <v>7.6178794530440727E-2</v>
      </c>
    </row>
    <row r="21" spans="2:19">
      <c r="B21" s="13"/>
      <c r="C21" s="7" t="s">
        <v>15</v>
      </c>
      <c r="D21" s="1">
        <v>16</v>
      </c>
      <c r="E21" s="1">
        <v>14</v>
      </c>
      <c r="F21" s="1">
        <v>15</v>
      </c>
      <c r="G21" s="1">
        <v>16</v>
      </c>
      <c r="H21" s="1">
        <v>15</v>
      </c>
      <c r="I21" s="4">
        <f t="shared" si="3"/>
        <v>15.2</v>
      </c>
      <c r="J21" s="4">
        <f t="shared" si="4"/>
        <v>0.83666002653407556</v>
      </c>
      <c r="M21" s="1">
        <f>D21</f>
        <v>16</v>
      </c>
      <c r="N21" s="1">
        <f t="shared" si="65"/>
        <v>14</v>
      </c>
      <c r="O21" s="1">
        <f t="shared" si="66"/>
        <v>15</v>
      </c>
      <c r="P21" s="1">
        <f t="shared" si="67"/>
        <v>16</v>
      </c>
      <c r="Q21" s="1">
        <f t="shared" si="68"/>
        <v>15</v>
      </c>
      <c r="R21" s="1">
        <f t="shared" si="69"/>
        <v>15.2</v>
      </c>
      <c r="S21" s="1">
        <f t="shared" si="70"/>
        <v>0.83666002653407556</v>
      </c>
    </row>
    <row r="22" spans="2:19">
      <c r="B22" s="13"/>
      <c r="C22" s="7" t="s">
        <v>16</v>
      </c>
      <c r="D22" s="1">
        <f>(D18*10*SQRT(2)/2)^2*D21/(PI()^2*D20)</f>
        <v>418409.65932436479</v>
      </c>
      <c r="E22" s="1">
        <f t="shared" ref="E22:H22" si="71">(E18*10*SQRT(2)/2)^2*E21/(PI()^2*E20)</f>
        <v>106387.24282445468</v>
      </c>
      <c r="F22" s="1">
        <f t="shared" si="71"/>
        <v>395583.28490147833</v>
      </c>
      <c r="G22" s="1">
        <f t="shared" si="71"/>
        <v>121248.62913479534</v>
      </c>
      <c r="H22" s="1">
        <f t="shared" si="71"/>
        <v>195340.54314119471</v>
      </c>
      <c r="I22" s="1">
        <f>(I18*10*SQRT(2)/2)^2*I21/(PI()^2*I20)</f>
        <v>201043.63427873902</v>
      </c>
      <c r="J22" s="4">
        <f t="shared" si="4"/>
        <v>149759.4257672212</v>
      </c>
      <c r="M22" s="1">
        <f>D22/1000</f>
        <v>418.40965932436478</v>
      </c>
      <c r="N22" s="1">
        <f t="shared" ref="N22" si="72">E22/1000</f>
        <v>106.38724282445467</v>
      </c>
      <c r="O22" s="1">
        <f t="shared" ref="O22" si="73">F22/1000</f>
        <v>395.58328490147835</v>
      </c>
      <c r="P22" s="1">
        <f t="shared" ref="P22" si="74">G22/1000</f>
        <v>121.24862913479534</v>
      </c>
      <c r="Q22" s="1">
        <f t="shared" ref="Q22" si="75">H22/1000</f>
        <v>195.3405431411947</v>
      </c>
      <c r="R22" s="1">
        <f t="shared" ref="R22" si="76">I22/1000</f>
        <v>201.04363427873901</v>
      </c>
      <c r="S22" s="1">
        <f t="shared" ref="S22" si="77">J22/1000</f>
        <v>149.75942576722119</v>
      </c>
    </row>
    <row r="23" spans="2:19">
      <c r="B23" s="8"/>
      <c r="C23" s="8"/>
      <c r="I23" s="5"/>
      <c r="J23" s="5"/>
      <c r="M23" s="1"/>
      <c r="N23" s="1"/>
      <c r="O23" s="1"/>
      <c r="P23" s="1"/>
      <c r="Q23" s="1"/>
      <c r="R23" s="1"/>
      <c r="S23" s="1"/>
    </row>
    <row r="24" spans="2:19">
      <c r="B24" s="13" t="s">
        <v>19</v>
      </c>
      <c r="C24" s="7" t="s">
        <v>11</v>
      </c>
      <c r="D24" s="1">
        <v>11.9</v>
      </c>
      <c r="E24" s="1">
        <v>12</v>
      </c>
      <c r="F24" s="1">
        <v>11.8</v>
      </c>
      <c r="G24" s="1">
        <v>11.9</v>
      </c>
      <c r="H24" s="1">
        <v>12.1</v>
      </c>
      <c r="I24" s="4">
        <f t="shared" si="3"/>
        <v>11.940000000000001</v>
      </c>
      <c r="J24" s="4">
        <f t="shared" si="4"/>
        <v>0.11401754250991339</v>
      </c>
      <c r="M24" s="1">
        <f>D25*10</f>
        <v>181</v>
      </c>
      <c r="N24" s="1">
        <f t="shared" ref="N24" si="78">E25*10</f>
        <v>180</v>
      </c>
      <c r="O24" s="1">
        <f t="shared" ref="O24" si="79">F25*10</f>
        <v>181</v>
      </c>
      <c r="P24" s="1">
        <f t="shared" ref="P24" si="80">G25*10</f>
        <v>179</v>
      </c>
      <c r="Q24" s="1">
        <f t="shared" ref="Q24" si="81">H25*10</f>
        <v>180</v>
      </c>
      <c r="R24" s="1">
        <f t="shared" ref="R24:R25" si="82">AVERAGE(M24:Q24)</f>
        <v>180.2</v>
      </c>
      <c r="S24" s="1">
        <f t="shared" ref="S24:S25" si="83">_xlfn.STDEV.S(M24:Q24)</f>
        <v>0.83666002653407556</v>
      </c>
    </row>
    <row r="25" spans="2:19">
      <c r="B25" s="13"/>
      <c r="C25" s="7" t="s">
        <v>12</v>
      </c>
      <c r="D25" s="1">
        <v>18.100000000000001</v>
      </c>
      <c r="E25" s="1">
        <v>18</v>
      </c>
      <c r="F25" s="1">
        <v>18.100000000000001</v>
      </c>
      <c r="G25" s="1">
        <v>17.899999999999999</v>
      </c>
      <c r="H25" s="1">
        <v>18</v>
      </c>
      <c r="I25" s="4">
        <f t="shared" si="3"/>
        <v>18.02</v>
      </c>
      <c r="J25" s="4">
        <f t="shared" si="4"/>
        <v>8.3666002653408747E-2</v>
      </c>
      <c r="M25" s="1">
        <f>D26</f>
        <v>0.4</v>
      </c>
      <c r="N25" s="1">
        <f t="shared" ref="N25" si="84">E26</f>
        <v>0.6</v>
      </c>
      <c r="O25" s="1">
        <f t="shared" ref="O25" si="85">F26</f>
        <v>0.4</v>
      </c>
      <c r="P25" s="1">
        <f t="shared" ref="P25" si="86">G26</f>
        <v>0.6</v>
      </c>
      <c r="Q25" s="1">
        <f t="shared" ref="Q25" si="87">H26</f>
        <v>0.5</v>
      </c>
      <c r="R25" s="1">
        <f t="shared" si="82"/>
        <v>0.5</v>
      </c>
      <c r="S25" s="1">
        <f t="shared" si="83"/>
        <v>0.10000000000000005</v>
      </c>
    </row>
    <row r="26" spans="2:19">
      <c r="B26" s="13"/>
      <c r="C26" s="7" t="s">
        <v>13</v>
      </c>
      <c r="D26" s="1">
        <v>0.4</v>
      </c>
      <c r="E26" s="1">
        <v>0.6</v>
      </c>
      <c r="F26" s="1">
        <v>0.4</v>
      </c>
      <c r="G26" s="1">
        <v>0.6</v>
      </c>
      <c r="H26" s="1">
        <v>0.5</v>
      </c>
      <c r="I26" s="4">
        <f t="shared" si="3"/>
        <v>0.5</v>
      </c>
      <c r="J26" s="4">
        <f t="shared" si="4"/>
        <v>0.10000000000000005</v>
      </c>
      <c r="M26" s="1">
        <f>D24</f>
        <v>11.9</v>
      </c>
      <c r="N26" s="1">
        <f t="shared" ref="N26" si="88">E24</f>
        <v>12</v>
      </c>
      <c r="O26" s="1">
        <f t="shared" ref="O26" si="89">F24</f>
        <v>11.8</v>
      </c>
      <c r="P26" s="1">
        <f t="shared" ref="P26" si="90">G24</f>
        <v>11.9</v>
      </c>
      <c r="Q26" s="1">
        <f t="shared" ref="Q26" si="91">H24</f>
        <v>12.1</v>
      </c>
      <c r="R26" s="1">
        <f>AVERAGE(M26:Q26)</f>
        <v>11.940000000000001</v>
      </c>
      <c r="S26" s="1">
        <f>_xlfn.STDEV.S(M26:Q26)</f>
        <v>0.11401754250991339</v>
      </c>
    </row>
    <row r="27" spans="2:19">
      <c r="B27" s="13"/>
      <c r="C27" s="7" t="s">
        <v>14</v>
      </c>
      <c r="D27" s="1">
        <f>D24*D26^3/12</f>
        <v>6.3466666666666685E-2</v>
      </c>
      <c r="E27" s="1">
        <f>E24*E26^3/12</f>
        <v>0.216</v>
      </c>
      <c r="F27" s="1">
        <f t="shared" ref="F27" si="92">F24*F26^3/12</f>
        <v>6.2933333333333355E-2</v>
      </c>
      <c r="G27" s="1">
        <f t="shared" ref="G27" si="93">G24*G26^3/12</f>
        <v>0.21420000000000003</v>
      </c>
      <c r="H27" s="1">
        <f t="shared" ref="H27:I27" si="94">H24*H26^3/12</f>
        <v>0.12604166666666666</v>
      </c>
      <c r="I27" s="1">
        <f t="shared" si="94"/>
        <v>0.12437500000000001</v>
      </c>
      <c r="J27" s="4">
        <f t="shared" ref="J27" si="95">_xlfn.STDEV.S(D27:H27)</f>
        <v>7.6178794530440727E-2</v>
      </c>
      <c r="M27" s="1">
        <f>D27</f>
        <v>6.3466666666666685E-2</v>
      </c>
      <c r="N27" s="1">
        <f t="shared" ref="N27:N28" si="96">E27</f>
        <v>0.216</v>
      </c>
      <c r="O27" s="1">
        <f t="shared" ref="O27:O28" si="97">F27</f>
        <v>6.2933333333333355E-2</v>
      </c>
      <c r="P27" s="1">
        <f t="shared" ref="P27:P28" si="98">G27</f>
        <v>0.21420000000000003</v>
      </c>
      <c r="Q27" s="1">
        <f t="shared" ref="Q27:Q28" si="99">H27</f>
        <v>0.12604166666666666</v>
      </c>
      <c r="R27" s="1">
        <f t="shared" ref="R27:R28" si="100">I27</f>
        <v>0.12437500000000001</v>
      </c>
      <c r="S27" s="1">
        <f t="shared" ref="S27:S28" si="101">J27</f>
        <v>7.6178794530440727E-2</v>
      </c>
    </row>
    <row r="28" spans="2:19">
      <c r="B28" s="13"/>
      <c r="C28" s="7" t="s">
        <v>15</v>
      </c>
      <c r="D28" s="1">
        <v>32</v>
      </c>
      <c r="E28" s="1">
        <v>33</v>
      </c>
      <c r="F28" s="1">
        <v>33</v>
      </c>
      <c r="G28" s="1">
        <v>32</v>
      </c>
      <c r="H28" s="1">
        <v>31</v>
      </c>
      <c r="I28" s="4">
        <f t="shared" si="3"/>
        <v>32.200000000000003</v>
      </c>
      <c r="J28" s="4">
        <f t="shared" si="4"/>
        <v>0.83666002653407556</v>
      </c>
      <c r="M28" s="1">
        <f>D28</f>
        <v>32</v>
      </c>
      <c r="N28" s="1">
        <f t="shared" si="96"/>
        <v>33</v>
      </c>
      <c r="O28" s="1">
        <f t="shared" si="97"/>
        <v>33</v>
      </c>
      <c r="P28" s="1">
        <f t="shared" si="98"/>
        <v>32</v>
      </c>
      <c r="Q28" s="1">
        <f t="shared" si="99"/>
        <v>31</v>
      </c>
      <c r="R28" s="1">
        <f t="shared" si="100"/>
        <v>32.200000000000003</v>
      </c>
      <c r="S28" s="1">
        <f t="shared" si="101"/>
        <v>0.83666002653407556</v>
      </c>
    </row>
    <row r="29" spans="2:19">
      <c r="B29" s="13"/>
      <c r="C29" s="7" t="s">
        <v>16</v>
      </c>
      <c r="D29" s="1">
        <f>(D25*10*0.5)^2*D28/(PI()^2*D27)</f>
        <v>418409.65932436479</v>
      </c>
      <c r="E29" s="1">
        <f t="shared" ref="E29:I29" si="102">(E25*10*0.5)^2*E28/(PI()^2*E27)</f>
        <v>125384.964757393</v>
      </c>
      <c r="F29" s="1">
        <f t="shared" si="102"/>
        <v>435141.6133916261</v>
      </c>
      <c r="G29" s="1">
        <f t="shared" si="102"/>
        <v>121248.62913479531</v>
      </c>
      <c r="H29" s="1">
        <f t="shared" si="102"/>
        <v>201851.8945792345</v>
      </c>
      <c r="I29" s="1">
        <f t="shared" si="102"/>
        <v>212947.53367682226</v>
      </c>
      <c r="J29" s="4">
        <f>_xlfn.STDEV.S(D29:H29)</f>
        <v>155339.73093177288</v>
      </c>
      <c r="M29" s="1">
        <f>D29/1000</f>
        <v>418.40965932436478</v>
      </c>
      <c r="N29" s="1">
        <f t="shared" ref="N29" si="103">E29/1000</f>
        <v>125.38496475739299</v>
      </c>
      <c r="O29" s="1">
        <f t="shared" ref="O29" si="104">F29/1000</f>
        <v>435.14161339162609</v>
      </c>
      <c r="P29" s="1">
        <f t="shared" ref="P29" si="105">G29/1000</f>
        <v>121.24862913479531</v>
      </c>
      <c r="Q29" s="1">
        <f t="shared" ref="Q29" si="106">H29/1000</f>
        <v>201.85189457923451</v>
      </c>
      <c r="R29" s="1">
        <f t="shared" ref="R29" si="107">I29/1000</f>
        <v>212.94753367682227</v>
      </c>
      <c r="S29" s="1">
        <f t="shared" ref="S29" si="108">J29/1000</f>
        <v>155.33973093177289</v>
      </c>
    </row>
  </sheetData>
  <mergeCells count="5">
    <mergeCell ref="B3:B8"/>
    <mergeCell ref="B10:B15"/>
    <mergeCell ref="B17:B22"/>
    <mergeCell ref="B24:B29"/>
    <mergeCell ref="M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7DE5-E2B0-4036-BB32-E7EFE6EEC67B}">
  <dimension ref="A2:N9"/>
  <sheetViews>
    <sheetView workbookViewId="0">
      <selection activeCell="G22" sqref="G22"/>
    </sheetView>
  </sheetViews>
  <sheetFormatPr defaultColWidth="8.85546875" defaultRowHeight="15"/>
  <cols>
    <col min="1" max="1" width="13.28515625" bestFit="1" customWidth="1"/>
    <col min="2" max="2" width="10.28515625" bestFit="1" customWidth="1"/>
    <col min="3" max="3" width="11.7109375" bestFit="1" customWidth="1"/>
    <col min="4" max="4" width="7.140625" bestFit="1" customWidth="1"/>
    <col min="5" max="5" width="12.140625" bestFit="1" customWidth="1"/>
    <col min="6" max="6" width="12.7109375" bestFit="1" customWidth="1"/>
    <col min="7" max="8" width="11.85546875" bestFit="1" customWidth="1"/>
    <col min="10" max="10" width="12.7109375" bestFit="1" customWidth="1"/>
    <col min="11" max="12" width="11.85546875" bestFit="1" customWidth="1"/>
    <col min="13" max="13" width="13.28515625" bestFit="1" customWidth="1"/>
    <col min="14" max="14" width="11.85546875" bestFit="1" customWidth="1"/>
  </cols>
  <sheetData>
    <row r="2" spans="1:14">
      <c r="A2" s="10" t="s">
        <v>20</v>
      </c>
      <c r="B2" s="10" t="s">
        <v>21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  <c r="J2" s="11"/>
      <c r="K2" s="11" t="s">
        <v>19</v>
      </c>
      <c r="L2" s="11" t="s">
        <v>28</v>
      </c>
      <c r="M2" s="11" t="s">
        <v>17</v>
      </c>
      <c r="N2" s="11" t="s">
        <v>29</v>
      </c>
    </row>
    <row r="3" spans="1:14">
      <c r="A3" s="11" t="s">
        <v>10</v>
      </c>
      <c r="B3" s="1">
        <v>495.04140000000001</v>
      </c>
      <c r="C3" s="1">
        <v>346.37880000000001</v>
      </c>
      <c r="D3" s="1">
        <v>5</v>
      </c>
      <c r="E3" s="1">
        <v>1.1060000000000001</v>
      </c>
      <c r="F3" s="1">
        <v>171.32527125957469</v>
      </c>
      <c r="G3" s="12">
        <v>323.71612874042529</v>
      </c>
      <c r="H3" s="12">
        <v>666.36667125957467</v>
      </c>
      <c r="J3" s="11" t="s">
        <v>30</v>
      </c>
      <c r="K3" s="1">
        <v>180</v>
      </c>
      <c r="L3" s="1">
        <v>180</v>
      </c>
      <c r="M3" s="1">
        <v>180</v>
      </c>
      <c r="N3" s="1">
        <v>180</v>
      </c>
    </row>
    <row r="4" spans="1:14">
      <c r="A4" s="11" t="s">
        <v>17</v>
      </c>
      <c r="B4" s="1">
        <v>185.17179999999999</v>
      </c>
      <c r="C4" s="1">
        <v>132.97829999999999</v>
      </c>
      <c r="D4" s="1">
        <v>5</v>
      </c>
      <c r="E4" s="1">
        <v>1.1060000000000001</v>
      </c>
      <c r="F4" s="1">
        <v>65.773492255118086</v>
      </c>
      <c r="G4" s="12">
        <v>119.3983077448819</v>
      </c>
      <c r="H4" s="12">
        <v>250.94529225511809</v>
      </c>
      <c r="J4" s="11" t="s">
        <v>31</v>
      </c>
      <c r="K4" s="1">
        <v>0.5</v>
      </c>
      <c r="L4" s="1">
        <v>0.5</v>
      </c>
      <c r="M4" s="1">
        <v>0.5</v>
      </c>
      <c r="N4" s="1">
        <v>0.5</v>
      </c>
    </row>
    <row r="5" spans="1:14">
      <c r="A5" s="11" t="s">
        <v>18</v>
      </c>
      <c r="B5" s="1">
        <v>201.0436</v>
      </c>
      <c r="C5" s="1">
        <v>149.7594</v>
      </c>
      <c r="D5" s="1">
        <v>5</v>
      </c>
      <c r="E5" s="1">
        <v>1.1060000000000001</v>
      </c>
      <c r="F5" s="1">
        <v>74.073730345711539</v>
      </c>
      <c r="G5" s="12">
        <v>126.9698696542885</v>
      </c>
      <c r="H5" s="12">
        <v>275.11733034571148</v>
      </c>
      <c r="J5" s="11" t="s">
        <v>32</v>
      </c>
      <c r="K5" s="1">
        <v>12</v>
      </c>
      <c r="L5" s="1">
        <v>12</v>
      </c>
      <c r="M5" s="1">
        <v>12</v>
      </c>
      <c r="N5" s="1">
        <v>12</v>
      </c>
    </row>
    <row r="6" spans="1:14">
      <c r="A6" s="11" t="s">
        <v>19</v>
      </c>
      <c r="B6" s="1">
        <v>212.94749999999999</v>
      </c>
      <c r="C6" s="1">
        <v>155.33969999999999</v>
      </c>
      <c r="D6" s="1">
        <v>5</v>
      </c>
      <c r="E6" s="1">
        <v>1.1060000000000001</v>
      </c>
      <c r="F6" s="1">
        <v>76.833848491538603</v>
      </c>
      <c r="G6" s="12">
        <v>136.1136515084614</v>
      </c>
      <c r="H6" s="12">
        <v>289.78134849153861</v>
      </c>
      <c r="J6" s="11" t="s">
        <v>33</v>
      </c>
      <c r="K6" s="9">
        <v>1.25E-13</v>
      </c>
      <c r="L6" s="9">
        <v>1.25E-13</v>
      </c>
      <c r="M6" s="9">
        <v>1.25E-13</v>
      </c>
      <c r="N6" s="9">
        <v>1.25E-13</v>
      </c>
    </row>
    <row r="7" spans="1:14">
      <c r="J7" s="11" t="s">
        <v>34</v>
      </c>
      <c r="K7" s="1">
        <v>200000000000</v>
      </c>
      <c r="L7" s="1">
        <v>200000000000</v>
      </c>
      <c r="M7" s="1">
        <v>200000000000</v>
      </c>
      <c r="N7" s="1">
        <v>200000000000</v>
      </c>
    </row>
    <row r="8" spans="1:14">
      <c r="J8" s="11" t="s">
        <v>35</v>
      </c>
      <c r="K8" s="1">
        <v>0.5</v>
      </c>
      <c r="L8" s="1">
        <v>0.70710678118654702</v>
      </c>
      <c r="M8" s="1">
        <v>1</v>
      </c>
      <c r="N8" s="1">
        <v>2</v>
      </c>
    </row>
    <row r="9" spans="1:14">
      <c r="J9" s="11" t="s">
        <v>36</v>
      </c>
      <c r="K9" s="1">
        <v>30.461741978670801</v>
      </c>
      <c r="L9" s="1">
        <v>15.230870989335401</v>
      </c>
      <c r="M9" s="1">
        <v>7.6154354946677101</v>
      </c>
      <c r="N9" s="1">
        <v>1.90385887366692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Vaught, Jacob</dc:creator>
  <cp:keywords/>
  <dc:description/>
  <cp:lastModifiedBy>Rojas, Rodrigo</cp:lastModifiedBy>
  <cp:revision/>
  <dcterms:created xsi:type="dcterms:W3CDTF">2024-08-26T21:44:41Z</dcterms:created>
  <dcterms:modified xsi:type="dcterms:W3CDTF">2024-09-06T23:00:08Z</dcterms:modified>
  <cp:category/>
  <cp:contentStatus/>
</cp:coreProperties>
</file>