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sc_edu/Documents/"/>
    </mc:Choice>
  </mc:AlternateContent>
  <xr:revisionPtr revIDLastSave="1961" documentId="8_{4664BBBC-BCAD-4502-B840-1AFE8FFB320F}" xr6:coauthVersionLast="47" xr6:coauthVersionMax="47" xr10:uidLastSave="{09512E4D-9634-441C-86AE-0D76E3D1A6F9}"/>
  <bookViews>
    <workbookView xWindow="-120" yWindow="-120" windowWidth="29040" windowHeight="15720" activeTab="3" xr2:uid="{DBCF1B91-B46C-4C59-9AFD-49A03B483137}"/>
  </bookViews>
  <sheets>
    <sheet name="NEW_METRICS" sheetId="12" r:id="rId1"/>
    <sheet name="Competitor assesment" sheetId="16" r:id="rId2"/>
    <sheet name="CR-TR interactions" sheetId="13" r:id="rId3"/>
    <sheet name="Technical Assesment and ranges" sheetId="17" r:id="rId4"/>
    <sheet name="Tech Req" sheetId="14" r:id="rId5"/>
    <sheet name="TR-TR" sheetId="15" r:id="rId6"/>
    <sheet name="Metrics_Voting" sheetId="1" r:id="rId7"/>
    <sheet name="Customer_Requirements" sheetId="3" r:id="rId8"/>
    <sheet name="Pretty_CR" sheetId="11" r:id="rId9"/>
    <sheet name="Technical_Requirements" sheetId="2" r:id="rId10"/>
    <sheet name="CR-TR_Interactions" sheetId="4" r:id="rId11"/>
    <sheet name="TR-TR_interaction" sheetId="5" r:id="rId12"/>
    <sheet name="CR-TR_Importance" sheetId="7" r:id="rId13"/>
    <sheet name="Technical_Targets" sheetId="6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7" l="1"/>
  <c r="G24" i="13" a="1"/>
  <c r="G24" i="13" s="1"/>
  <c r="H24" i="13" a="1"/>
  <c r="H24" i="13" s="1"/>
  <c r="I24" i="13" a="1"/>
  <c r="I24" i="13" s="1"/>
  <c r="J24" i="13" a="1"/>
  <c r="J24" i="13" s="1"/>
  <c r="K24" i="13" a="1"/>
  <c r="K24" i="13" s="1"/>
  <c r="L24" i="13" a="1"/>
  <c r="L24" i="13" s="1"/>
  <c r="M24" i="13" a="1"/>
  <c r="M24" i="13" s="1"/>
  <c r="N24" i="13" a="1"/>
  <c r="N24" i="13" s="1"/>
  <c r="O24" i="13" a="1"/>
  <c r="O24" i="13" s="1"/>
  <c r="P24" i="13" a="1"/>
  <c r="P24" i="13" s="1"/>
  <c r="Q24" i="13" a="1"/>
  <c r="Q24" i="13" s="1"/>
  <c r="R24" i="13" a="1"/>
  <c r="R24" i="13" s="1"/>
  <c r="S24" i="13" a="1"/>
  <c r="S24" i="13" s="1"/>
  <c r="T24" i="13" a="1"/>
  <c r="T24" i="13" s="1"/>
  <c r="U24" i="13" a="1"/>
  <c r="U24" i="13" s="1"/>
  <c r="V24" i="13" a="1"/>
  <c r="V24" i="13" s="1"/>
  <c r="W24" i="13" a="1"/>
  <c r="W24" i="13" s="1"/>
  <c r="X24" i="13" a="1"/>
  <c r="X24" i="13" s="1"/>
  <c r="Y24" i="13" a="1"/>
  <c r="Y24" i="13" s="1"/>
  <c r="Z24" i="13" a="1"/>
  <c r="Z24" i="13" s="1"/>
  <c r="AA24" i="13" a="1"/>
  <c r="AA24" i="13" s="1"/>
  <c r="AB24" i="13" a="1"/>
  <c r="AB24" i="13" s="1"/>
  <c r="AC24" i="13" a="1"/>
  <c r="AC24" i="13" s="1"/>
  <c r="AD24" i="13" a="1"/>
  <c r="AD24" i="13" s="1"/>
  <c r="AE24" i="13" a="1"/>
  <c r="AE24" i="13" s="1"/>
  <c r="AF24" i="13" a="1"/>
  <c r="AF24" i="13" s="1"/>
  <c r="AG24" i="13" a="1"/>
  <c r="AG24" i="13" s="1"/>
  <c r="AH24" i="13" a="1"/>
  <c r="AH24" i="13" s="1"/>
  <c r="AI24" i="13" a="1"/>
  <c r="AI24" i="13" s="1"/>
  <c r="AJ24" i="13" a="1"/>
  <c r="AJ24" i="13" s="1"/>
  <c r="AK24" i="13" a="1"/>
  <c r="AK24" i="13" s="1"/>
  <c r="AL24" i="13" a="1"/>
  <c r="AL24" i="13" s="1"/>
  <c r="AM24" i="13" a="1"/>
  <c r="AM24" i="13" s="1"/>
  <c r="AN24" i="13" a="1"/>
  <c r="AN24" i="13" s="1"/>
  <c r="AO24" i="13" a="1"/>
  <c r="AO24" i="13" s="1"/>
  <c r="AP24" i="13" a="1"/>
  <c r="AP24" i="13" s="1"/>
  <c r="D24" i="13" a="1"/>
  <c r="D24" i="13" s="1"/>
  <c r="E24" i="13" a="1"/>
  <c r="E24" i="13" s="1"/>
  <c r="F24" i="13" a="1"/>
  <c r="F24" i="13" s="1"/>
  <c r="C24" i="13" a="1"/>
  <c r="C24" i="13" s="1"/>
  <c r="AO26" i="13" l="1"/>
  <c r="X26" i="13"/>
  <c r="AG25" i="13"/>
  <c r="AF26" i="13"/>
  <c r="E26" i="13"/>
  <c r="AH25" i="13"/>
  <c r="AP25" i="13"/>
  <c r="W26" i="13"/>
  <c r="D26" i="13"/>
  <c r="K25" i="13"/>
  <c r="AA26" i="13"/>
  <c r="V25" i="13"/>
  <c r="P26" i="13"/>
  <c r="F26" i="13"/>
  <c r="G26" i="13"/>
  <c r="O26" i="13"/>
  <c r="AM26" i="13"/>
  <c r="L26" i="13"/>
  <c r="L25" i="13"/>
  <c r="J25" i="13"/>
  <c r="AE25" i="13"/>
  <c r="I25" i="13"/>
  <c r="R25" i="13"/>
  <c r="S25" i="13"/>
  <c r="Q26" i="13"/>
  <c r="H26" i="13"/>
  <c r="M25" i="13"/>
  <c r="M26" i="13"/>
  <c r="AN25" i="13"/>
  <c r="T26" i="13"/>
  <c r="T25" i="13"/>
  <c r="C25" i="13"/>
  <c r="AJ25" i="13"/>
  <c r="AJ26" i="13"/>
  <c r="Z26" i="13"/>
  <c r="P25" i="13"/>
  <c r="G25" i="13"/>
  <c r="U25" i="13"/>
  <c r="U26" i="13"/>
  <c r="AD25" i="13"/>
  <c r="AC26" i="13"/>
  <c r="AC25" i="13"/>
  <c r="AB25" i="13"/>
  <c r="AB26" i="13"/>
  <c r="AK25" i="13"/>
  <c r="AK26" i="13"/>
  <c r="F25" i="13"/>
  <c r="AI25" i="13"/>
  <c r="Y25" i="13"/>
  <c r="Y26" i="13"/>
  <c r="AE26" i="13"/>
  <c r="AL26" i="13"/>
  <c r="AF25" i="13"/>
  <c r="H25" i="13"/>
  <c r="AI26" i="13"/>
  <c r="K26" i="13"/>
  <c r="AH26" i="13"/>
  <c r="V26" i="13"/>
  <c r="J26" i="13"/>
  <c r="AO25" i="13"/>
  <c r="Q25" i="13"/>
  <c r="E25" i="13"/>
  <c r="AG26" i="13"/>
  <c r="I26" i="13"/>
  <c r="AA25" i="13"/>
  <c r="O25" i="13"/>
  <c r="X25" i="13"/>
  <c r="AN26" i="13"/>
  <c r="W25" i="13"/>
  <c r="N26" i="13"/>
  <c r="D25" i="13"/>
  <c r="AM25" i="13"/>
  <c r="C26" i="13"/>
  <c r="S26" i="13"/>
  <c r="AL25" i="13"/>
  <c r="Z25" i="13"/>
  <c r="N25" i="13"/>
  <c r="AP26" i="13"/>
  <c r="AD26" i="13"/>
  <c r="R26" i="13"/>
  <c r="B2" i="7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2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B1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A85" i="7"/>
  <c r="A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C8" i="1"/>
  <c r="F56" i="7" s="1"/>
  <c r="C9" i="1"/>
  <c r="G60" i="7" s="1"/>
  <c r="C12" i="1"/>
  <c r="I60" i="7" s="1"/>
  <c r="C13" i="1"/>
  <c r="J45" i="7" s="1"/>
  <c r="C16" i="1"/>
  <c r="L62" i="7" s="1"/>
  <c r="C17" i="1"/>
  <c r="M6" i="7" s="1"/>
  <c r="C20" i="1"/>
  <c r="O63" i="7" s="1"/>
  <c r="C21" i="1"/>
  <c r="P35" i="7" s="1"/>
  <c r="C24" i="1"/>
  <c r="R72" i="7" s="1"/>
  <c r="C25" i="1"/>
  <c r="S31" i="7" s="1"/>
  <c r="C28" i="1"/>
  <c r="U60" i="7" s="1"/>
  <c r="C29" i="1"/>
  <c r="V32" i="7" s="1"/>
  <c r="C27" i="1"/>
  <c r="T11" i="7" s="1"/>
  <c r="C23" i="1"/>
  <c r="Q42" i="7" s="1"/>
  <c r="C19" i="1"/>
  <c r="N40" i="7" s="1"/>
  <c r="C15" i="1"/>
  <c r="K72" i="7" s="1"/>
  <c r="C11" i="1"/>
  <c r="H15" i="7" s="1"/>
  <c r="C7" i="1"/>
  <c r="E57" i="7" s="1"/>
  <c r="C4" i="1"/>
  <c r="C51" i="7" s="1"/>
  <c r="C5" i="1"/>
  <c r="D76" i="7" s="1"/>
  <c r="C3" i="1"/>
  <c r="B79" i="7" s="1"/>
  <c r="U68" i="7" l="1"/>
  <c r="U53" i="7"/>
  <c r="P79" i="7"/>
  <c r="P63" i="7"/>
  <c r="O62" i="7"/>
  <c r="M67" i="7"/>
  <c r="G83" i="7"/>
  <c r="V64" i="7"/>
  <c r="V80" i="7"/>
  <c r="V56" i="7"/>
  <c r="V53" i="7"/>
  <c r="V40" i="7"/>
  <c r="U51" i="7"/>
  <c r="U77" i="7"/>
  <c r="U61" i="7"/>
  <c r="U59" i="7"/>
  <c r="U72" i="7"/>
  <c r="U57" i="7"/>
  <c r="U73" i="7"/>
  <c r="U71" i="7"/>
  <c r="U75" i="7"/>
  <c r="U84" i="7"/>
  <c r="U55" i="7"/>
  <c r="U83" i="7"/>
  <c r="U67" i="7"/>
  <c r="U47" i="7"/>
  <c r="U81" i="7"/>
  <c r="U65" i="7"/>
  <c r="U80" i="7"/>
  <c r="U64" i="7"/>
  <c r="T70" i="7"/>
  <c r="T74" i="7"/>
  <c r="T81" i="7"/>
  <c r="T63" i="7"/>
  <c r="T55" i="7"/>
  <c r="T54" i="7"/>
  <c r="T62" i="7"/>
  <c r="T79" i="7"/>
  <c r="T69" i="7"/>
  <c r="T78" i="7"/>
  <c r="T61" i="7"/>
  <c r="T49" i="7"/>
  <c r="T85" i="7"/>
  <c r="T67" i="7"/>
  <c r="T77" i="7"/>
  <c r="T59" i="7"/>
  <c r="T47" i="7"/>
  <c r="T41" i="7"/>
  <c r="T83" i="7"/>
  <c r="T75" i="7"/>
  <c r="T65" i="7"/>
  <c r="T57" i="7"/>
  <c r="T31" i="7"/>
  <c r="S71" i="7"/>
  <c r="R68" i="7"/>
  <c r="R84" i="7"/>
  <c r="R58" i="7"/>
  <c r="Q81" i="7"/>
  <c r="Q85" i="7"/>
  <c r="Q65" i="7"/>
  <c r="Q48" i="7"/>
  <c r="Q84" i="7"/>
  <c r="Q58" i="7"/>
  <c r="Q66" i="7"/>
  <c r="Q60" i="7"/>
  <c r="Q70" i="7"/>
  <c r="Q76" i="7"/>
  <c r="Q34" i="7"/>
  <c r="Q68" i="7"/>
  <c r="Q82" i="7"/>
  <c r="Q18" i="7"/>
  <c r="P78" i="7"/>
  <c r="P83" i="7"/>
  <c r="P60" i="7"/>
  <c r="P64" i="7"/>
  <c r="P76" i="7"/>
  <c r="P80" i="7"/>
  <c r="P67" i="7"/>
  <c r="P62" i="7"/>
  <c r="O65" i="7"/>
  <c r="O59" i="7"/>
  <c r="O73" i="7"/>
  <c r="O75" i="7"/>
  <c r="O78" i="7"/>
  <c r="O81" i="7"/>
  <c r="O70" i="7"/>
  <c r="N73" i="7"/>
  <c r="N59" i="7"/>
  <c r="N67" i="7"/>
  <c r="N72" i="7"/>
  <c r="N77" i="7"/>
  <c r="N75" i="7"/>
  <c r="N61" i="7"/>
  <c r="N83" i="7"/>
  <c r="M78" i="7"/>
  <c r="M18" i="7"/>
  <c r="M81" i="7"/>
  <c r="M65" i="7"/>
  <c r="M57" i="7"/>
  <c r="M45" i="7"/>
  <c r="M83" i="7"/>
  <c r="M71" i="7"/>
  <c r="M38" i="7"/>
  <c r="M75" i="7"/>
  <c r="M54" i="7"/>
  <c r="M74" i="7"/>
  <c r="M59" i="7"/>
  <c r="M30" i="7"/>
  <c r="M70" i="7"/>
  <c r="M10" i="7"/>
  <c r="M85" i="7"/>
  <c r="M62" i="7"/>
  <c r="M69" i="7"/>
  <c r="M73" i="7"/>
  <c r="K47" i="7"/>
  <c r="K79" i="7"/>
  <c r="K63" i="7"/>
  <c r="J60" i="7"/>
  <c r="J76" i="7"/>
  <c r="I84" i="7"/>
  <c r="I73" i="7"/>
  <c r="I79" i="7"/>
  <c r="I63" i="7"/>
  <c r="I76" i="7"/>
  <c r="I68" i="7"/>
  <c r="I71" i="7"/>
  <c r="G67" i="7"/>
  <c r="G56" i="7"/>
  <c r="G72" i="7"/>
  <c r="G84" i="7"/>
  <c r="G81" i="7"/>
  <c r="G68" i="7"/>
  <c r="G69" i="7"/>
  <c r="G65" i="7"/>
  <c r="G85" i="7"/>
  <c r="F76" i="7"/>
  <c r="F84" i="7"/>
  <c r="F70" i="7"/>
  <c r="F62" i="7"/>
  <c r="F78" i="7"/>
  <c r="F64" i="7"/>
  <c r="F54" i="7"/>
  <c r="F67" i="7"/>
  <c r="F59" i="7"/>
  <c r="F75" i="7"/>
  <c r="F80" i="7"/>
  <c r="F58" i="7"/>
  <c r="F83" i="7"/>
  <c r="F74" i="7"/>
  <c r="F71" i="7"/>
  <c r="F60" i="7"/>
  <c r="F50" i="7"/>
  <c r="F68" i="7"/>
  <c r="E46" i="7"/>
  <c r="E62" i="7"/>
  <c r="E81" i="7"/>
  <c r="E49" i="7"/>
  <c r="E66" i="7"/>
  <c r="E64" i="7"/>
  <c r="E56" i="7"/>
  <c r="E34" i="7"/>
  <c r="E78" i="7"/>
  <c r="E73" i="7"/>
  <c r="E61" i="7"/>
  <c r="E30" i="7"/>
  <c r="E82" i="7"/>
  <c r="E80" i="7"/>
  <c r="E58" i="7"/>
  <c r="E47" i="7"/>
  <c r="E22" i="7"/>
  <c r="E68" i="7"/>
  <c r="E77" i="7"/>
  <c r="E72" i="7"/>
  <c r="E84" i="7"/>
  <c r="E65" i="7"/>
  <c r="E44" i="7"/>
  <c r="E70" i="7"/>
  <c r="D75" i="7"/>
  <c r="D79" i="7"/>
  <c r="D72" i="7"/>
  <c r="D74" i="7"/>
  <c r="D7" i="7"/>
  <c r="C71" i="7"/>
  <c r="C77" i="7"/>
  <c r="C66" i="7"/>
  <c r="C74" i="7"/>
  <c r="C61" i="7"/>
  <c r="C82" i="7"/>
  <c r="C85" i="7"/>
  <c r="C69" i="7"/>
  <c r="B52" i="7"/>
  <c r="B25" i="7"/>
  <c r="B68" i="7"/>
  <c r="B13" i="7"/>
  <c r="B53" i="7"/>
  <c r="B50" i="7"/>
  <c r="B55" i="7"/>
  <c r="B84" i="7"/>
  <c r="R79" i="7"/>
  <c r="L77" i="7"/>
  <c r="V81" i="7"/>
  <c r="J61" i="7"/>
  <c r="D6" i="7"/>
  <c r="D10" i="7"/>
  <c r="D14" i="7"/>
  <c r="D18" i="7"/>
  <c r="D22" i="7"/>
  <c r="D26" i="7"/>
  <c r="D30" i="7"/>
  <c r="D5" i="7"/>
  <c r="D9" i="7"/>
  <c r="D13" i="7"/>
  <c r="D17" i="7"/>
  <c r="D21" i="7"/>
  <c r="D25" i="7"/>
  <c r="D29" i="7"/>
  <c r="D33" i="7"/>
  <c r="D37" i="7"/>
  <c r="D41" i="7"/>
  <c r="D45" i="7"/>
  <c r="D49" i="7"/>
  <c r="C4" i="3"/>
  <c r="D4" i="7"/>
  <c r="D8" i="7"/>
  <c r="D12" i="7"/>
  <c r="D16" i="7"/>
  <c r="D20" i="7"/>
  <c r="D24" i="7"/>
  <c r="D28" i="7"/>
  <c r="D32" i="7"/>
  <c r="D36" i="7"/>
  <c r="D40" i="7"/>
  <c r="D44" i="7"/>
  <c r="D43" i="7"/>
  <c r="D46" i="7"/>
  <c r="D47" i="7"/>
  <c r="D53" i="7"/>
  <c r="D57" i="7"/>
  <c r="D61" i="7"/>
  <c r="D65" i="7"/>
  <c r="D69" i="7"/>
  <c r="D73" i="7"/>
  <c r="D77" i="7"/>
  <c r="D81" i="7"/>
  <c r="D85" i="7"/>
  <c r="D38" i="7"/>
  <c r="D11" i="7"/>
  <c r="D52" i="7"/>
  <c r="D56" i="7"/>
  <c r="D19" i="7"/>
  <c r="P82" i="7"/>
  <c r="C2" i="7"/>
  <c r="C6" i="7"/>
  <c r="C10" i="7"/>
  <c r="C14" i="7"/>
  <c r="C18" i="7"/>
  <c r="C22" i="7"/>
  <c r="C26" i="7"/>
  <c r="C30" i="7"/>
  <c r="C34" i="7"/>
  <c r="C38" i="7"/>
  <c r="C42" i="7"/>
  <c r="C46" i="7"/>
  <c r="C5" i="7"/>
  <c r="C9" i="7"/>
  <c r="C13" i="7"/>
  <c r="C17" i="7"/>
  <c r="C21" i="7"/>
  <c r="C25" i="7"/>
  <c r="C29" i="7"/>
  <c r="C33" i="7"/>
  <c r="C37" i="7"/>
  <c r="C41" i="7"/>
  <c r="C45" i="7"/>
  <c r="C3" i="3"/>
  <c r="C4" i="7"/>
  <c r="C8" i="7"/>
  <c r="C12" i="7"/>
  <c r="C16" i="7"/>
  <c r="C20" i="7"/>
  <c r="C24" i="7"/>
  <c r="C28" i="7"/>
  <c r="C32" i="7"/>
  <c r="C36" i="7"/>
  <c r="C40" i="7"/>
  <c r="C44" i="7"/>
  <c r="C48" i="7"/>
  <c r="C3" i="7"/>
  <c r="C7" i="7"/>
  <c r="C11" i="7"/>
  <c r="C15" i="7"/>
  <c r="C19" i="7"/>
  <c r="C23" i="7"/>
  <c r="C27" i="7"/>
  <c r="C31" i="7"/>
  <c r="C35" i="7"/>
  <c r="C39" i="7"/>
  <c r="C43" i="7"/>
  <c r="C47" i="7"/>
  <c r="C54" i="7"/>
  <c r="C58" i="7"/>
  <c r="C52" i="7"/>
  <c r="C56" i="7"/>
  <c r="C60" i="7"/>
  <c r="C64" i="7"/>
  <c r="C68" i="7"/>
  <c r="C72" i="7"/>
  <c r="C76" i="7"/>
  <c r="C80" i="7"/>
  <c r="C84" i="7"/>
  <c r="I83" i="7"/>
  <c r="O82" i="7"/>
  <c r="C81" i="7"/>
  <c r="N79" i="7"/>
  <c r="R78" i="7"/>
  <c r="H77" i="7"/>
  <c r="R75" i="7"/>
  <c r="L73" i="7"/>
  <c r="K70" i="7"/>
  <c r="I67" i="7"/>
  <c r="C65" i="7"/>
  <c r="R62" i="7"/>
  <c r="C57" i="7"/>
  <c r="E2" i="7"/>
  <c r="E3" i="7"/>
  <c r="E7" i="7"/>
  <c r="E11" i="7"/>
  <c r="E15" i="7"/>
  <c r="E19" i="7"/>
  <c r="E23" i="7"/>
  <c r="E27" i="7"/>
  <c r="E31" i="7"/>
  <c r="E35" i="7"/>
  <c r="E39" i="7"/>
  <c r="E43" i="7"/>
  <c r="E5" i="7"/>
  <c r="E9" i="7"/>
  <c r="E13" i="7"/>
  <c r="E17" i="7"/>
  <c r="E21" i="7"/>
  <c r="E25" i="7"/>
  <c r="E29" i="7"/>
  <c r="E33" i="7"/>
  <c r="E37" i="7"/>
  <c r="C5" i="3"/>
  <c r="E4" i="7"/>
  <c r="E8" i="7"/>
  <c r="E12" i="7"/>
  <c r="E16" i="7"/>
  <c r="E20" i="7"/>
  <c r="E24" i="7"/>
  <c r="E28" i="7"/>
  <c r="E32" i="7"/>
  <c r="E36" i="7"/>
  <c r="E26" i="7"/>
  <c r="E10" i="7"/>
  <c r="E42" i="7"/>
  <c r="E50" i="7"/>
  <c r="E14" i="7"/>
  <c r="E45" i="7"/>
  <c r="E48" i="7"/>
  <c r="E38" i="7"/>
  <c r="E41" i="7"/>
  <c r="E51" i="7"/>
  <c r="E55" i="7"/>
  <c r="E59" i="7"/>
  <c r="E63" i="7"/>
  <c r="E67" i="7"/>
  <c r="E71" i="7"/>
  <c r="E75" i="7"/>
  <c r="E79" i="7"/>
  <c r="E83" i="7"/>
  <c r="M2" i="7"/>
  <c r="M5" i="7"/>
  <c r="M9" i="7"/>
  <c r="M13" i="7"/>
  <c r="M17" i="7"/>
  <c r="M21" i="7"/>
  <c r="M25" i="7"/>
  <c r="M29" i="7"/>
  <c r="M4" i="7"/>
  <c r="M8" i="7"/>
  <c r="M12" i="7"/>
  <c r="M16" i="7"/>
  <c r="M20" i="7"/>
  <c r="M24" i="7"/>
  <c r="M28" i="7"/>
  <c r="M32" i="7"/>
  <c r="M36" i="7"/>
  <c r="M40" i="7"/>
  <c r="M44" i="7"/>
  <c r="M48" i="7"/>
  <c r="M3" i="7"/>
  <c r="M7" i="7"/>
  <c r="M11" i="7"/>
  <c r="M15" i="7"/>
  <c r="M19" i="7"/>
  <c r="M23" i="7"/>
  <c r="M27" i="7"/>
  <c r="M31" i="7"/>
  <c r="M35" i="7"/>
  <c r="M39" i="7"/>
  <c r="M43" i="7"/>
  <c r="C13" i="3"/>
  <c r="M52" i="7"/>
  <c r="M56" i="7"/>
  <c r="M60" i="7"/>
  <c r="M64" i="7"/>
  <c r="M68" i="7"/>
  <c r="M72" i="7"/>
  <c r="M76" i="7"/>
  <c r="M80" i="7"/>
  <c r="M84" i="7"/>
  <c r="M33" i="7"/>
  <c r="M14" i="7"/>
  <c r="M42" i="7"/>
  <c r="M51" i="7"/>
  <c r="M55" i="7"/>
  <c r="M22" i="7"/>
  <c r="M34" i="7"/>
  <c r="N85" i="7"/>
  <c r="S84" i="7"/>
  <c r="D84" i="7"/>
  <c r="H83" i="7"/>
  <c r="M82" i="7"/>
  <c r="S81" i="7"/>
  <c r="B81" i="7"/>
  <c r="G80" i="7"/>
  <c r="M79" i="7"/>
  <c r="Q78" i="7"/>
  <c r="V77" i="7"/>
  <c r="G77" i="7"/>
  <c r="K76" i="7"/>
  <c r="P75" i="7"/>
  <c r="V74" i="7"/>
  <c r="E74" i="7"/>
  <c r="J73" i="7"/>
  <c r="P72" i="7"/>
  <c r="T71" i="7"/>
  <c r="D71" i="7"/>
  <c r="J70" i="7"/>
  <c r="N69" i="7"/>
  <c r="S68" i="7"/>
  <c r="D68" i="7"/>
  <c r="H67" i="7"/>
  <c r="M66" i="7"/>
  <c r="S65" i="7"/>
  <c r="B65" i="7"/>
  <c r="G64" i="7"/>
  <c r="M63" i="7"/>
  <c r="Q62" i="7"/>
  <c r="V61" i="7"/>
  <c r="G61" i="7"/>
  <c r="K60" i="7"/>
  <c r="P59" i="7"/>
  <c r="T58" i="7"/>
  <c r="V57" i="7"/>
  <c r="B57" i="7"/>
  <c r="B56" i="7"/>
  <c r="C55" i="7"/>
  <c r="D54" i="7"/>
  <c r="C53" i="7"/>
  <c r="E52" i="7"/>
  <c r="D51" i="7"/>
  <c r="C50" i="7"/>
  <c r="T48" i="7"/>
  <c r="M47" i="7"/>
  <c r="S45" i="7"/>
  <c r="K43" i="7"/>
  <c r="H41" i="7"/>
  <c r="P38" i="7"/>
  <c r="D35" i="7"/>
  <c r="D31" i="7"/>
  <c r="J25" i="7"/>
  <c r="P19" i="7"/>
  <c r="J13" i="7"/>
  <c r="T7" i="7"/>
  <c r="H70" i="7"/>
  <c r="R71" i="7"/>
  <c r="K66" i="7"/>
  <c r="V52" i="7"/>
  <c r="B51" i="7"/>
  <c r="P48" i="7"/>
  <c r="G43" i="7"/>
  <c r="Q40" i="7"/>
  <c r="K38" i="7"/>
  <c r="G24" i="7"/>
  <c r="S12" i="7"/>
  <c r="J2" i="7"/>
  <c r="C10" i="3"/>
  <c r="J4" i="7"/>
  <c r="J8" i="7"/>
  <c r="J12" i="7"/>
  <c r="J16" i="7"/>
  <c r="J20" i="7"/>
  <c r="J24" i="7"/>
  <c r="J28" i="7"/>
  <c r="J3" i="7"/>
  <c r="J7" i="7"/>
  <c r="J11" i="7"/>
  <c r="J15" i="7"/>
  <c r="J19" i="7"/>
  <c r="J23" i="7"/>
  <c r="J27" i="7"/>
  <c r="J31" i="7"/>
  <c r="J35" i="7"/>
  <c r="J39" i="7"/>
  <c r="J43" i="7"/>
  <c r="J47" i="7"/>
  <c r="J6" i="7"/>
  <c r="J10" i="7"/>
  <c r="J14" i="7"/>
  <c r="J18" i="7"/>
  <c r="J22" i="7"/>
  <c r="J26" i="7"/>
  <c r="J30" i="7"/>
  <c r="J34" i="7"/>
  <c r="J38" i="7"/>
  <c r="J42" i="7"/>
  <c r="J32" i="7"/>
  <c r="J40" i="7"/>
  <c r="J51" i="7"/>
  <c r="J55" i="7"/>
  <c r="J59" i="7"/>
  <c r="J63" i="7"/>
  <c r="J67" i="7"/>
  <c r="J71" i="7"/>
  <c r="J75" i="7"/>
  <c r="J79" i="7"/>
  <c r="J83" i="7"/>
  <c r="J21" i="7"/>
  <c r="J46" i="7"/>
  <c r="J50" i="7"/>
  <c r="J54" i="7"/>
  <c r="J58" i="7"/>
  <c r="J5" i="7"/>
  <c r="J29" i="7"/>
  <c r="J44" i="7"/>
  <c r="K82" i="7"/>
  <c r="H73" i="7"/>
  <c r="L69" i="7"/>
  <c r="I2" i="7"/>
  <c r="C9" i="3"/>
  <c r="I4" i="7"/>
  <c r="I8" i="7"/>
  <c r="I12" i="7"/>
  <c r="I16" i="7"/>
  <c r="I20" i="7"/>
  <c r="I24" i="7"/>
  <c r="I28" i="7"/>
  <c r="I32" i="7"/>
  <c r="I36" i="7"/>
  <c r="I40" i="7"/>
  <c r="I44" i="7"/>
  <c r="I3" i="7"/>
  <c r="I7" i="7"/>
  <c r="I11" i="7"/>
  <c r="I15" i="7"/>
  <c r="I19" i="7"/>
  <c r="I23" i="7"/>
  <c r="I27" i="7"/>
  <c r="I31" i="7"/>
  <c r="I35" i="7"/>
  <c r="I39" i="7"/>
  <c r="I43" i="7"/>
  <c r="I47" i="7"/>
  <c r="I6" i="7"/>
  <c r="I10" i="7"/>
  <c r="I14" i="7"/>
  <c r="I18" i="7"/>
  <c r="I22" i="7"/>
  <c r="I26" i="7"/>
  <c r="I30" i="7"/>
  <c r="I34" i="7"/>
  <c r="I38" i="7"/>
  <c r="I42" i="7"/>
  <c r="I46" i="7"/>
  <c r="I50" i="7"/>
  <c r="I5" i="7"/>
  <c r="I9" i="7"/>
  <c r="I13" i="7"/>
  <c r="I17" i="7"/>
  <c r="I21" i="7"/>
  <c r="I25" i="7"/>
  <c r="I29" i="7"/>
  <c r="I33" i="7"/>
  <c r="I37" i="7"/>
  <c r="I41" i="7"/>
  <c r="I45" i="7"/>
  <c r="I52" i="7"/>
  <c r="I56" i="7"/>
  <c r="I54" i="7"/>
  <c r="I58" i="7"/>
  <c r="I62" i="7"/>
  <c r="I66" i="7"/>
  <c r="I70" i="7"/>
  <c r="I74" i="7"/>
  <c r="I78" i="7"/>
  <c r="I82" i="7"/>
  <c r="J85" i="7"/>
  <c r="P84" i="7"/>
  <c r="D83" i="7"/>
  <c r="J82" i="7"/>
  <c r="N81" i="7"/>
  <c r="S80" i="7"/>
  <c r="D80" i="7"/>
  <c r="H79" i="7"/>
  <c r="S77" i="7"/>
  <c r="B77" i="7"/>
  <c r="G76" i="7"/>
  <c r="Q74" i="7"/>
  <c r="V73" i="7"/>
  <c r="G73" i="7"/>
  <c r="P71" i="7"/>
  <c r="V70" i="7"/>
  <c r="J69" i="7"/>
  <c r="P68" i="7"/>
  <c r="D67" i="7"/>
  <c r="J66" i="7"/>
  <c r="N65" i="7"/>
  <c r="S64" i="7"/>
  <c r="D64" i="7"/>
  <c r="H63" i="7"/>
  <c r="S61" i="7"/>
  <c r="B61" i="7"/>
  <c r="P58" i="7"/>
  <c r="Q57" i="7"/>
  <c r="R56" i="7"/>
  <c r="S55" i="7"/>
  <c r="R54" i="7"/>
  <c r="T53" i="7"/>
  <c r="S52" i="7"/>
  <c r="T51" i="7"/>
  <c r="T50" i="7"/>
  <c r="S49" i="7"/>
  <c r="N48" i="7"/>
  <c r="B47" i="7"/>
  <c r="H45" i="7"/>
  <c r="T42" i="7"/>
  <c r="V37" i="7"/>
  <c r="D34" i="7"/>
  <c r="V29" i="7"/>
  <c r="P23" i="7"/>
  <c r="E18" i="7"/>
  <c r="E6" i="7"/>
  <c r="K2" i="7"/>
  <c r="K5" i="7"/>
  <c r="K9" i="7"/>
  <c r="K13" i="7"/>
  <c r="K17" i="7"/>
  <c r="K21" i="7"/>
  <c r="K25" i="7"/>
  <c r="K29" i="7"/>
  <c r="K33" i="7"/>
  <c r="K37" i="7"/>
  <c r="K41" i="7"/>
  <c r="K45" i="7"/>
  <c r="K3" i="7"/>
  <c r="K7" i="7"/>
  <c r="K11" i="7"/>
  <c r="K15" i="7"/>
  <c r="K19" i="7"/>
  <c r="K23" i="7"/>
  <c r="K27" i="7"/>
  <c r="K31" i="7"/>
  <c r="K35" i="7"/>
  <c r="K6" i="7"/>
  <c r="K10" i="7"/>
  <c r="K14" i="7"/>
  <c r="K18" i="7"/>
  <c r="K22" i="7"/>
  <c r="K26" i="7"/>
  <c r="K30" i="7"/>
  <c r="K34" i="7"/>
  <c r="K12" i="7"/>
  <c r="K44" i="7"/>
  <c r="K20" i="7"/>
  <c r="K39" i="7"/>
  <c r="K24" i="7"/>
  <c r="K42" i="7"/>
  <c r="K48" i="7"/>
  <c r="K53" i="7"/>
  <c r="K57" i="7"/>
  <c r="K61" i="7"/>
  <c r="K65" i="7"/>
  <c r="K69" i="7"/>
  <c r="K73" i="7"/>
  <c r="K77" i="7"/>
  <c r="K81" i="7"/>
  <c r="K85" i="7"/>
  <c r="L85" i="7"/>
  <c r="R74" i="7"/>
  <c r="B71" i="7"/>
  <c r="S56" i="7"/>
  <c r="G2" i="7"/>
  <c r="G3" i="7"/>
  <c r="G7" i="7"/>
  <c r="G11" i="7"/>
  <c r="G15" i="7"/>
  <c r="G19" i="7"/>
  <c r="G23" i="7"/>
  <c r="G27" i="7"/>
  <c r="G6" i="7"/>
  <c r="G10" i="7"/>
  <c r="G14" i="7"/>
  <c r="G18" i="7"/>
  <c r="G22" i="7"/>
  <c r="G26" i="7"/>
  <c r="G30" i="7"/>
  <c r="G34" i="7"/>
  <c r="G38" i="7"/>
  <c r="G42" i="7"/>
  <c r="G46" i="7"/>
  <c r="G50" i="7"/>
  <c r="G5" i="7"/>
  <c r="G9" i="7"/>
  <c r="G13" i="7"/>
  <c r="G17" i="7"/>
  <c r="G21" i="7"/>
  <c r="G25" i="7"/>
  <c r="G29" i="7"/>
  <c r="G33" i="7"/>
  <c r="G37" i="7"/>
  <c r="G41" i="7"/>
  <c r="G54" i="7"/>
  <c r="G58" i="7"/>
  <c r="G62" i="7"/>
  <c r="G66" i="7"/>
  <c r="G70" i="7"/>
  <c r="G74" i="7"/>
  <c r="G78" i="7"/>
  <c r="G82" i="7"/>
  <c r="G31" i="7"/>
  <c r="G47" i="7"/>
  <c r="G4" i="7"/>
  <c r="G28" i="7"/>
  <c r="G45" i="7"/>
  <c r="G48" i="7"/>
  <c r="G53" i="7"/>
  <c r="G57" i="7"/>
  <c r="G12" i="7"/>
  <c r="G32" i="7"/>
  <c r="G40" i="7"/>
  <c r="G49" i="7"/>
  <c r="I85" i="7"/>
  <c r="C83" i="7"/>
  <c r="B80" i="7"/>
  <c r="L78" i="7"/>
  <c r="V76" i="7"/>
  <c r="K75" i="7"/>
  <c r="J72" i="7"/>
  <c r="I69" i="7"/>
  <c r="S67" i="7"/>
  <c r="C67" i="7"/>
  <c r="H66" i="7"/>
  <c r="R64" i="7"/>
  <c r="B64" i="7"/>
  <c r="G63" i="7"/>
  <c r="Q61" i="7"/>
  <c r="V60" i="7"/>
  <c r="O58" i="7"/>
  <c r="O57" i="7"/>
  <c r="Q56" i="7"/>
  <c r="P55" i="7"/>
  <c r="Q54" i="7"/>
  <c r="Q53" i="7"/>
  <c r="R52" i="7"/>
  <c r="S51" i="7"/>
  <c r="R50" i="7"/>
  <c r="Q49" i="7"/>
  <c r="J48" i="7"/>
  <c r="V46" i="7"/>
  <c r="B45" i="7"/>
  <c r="K40" i="7"/>
  <c r="M37" i="7"/>
  <c r="V33" i="7"/>
  <c r="B29" i="7"/>
  <c r="H23" i="7"/>
  <c r="J17" i="7"/>
  <c r="P11" i="7"/>
  <c r="V5" i="7"/>
  <c r="L5" i="7"/>
  <c r="L9" i="7"/>
  <c r="L13" i="7"/>
  <c r="L17" i="7"/>
  <c r="L21" i="7"/>
  <c r="L25" i="7"/>
  <c r="L29" i="7"/>
  <c r="L33" i="7"/>
  <c r="L37" i="7"/>
  <c r="L41" i="7"/>
  <c r="L45" i="7"/>
  <c r="L4" i="7"/>
  <c r="L8" i="7"/>
  <c r="L12" i="7"/>
  <c r="L16" i="7"/>
  <c r="L20" i="7"/>
  <c r="L24" i="7"/>
  <c r="L28" i="7"/>
  <c r="L32" i="7"/>
  <c r="L36" i="7"/>
  <c r="L40" i="7"/>
  <c r="L44" i="7"/>
  <c r="L3" i="7"/>
  <c r="L7" i="7"/>
  <c r="L11" i="7"/>
  <c r="L15" i="7"/>
  <c r="L19" i="7"/>
  <c r="L23" i="7"/>
  <c r="L27" i="7"/>
  <c r="L31" i="7"/>
  <c r="L35" i="7"/>
  <c r="L39" i="7"/>
  <c r="L43" i="7"/>
  <c r="L47" i="7"/>
  <c r="C12" i="3"/>
  <c r="L6" i="7"/>
  <c r="L10" i="7"/>
  <c r="L14" i="7"/>
  <c r="L18" i="7"/>
  <c r="L22" i="7"/>
  <c r="L26" i="7"/>
  <c r="L30" i="7"/>
  <c r="L34" i="7"/>
  <c r="L38" i="7"/>
  <c r="L42" i="7"/>
  <c r="L46" i="7"/>
  <c r="L48" i="7"/>
  <c r="L53" i="7"/>
  <c r="L57" i="7"/>
  <c r="L49" i="7"/>
  <c r="L51" i="7"/>
  <c r="L55" i="7"/>
  <c r="L59" i="7"/>
  <c r="L63" i="7"/>
  <c r="L67" i="7"/>
  <c r="L71" i="7"/>
  <c r="L75" i="7"/>
  <c r="L79" i="7"/>
  <c r="L83" i="7"/>
  <c r="L66" i="7"/>
  <c r="L72" i="7"/>
  <c r="N2" i="7"/>
  <c r="N6" i="7"/>
  <c r="N10" i="7"/>
  <c r="N14" i="7"/>
  <c r="N18" i="7"/>
  <c r="N22" i="7"/>
  <c r="N26" i="7"/>
  <c r="N30" i="7"/>
  <c r="N34" i="7"/>
  <c r="N38" i="7"/>
  <c r="N42" i="7"/>
  <c r="N4" i="7"/>
  <c r="N8" i="7"/>
  <c r="N12" i="7"/>
  <c r="N16" i="7"/>
  <c r="N20" i="7"/>
  <c r="N24" i="7"/>
  <c r="N28" i="7"/>
  <c r="N32" i="7"/>
  <c r="N36" i="7"/>
  <c r="C14" i="3"/>
  <c r="N3" i="7"/>
  <c r="N7" i="7"/>
  <c r="N11" i="7"/>
  <c r="N15" i="7"/>
  <c r="N19" i="7"/>
  <c r="N23" i="7"/>
  <c r="N27" i="7"/>
  <c r="N31" i="7"/>
  <c r="N35" i="7"/>
  <c r="N5" i="7"/>
  <c r="N29" i="7"/>
  <c r="N13" i="7"/>
  <c r="N37" i="7"/>
  <c r="N43" i="7"/>
  <c r="N17" i="7"/>
  <c r="N49" i="7"/>
  <c r="N33" i="7"/>
  <c r="N41" i="7"/>
  <c r="N45" i="7"/>
  <c r="N50" i="7"/>
  <c r="N54" i="7"/>
  <c r="N58" i="7"/>
  <c r="N62" i="7"/>
  <c r="N66" i="7"/>
  <c r="N70" i="7"/>
  <c r="N74" i="7"/>
  <c r="N78" i="7"/>
  <c r="N82" i="7"/>
  <c r="Q2" i="7"/>
  <c r="Q3" i="7"/>
  <c r="Q7" i="7"/>
  <c r="Q11" i="7"/>
  <c r="Q15" i="7"/>
  <c r="Q19" i="7"/>
  <c r="Q23" i="7"/>
  <c r="Q27" i="7"/>
  <c r="Q31" i="7"/>
  <c r="Q35" i="7"/>
  <c r="Q39" i="7"/>
  <c r="Q43" i="7"/>
  <c r="C17" i="3"/>
  <c r="Q5" i="7"/>
  <c r="Q9" i="7"/>
  <c r="Q13" i="7"/>
  <c r="Q17" i="7"/>
  <c r="Q21" i="7"/>
  <c r="Q25" i="7"/>
  <c r="Q29" i="7"/>
  <c r="Q33" i="7"/>
  <c r="Q37" i="7"/>
  <c r="Q4" i="7"/>
  <c r="Q8" i="7"/>
  <c r="Q12" i="7"/>
  <c r="Q16" i="7"/>
  <c r="Q20" i="7"/>
  <c r="Q24" i="7"/>
  <c r="Q28" i="7"/>
  <c r="Q32" i="7"/>
  <c r="Q36" i="7"/>
  <c r="Q22" i="7"/>
  <c r="Q41" i="7"/>
  <c r="Q45" i="7"/>
  <c r="Q46" i="7"/>
  <c r="Q47" i="7"/>
  <c r="Q6" i="7"/>
  <c r="Q30" i="7"/>
  <c r="Q10" i="7"/>
  <c r="Q38" i="7"/>
  <c r="Q51" i="7"/>
  <c r="Q55" i="7"/>
  <c r="Q59" i="7"/>
  <c r="Q63" i="7"/>
  <c r="Q67" i="7"/>
  <c r="Q71" i="7"/>
  <c r="Q75" i="7"/>
  <c r="Q79" i="7"/>
  <c r="Q83" i="7"/>
  <c r="D2" i="7"/>
  <c r="N84" i="7"/>
  <c r="S83" i="7"/>
  <c r="H82" i="7"/>
  <c r="R80" i="7"/>
  <c r="G79" i="7"/>
  <c r="Q77" i="7"/>
  <c r="P74" i="7"/>
  <c r="O71" i="7"/>
  <c r="D70" i="7"/>
  <c r="N68" i="7"/>
  <c r="K59" i="7"/>
  <c r="T2" i="7"/>
  <c r="T4" i="7"/>
  <c r="T8" i="7"/>
  <c r="T12" i="7"/>
  <c r="T16" i="7"/>
  <c r="T20" i="7"/>
  <c r="T24" i="7"/>
  <c r="T28" i="7"/>
  <c r="T32" i="7"/>
  <c r="T36" i="7"/>
  <c r="T40" i="7"/>
  <c r="T44" i="7"/>
  <c r="C20" i="3"/>
  <c r="T6" i="7"/>
  <c r="T10" i="7"/>
  <c r="T14" i="7"/>
  <c r="T18" i="7"/>
  <c r="T22" i="7"/>
  <c r="T26" i="7"/>
  <c r="T30" i="7"/>
  <c r="T34" i="7"/>
  <c r="T38" i="7"/>
  <c r="T5" i="7"/>
  <c r="T9" i="7"/>
  <c r="T13" i="7"/>
  <c r="T17" i="7"/>
  <c r="T21" i="7"/>
  <c r="T25" i="7"/>
  <c r="T29" i="7"/>
  <c r="T33" i="7"/>
  <c r="T37" i="7"/>
  <c r="T15" i="7"/>
  <c r="T23" i="7"/>
  <c r="T3" i="7"/>
  <c r="T27" i="7"/>
  <c r="T35" i="7"/>
  <c r="T43" i="7"/>
  <c r="T52" i="7"/>
  <c r="T56" i="7"/>
  <c r="T60" i="7"/>
  <c r="T64" i="7"/>
  <c r="T68" i="7"/>
  <c r="T72" i="7"/>
  <c r="T76" i="7"/>
  <c r="T80" i="7"/>
  <c r="T84" i="7"/>
  <c r="F2" i="7"/>
  <c r="F3" i="7"/>
  <c r="F7" i="7"/>
  <c r="F11" i="7"/>
  <c r="F15" i="7"/>
  <c r="F19" i="7"/>
  <c r="F23" i="7"/>
  <c r="F27" i="7"/>
  <c r="F31" i="7"/>
  <c r="F35" i="7"/>
  <c r="F39" i="7"/>
  <c r="F43" i="7"/>
  <c r="F47" i="7"/>
  <c r="C6" i="3"/>
  <c r="F6" i="7"/>
  <c r="F10" i="7"/>
  <c r="F14" i="7"/>
  <c r="F18" i="7"/>
  <c r="F22" i="7"/>
  <c r="F26" i="7"/>
  <c r="F30" i="7"/>
  <c r="F34" i="7"/>
  <c r="F38" i="7"/>
  <c r="F42" i="7"/>
  <c r="F46" i="7"/>
  <c r="F5" i="7"/>
  <c r="F9" i="7"/>
  <c r="F13" i="7"/>
  <c r="F17" i="7"/>
  <c r="F21" i="7"/>
  <c r="F25" i="7"/>
  <c r="F29" i="7"/>
  <c r="F33" i="7"/>
  <c r="F37" i="7"/>
  <c r="F41" i="7"/>
  <c r="F45" i="7"/>
  <c r="F49" i="7"/>
  <c r="F4" i="7"/>
  <c r="F8" i="7"/>
  <c r="F12" i="7"/>
  <c r="F16" i="7"/>
  <c r="F20" i="7"/>
  <c r="F24" i="7"/>
  <c r="F28" i="7"/>
  <c r="F32" i="7"/>
  <c r="F36" i="7"/>
  <c r="F40" i="7"/>
  <c r="F44" i="7"/>
  <c r="F48" i="7"/>
  <c r="F51" i="7"/>
  <c r="F55" i="7"/>
  <c r="F53" i="7"/>
  <c r="F57" i="7"/>
  <c r="F61" i="7"/>
  <c r="F65" i="7"/>
  <c r="F69" i="7"/>
  <c r="F73" i="7"/>
  <c r="F77" i="7"/>
  <c r="F81" i="7"/>
  <c r="F85" i="7"/>
  <c r="L2" i="7"/>
  <c r="H85" i="7"/>
  <c r="L84" i="7"/>
  <c r="R83" i="7"/>
  <c r="B83" i="7"/>
  <c r="F82" i="7"/>
  <c r="L81" i="7"/>
  <c r="Q80" i="7"/>
  <c r="U79" i="7"/>
  <c r="F79" i="7"/>
  <c r="K78" i="7"/>
  <c r="O77" i="7"/>
  <c r="U76" i="7"/>
  <c r="E76" i="7"/>
  <c r="I75" i="7"/>
  <c r="O74" i="7"/>
  <c r="T73" i="7"/>
  <c r="C73" i="7"/>
  <c r="I72" i="7"/>
  <c r="N71" i="7"/>
  <c r="R70" i="7"/>
  <c r="C70" i="7"/>
  <c r="H69" i="7"/>
  <c r="L68" i="7"/>
  <c r="R67" i="7"/>
  <c r="B67" i="7"/>
  <c r="F66" i="7"/>
  <c r="L65" i="7"/>
  <c r="Q64" i="7"/>
  <c r="U63" i="7"/>
  <c r="F63" i="7"/>
  <c r="K62" i="7"/>
  <c r="O61" i="7"/>
  <c r="E60" i="7"/>
  <c r="I59" i="7"/>
  <c r="M58" i="7"/>
  <c r="N57" i="7"/>
  <c r="N56" i="7"/>
  <c r="O55" i="7"/>
  <c r="P54" i="7"/>
  <c r="O53" i="7"/>
  <c r="Q52" i="7"/>
  <c r="P51" i="7"/>
  <c r="Q50" i="7"/>
  <c r="M49" i="7"/>
  <c r="I48" i="7"/>
  <c r="T46" i="7"/>
  <c r="S44" i="7"/>
  <c r="P42" i="7"/>
  <c r="E40" i="7"/>
  <c r="J37" i="7"/>
  <c r="J33" i="7"/>
  <c r="S28" i="7"/>
  <c r="D23" i="7"/>
  <c r="S16" i="7"/>
  <c r="H11" i="7"/>
  <c r="B5" i="7"/>
  <c r="V85" i="7"/>
  <c r="K84" i="7"/>
  <c r="V82" i="7"/>
  <c r="J81" i="7"/>
  <c r="J78" i="7"/>
  <c r="B73" i="7"/>
  <c r="V69" i="7"/>
  <c r="D63" i="7"/>
  <c r="D60" i="7"/>
  <c r="O51" i="7"/>
  <c r="K49" i="7"/>
  <c r="N46" i="7"/>
  <c r="H42" i="7"/>
  <c r="B40" i="7"/>
  <c r="K28" i="7"/>
  <c r="K16" i="7"/>
  <c r="H43" i="7"/>
  <c r="C22" i="3"/>
  <c r="V4" i="7"/>
  <c r="V8" i="7"/>
  <c r="V12" i="7"/>
  <c r="V16" i="7"/>
  <c r="V20" i="7"/>
  <c r="V24" i="7"/>
  <c r="V28" i="7"/>
  <c r="V3" i="7"/>
  <c r="V7" i="7"/>
  <c r="V11" i="7"/>
  <c r="V15" i="7"/>
  <c r="V19" i="7"/>
  <c r="V23" i="7"/>
  <c r="V27" i="7"/>
  <c r="V31" i="7"/>
  <c r="V35" i="7"/>
  <c r="V39" i="7"/>
  <c r="V43" i="7"/>
  <c r="V47" i="7"/>
  <c r="V6" i="7"/>
  <c r="V10" i="7"/>
  <c r="V14" i="7"/>
  <c r="V18" i="7"/>
  <c r="V22" i="7"/>
  <c r="V26" i="7"/>
  <c r="V30" i="7"/>
  <c r="V34" i="7"/>
  <c r="V38" i="7"/>
  <c r="V42" i="7"/>
  <c r="V36" i="7"/>
  <c r="V49" i="7"/>
  <c r="V44" i="7"/>
  <c r="V51" i="7"/>
  <c r="V55" i="7"/>
  <c r="V59" i="7"/>
  <c r="V63" i="7"/>
  <c r="V67" i="7"/>
  <c r="V71" i="7"/>
  <c r="V75" i="7"/>
  <c r="V79" i="7"/>
  <c r="V83" i="7"/>
  <c r="V17" i="7"/>
  <c r="V48" i="7"/>
  <c r="V50" i="7"/>
  <c r="V54" i="7"/>
  <c r="V58" i="7"/>
  <c r="V25" i="7"/>
  <c r="V2" i="7"/>
  <c r="S76" i="7"/>
  <c r="H75" i="7"/>
  <c r="S73" i="7"/>
  <c r="K68" i="7"/>
  <c r="V66" i="7"/>
  <c r="J65" i="7"/>
  <c r="J62" i="7"/>
  <c r="S60" i="7"/>
  <c r="H59" i="7"/>
  <c r="L58" i="7"/>
  <c r="L56" i="7"/>
  <c r="N55" i="7"/>
  <c r="N53" i="7"/>
  <c r="N52" i="7"/>
  <c r="P50" i="7"/>
  <c r="H48" i="7"/>
  <c r="Q44" i="7"/>
  <c r="B37" i="7"/>
  <c r="S4" i="7"/>
  <c r="U2" i="7"/>
  <c r="C21" i="3"/>
  <c r="U4" i="7"/>
  <c r="U8" i="7"/>
  <c r="U12" i="7"/>
  <c r="U16" i="7"/>
  <c r="U20" i="7"/>
  <c r="U24" i="7"/>
  <c r="U28" i="7"/>
  <c r="U32" i="7"/>
  <c r="U36" i="7"/>
  <c r="U40" i="7"/>
  <c r="U44" i="7"/>
  <c r="U3" i="7"/>
  <c r="U7" i="7"/>
  <c r="U11" i="7"/>
  <c r="U15" i="7"/>
  <c r="U19" i="7"/>
  <c r="U23" i="7"/>
  <c r="U27" i="7"/>
  <c r="U31" i="7"/>
  <c r="U35" i="7"/>
  <c r="U39" i="7"/>
  <c r="U43" i="7"/>
  <c r="U6" i="7"/>
  <c r="U10" i="7"/>
  <c r="U14" i="7"/>
  <c r="U18" i="7"/>
  <c r="U22" i="7"/>
  <c r="U26" i="7"/>
  <c r="U30" i="7"/>
  <c r="U34" i="7"/>
  <c r="U38" i="7"/>
  <c r="U42" i="7"/>
  <c r="U46" i="7"/>
  <c r="U5" i="7"/>
  <c r="U9" i="7"/>
  <c r="U13" i="7"/>
  <c r="U17" i="7"/>
  <c r="U21" i="7"/>
  <c r="U25" i="7"/>
  <c r="U29" i="7"/>
  <c r="U33" i="7"/>
  <c r="U37" i="7"/>
  <c r="U41" i="7"/>
  <c r="U45" i="7"/>
  <c r="U52" i="7"/>
  <c r="U56" i="7"/>
  <c r="U48" i="7"/>
  <c r="U50" i="7"/>
  <c r="U54" i="7"/>
  <c r="U58" i="7"/>
  <c r="U62" i="7"/>
  <c r="U66" i="7"/>
  <c r="U70" i="7"/>
  <c r="U74" i="7"/>
  <c r="U78" i="7"/>
  <c r="U82" i="7"/>
  <c r="U49" i="7"/>
  <c r="U85" i="7"/>
  <c r="E85" i="7"/>
  <c r="J84" i="7"/>
  <c r="O83" i="7"/>
  <c r="T82" i="7"/>
  <c r="D82" i="7"/>
  <c r="I81" i="7"/>
  <c r="N80" i="7"/>
  <c r="S79" i="7"/>
  <c r="C79" i="7"/>
  <c r="H78" i="7"/>
  <c r="M77" i="7"/>
  <c r="R76" i="7"/>
  <c r="B76" i="7"/>
  <c r="G75" i="7"/>
  <c r="L74" i="7"/>
  <c r="Q73" i="7"/>
  <c r="V72" i="7"/>
  <c r="F72" i="7"/>
  <c r="K71" i="7"/>
  <c r="P70" i="7"/>
  <c r="U69" i="7"/>
  <c r="E69" i="7"/>
  <c r="J68" i="7"/>
  <c r="O67" i="7"/>
  <c r="T66" i="7"/>
  <c r="D66" i="7"/>
  <c r="I65" i="7"/>
  <c r="N64" i="7"/>
  <c r="S63" i="7"/>
  <c r="C63" i="7"/>
  <c r="H62" i="7"/>
  <c r="M61" i="7"/>
  <c r="R60" i="7"/>
  <c r="B60" i="7"/>
  <c r="G59" i="7"/>
  <c r="K58" i="7"/>
  <c r="J57" i="7"/>
  <c r="K56" i="7"/>
  <c r="K55" i="7"/>
  <c r="L54" i="7"/>
  <c r="M53" i="7"/>
  <c r="L52" i="7"/>
  <c r="N51" i="7"/>
  <c r="M50" i="7"/>
  <c r="J49" i="7"/>
  <c r="D48" i="7"/>
  <c r="M46" i="7"/>
  <c r="N44" i="7"/>
  <c r="D42" i="7"/>
  <c r="T39" i="7"/>
  <c r="K36" i="7"/>
  <c r="S32" i="7"/>
  <c r="P27" i="7"/>
  <c r="V21" i="7"/>
  <c r="G16" i="7"/>
  <c r="V9" i="7"/>
  <c r="K4" i="7"/>
  <c r="R82" i="7"/>
  <c r="L80" i="7"/>
  <c r="K74" i="7"/>
  <c r="R66" i="7"/>
  <c r="H65" i="7"/>
  <c r="L64" i="7"/>
  <c r="R63" i="7"/>
  <c r="B63" i="7"/>
  <c r="L61" i="7"/>
  <c r="H58" i="7"/>
  <c r="I57" i="7"/>
  <c r="J56" i="7"/>
  <c r="I55" i="7"/>
  <c r="K54" i="7"/>
  <c r="J53" i="7"/>
  <c r="K52" i="7"/>
  <c r="K51" i="7"/>
  <c r="L50" i="7"/>
  <c r="I49" i="7"/>
  <c r="K46" i="7"/>
  <c r="G44" i="7"/>
  <c r="V41" i="7"/>
  <c r="N39" i="7"/>
  <c r="J36" i="7"/>
  <c r="K32" i="7"/>
  <c r="D27" i="7"/>
  <c r="N21" i="7"/>
  <c r="N9" i="7"/>
  <c r="P3" i="7"/>
  <c r="H2" i="7"/>
  <c r="H4" i="7"/>
  <c r="H8" i="7"/>
  <c r="H12" i="7"/>
  <c r="H16" i="7"/>
  <c r="H20" i="7"/>
  <c r="H24" i="7"/>
  <c r="H28" i="7"/>
  <c r="H32" i="7"/>
  <c r="H36" i="7"/>
  <c r="H40" i="7"/>
  <c r="H44" i="7"/>
  <c r="C8" i="3"/>
  <c r="H6" i="7"/>
  <c r="H10" i="7"/>
  <c r="H14" i="7"/>
  <c r="H18" i="7"/>
  <c r="H22" i="7"/>
  <c r="H26" i="7"/>
  <c r="H30" i="7"/>
  <c r="H34" i="7"/>
  <c r="H38" i="7"/>
  <c r="H5" i="7"/>
  <c r="H9" i="7"/>
  <c r="H13" i="7"/>
  <c r="H17" i="7"/>
  <c r="H21" i="7"/>
  <c r="H25" i="7"/>
  <c r="H29" i="7"/>
  <c r="H33" i="7"/>
  <c r="H37" i="7"/>
  <c r="H19" i="7"/>
  <c r="H49" i="7"/>
  <c r="H3" i="7"/>
  <c r="H27" i="7"/>
  <c r="H35" i="7"/>
  <c r="H7" i="7"/>
  <c r="H46" i="7"/>
  <c r="H50" i="7"/>
  <c r="H31" i="7"/>
  <c r="H47" i="7"/>
  <c r="H52" i="7"/>
  <c r="H56" i="7"/>
  <c r="H60" i="7"/>
  <c r="H64" i="7"/>
  <c r="H68" i="7"/>
  <c r="H72" i="7"/>
  <c r="H76" i="7"/>
  <c r="H80" i="7"/>
  <c r="H84" i="7"/>
  <c r="H81" i="7"/>
  <c r="V78" i="7"/>
  <c r="J74" i="7"/>
  <c r="V65" i="7"/>
  <c r="V62" i="7"/>
  <c r="D59" i="7"/>
  <c r="H57" i="7"/>
  <c r="H55" i="7"/>
  <c r="H54" i="7"/>
  <c r="I53" i="7"/>
  <c r="J52" i="7"/>
  <c r="I51" i="7"/>
  <c r="K50" i="7"/>
  <c r="H39" i="7"/>
  <c r="G36" i="7"/>
  <c r="Q26" i="7"/>
  <c r="S20" i="7"/>
  <c r="D15" i="7"/>
  <c r="J9" i="7"/>
  <c r="D3" i="7"/>
  <c r="B6" i="7"/>
  <c r="B10" i="7"/>
  <c r="B14" i="7"/>
  <c r="B18" i="7"/>
  <c r="B22" i="7"/>
  <c r="B26" i="7"/>
  <c r="B30" i="7"/>
  <c r="B34" i="7"/>
  <c r="B38" i="7"/>
  <c r="B42" i="7"/>
  <c r="B46" i="7"/>
  <c r="C2" i="3"/>
  <c r="B4" i="7"/>
  <c r="B8" i="7"/>
  <c r="B12" i="7"/>
  <c r="B16" i="7"/>
  <c r="B20" i="7"/>
  <c r="B24" i="7"/>
  <c r="B28" i="7"/>
  <c r="B32" i="7"/>
  <c r="B36" i="7"/>
  <c r="B3" i="7"/>
  <c r="B7" i="7"/>
  <c r="B11" i="7"/>
  <c r="B15" i="7"/>
  <c r="B19" i="7"/>
  <c r="B23" i="7"/>
  <c r="B27" i="7"/>
  <c r="B31" i="7"/>
  <c r="B35" i="7"/>
  <c r="B9" i="7"/>
  <c r="B39" i="7"/>
  <c r="B17" i="7"/>
  <c r="B33" i="7"/>
  <c r="B48" i="7"/>
  <c r="B21" i="7"/>
  <c r="B41" i="7"/>
  <c r="B43" i="7"/>
  <c r="B54" i="7"/>
  <c r="B58" i="7"/>
  <c r="B62" i="7"/>
  <c r="B66" i="7"/>
  <c r="B70" i="7"/>
  <c r="B74" i="7"/>
  <c r="B78" i="7"/>
  <c r="B82" i="7"/>
  <c r="S85" i="7"/>
  <c r="K80" i="7"/>
  <c r="S72" i="7"/>
  <c r="S69" i="7"/>
  <c r="K64" i="7"/>
  <c r="V84" i="7"/>
  <c r="K83" i="7"/>
  <c r="J80" i="7"/>
  <c r="O79" i="7"/>
  <c r="D78" i="7"/>
  <c r="I77" i="7"/>
  <c r="N76" i="7"/>
  <c r="S75" i="7"/>
  <c r="C75" i="7"/>
  <c r="H74" i="7"/>
  <c r="B72" i="7"/>
  <c r="G71" i="7"/>
  <c r="L70" i="7"/>
  <c r="Q69" i="7"/>
  <c r="V68" i="7"/>
  <c r="K67" i="7"/>
  <c r="P66" i="7"/>
  <c r="J64" i="7"/>
  <c r="D62" i="7"/>
  <c r="I61" i="7"/>
  <c r="N60" i="7"/>
  <c r="S59" i="7"/>
  <c r="C59" i="7"/>
  <c r="G55" i="7"/>
  <c r="H53" i="7"/>
  <c r="G52" i="7"/>
  <c r="H51" i="7"/>
  <c r="C49" i="7"/>
  <c r="S47" i="7"/>
  <c r="V45" i="7"/>
  <c r="B44" i="7"/>
  <c r="M41" i="7"/>
  <c r="G39" i="7"/>
  <c r="M26" i="7"/>
  <c r="G20" i="7"/>
  <c r="Q14" i="7"/>
  <c r="K8" i="7"/>
  <c r="C7" i="3"/>
  <c r="L82" i="7"/>
  <c r="S2" i="7"/>
  <c r="S3" i="7"/>
  <c r="S7" i="7"/>
  <c r="S11" i="7"/>
  <c r="S15" i="7"/>
  <c r="S19" i="7"/>
  <c r="S23" i="7"/>
  <c r="S27" i="7"/>
  <c r="C19" i="3"/>
  <c r="S6" i="7"/>
  <c r="S10" i="7"/>
  <c r="S14" i="7"/>
  <c r="S18" i="7"/>
  <c r="S22" i="7"/>
  <c r="S26" i="7"/>
  <c r="S30" i="7"/>
  <c r="S34" i="7"/>
  <c r="S38" i="7"/>
  <c r="S42" i="7"/>
  <c r="S46" i="7"/>
  <c r="S5" i="7"/>
  <c r="S9" i="7"/>
  <c r="S13" i="7"/>
  <c r="S17" i="7"/>
  <c r="S21" i="7"/>
  <c r="S25" i="7"/>
  <c r="S29" i="7"/>
  <c r="S33" i="7"/>
  <c r="S37" i="7"/>
  <c r="S41" i="7"/>
  <c r="S40" i="7"/>
  <c r="S48" i="7"/>
  <c r="S50" i="7"/>
  <c r="S54" i="7"/>
  <c r="S58" i="7"/>
  <c r="S62" i="7"/>
  <c r="S66" i="7"/>
  <c r="S70" i="7"/>
  <c r="S74" i="7"/>
  <c r="S78" i="7"/>
  <c r="S82" i="7"/>
  <c r="S35" i="7"/>
  <c r="S43" i="7"/>
  <c r="S24" i="7"/>
  <c r="S39" i="7"/>
  <c r="S53" i="7"/>
  <c r="S57" i="7"/>
  <c r="S8" i="7"/>
  <c r="S36" i="7"/>
  <c r="R2" i="7"/>
  <c r="R3" i="7"/>
  <c r="R7" i="7"/>
  <c r="R11" i="7"/>
  <c r="R15" i="7"/>
  <c r="R19" i="7"/>
  <c r="R23" i="7"/>
  <c r="R27" i="7"/>
  <c r="R31" i="7"/>
  <c r="R35" i="7"/>
  <c r="R39" i="7"/>
  <c r="R43" i="7"/>
  <c r="R47" i="7"/>
  <c r="R6" i="7"/>
  <c r="R10" i="7"/>
  <c r="R14" i="7"/>
  <c r="R18" i="7"/>
  <c r="R22" i="7"/>
  <c r="R26" i="7"/>
  <c r="R30" i="7"/>
  <c r="R34" i="7"/>
  <c r="R38" i="7"/>
  <c r="R42" i="7"/>
  <c r="R46" i="7"/>
  <c r="R5" i="7"/>
  <c r="R9" i="7"/>
  <c r="R13" i="7"/>
  <c r="R17" i="7"/>
  <c r="R21" i="7"/>
  <c r="R25" i="7"/>
  <c r="R29" i="7"/>
  <c r="R33" i="7"/>
  <c r="R37" i="7"/>
  <c r="R41" i="7"/>
  <c r="R45" i="7"/>
  <c r="R49" i="7"/>
  <c r="R4" i="7"/>
  <c r="R8" i="7"/>
  <c r="R12" i="7"/>
  <c r="R16" i="7"/>
  <c r="R20" i="7"/>
  <c r="R24" i="7"/>
  <c r="R28" i="7"/>
  <c r="R32" i="7"/>
  <c r="R36" i="7"/>
  <c r="R40" i="7"/>
  <c r="R44" i="7"/>
  <c r="R48" i="7"/>
  <c r="C18" i="3"/>
  <c r="R51" i="7"/>
  <c r="R55" i="7"/>
  <c r="R53" i="7"/>
  <c r="R57" i="7"/>
  <c r="R61" i="7"/>
  <c r="R65" i="7"/>
  <c r="R69" i="7"/>
  <c r="R73" i="7"/>
  <c r="R77" i="7"/>
  <c r="R81" i="7"/>
  <c r="R85" i="7"/>
  <c r="B85" i="7"/>
  <c r="J77" i="7"/>
  <c r="H71" i="7"/>
  <c r="B69" i="7"/>
  <c r="P2" i="7"/>
  <c r="P6" i="7"/>
  <c r="P10" i="7"/>
  <c r="P14" i="7"/>
  <c r="P18" i="7"/>
  <c r="P22" i="7"/>
  <c r="P26" i="7"/>
  <c r="P30" i="7"/>
  <c r="P5" i="7"/>
  <c r="P9" i="7"/>
  <c r="P13" i="7"/>
  <c r="P17" i="7"/>
  <c r="P21" i="7"/>
  <c r="P25" i="7"/>
  <c r="P29" i="7"/>
  <c r="P33" i="7"/>
  <c r="P37" i="7"/>
  <c r="P41" i="7"/>
  <c r="P45" i="7"/>
  <c r="P49" i="7"/>
  <c r="C16" i="3"/>
  <c r="P4" i="7"/>
  <c r="P8" i="7"/>
  <c r="P12" i="7"/>
  <c r="P16" i="7"/>
  <c r="P20" i="7"/>
  <c r="P24" i="7"/>
  <c r="P28" i="7"/>
  <c r="P32" i="7"/>
  <c r="P36" i="7"/>
  <c r="P40" i="7"/>
  <c r="P44" i="7"/>
  <c r="P34" i="7"/>
  <c r="P53" i="7"/>
  <c r="P57" i="7"/>
  <c r="P61" i="7"/>
  <c r="P65" i="7"/>
  <c r="P69" i="7"/>
  <c r="P73" i="7"/>
  <c r="P77" i="7"/>
  <c r="P81" i="7"/>
  <c r="P85" i="7"/>
  <c r="P39" i="7"/>
  <c r="P7" i="7"/>
  <c r="P52" i="7"/>
  <c r="P56" i="7"/>
  <c r="P15" i="7"/>
  <c r="P46" i="7"/>
  <c r="P47" i="7"/>
  <c r="O2" i="7"/>
  <c r="O6" i="7"/>
  <c r="O10" i="7"/>
  <c r="O14" i="7"/>
  <c r="O18" i="7"/>
  <c r="O22" i="7"/>
  <c r="O26" i="7"/>
  <c r="O30" i="7"/>
  <c r="O34" i="7"/>
  <c r="O38" i="7"/>
  <c r="O42" i="7"/>
  <c r="O46" i="7"/>
  <c r="O5" i="7"/>
  <c r="O9" i="7"/>
  <c r="O13" i="7"/>
  <c r="O17" i="7"/>
  <c r="O21" i="7"/>
  <c r="O25" i="7"/>
  <c r="O29" i="7"/>
  <c r="O33" i="7"/>
  <c r="O37" i="7"/>
  <c r="O41" i="7"/>
  <c r="O45" i="7"/>
  <c r="C15" i="3"/>
  <c r="O4" i="7"/>
  <c r="O8" i="7"/>
  <c r="O12" i="7"/>
  <c r="O16" i="7"/>
  <c r="O20" i="7"/>
  <c r="O24" i="7"/>
  <c r="O28" i="7"/>
  <c r="O32" i="7"/>
  <c r="O36" i="7"/>
  <c r="O40" i="7"/>
  <c r="O44" i="7"/>
  <c r="O48" i="7"/>
  <c r="O3" i="7"/>
  <c r="O7" i="7"/>
  <c r="O11" i="7"/>
  <c r="O15" i="7"/>
  <c r="O19" i="7"/>
  <c r="O23" i="7"/>
  <c r="O27" i="7"/>
  <c r="O31" i="7"/>
  <c r="O35" i="7"/>
  <c r="O39" i="7"/>
  <c r="O43" i="7"/>
  <c r="O47" i="7"/>
  <c r="O50" i="7"/>
  <c r="O54" i="7"/>
  <c r="O52" i="7"/>
  <c r="O56" i="7"/>
  <c r="O60" i="7"/>
  <c r="O64" i="7"/>
  <c r="O68" i="7"/>
  <c r="O72" i="7"/>
  <c r="O76" i="7"/>
  <c r="O80" i="7"/>
  <c r="O84" i="7"/>
  <c r="O49" i="7"/>
  <c r="O85" i="7"/>
  <c r="I80" i="7"/>
  <c r="C78" i="7"/>
  <c r="L76" i="7"/>
  <c r="B75" i="7"/>
  <c r="Q72" i="7"/>
  <c r="O69" i="7"/>
  <c r="O66" i="7"/>
  <c r="I64" i="7"/>
  <c r="N63" i="7"/>
  <c r="C62" i="7"/>
  <c r="H61" i="7"/>
  <c r="L60" i="7"/>
  <c r="R59" i="7"/>
  <c r="B59" i="7"/>
  <c r="D58" i="7"/>
  <c r="D55" i="7"/>
  <c r="E54" i="7"/>
  <c r="E53" i="7"/>
  <c r="F52" i="7"/>
  <c r="G51" i="7"/>
  <c r="D50" i="7"/>
  <c r="B49" i="7"/>
  <c r="N47" i="7"/>
  <c r="T45" i="7"/>
  <c r="P43" i="7"/>
  <c r="J41" i="7"/>
  <c r="D39" i="7"/>
  <c r="G35" i="7"/>
  <c r="P31" i="7"/>
  <c r="N25" i="7"/>
  <c r="T19" i="7"/>
  <c r="V13" i="7"/>
  <c r="G8" i="7"/>
  <c r="C11" i="3"/>
  <c r="B86" i="7" l="1"/>
  <c r="H86" i="7"/>
  <c r="F86" i="7"/>
  <c r="O86" i="7"/>
  <c r="U86" i="7"/>
  <c r="M86" i="7"/>
  <c r="L86" i="7"/>
  <c r="P86" i="7"/>
  <c r="E86" i="7"/>
  <c r="C86" i="7"/>
  <c r="G86" i="7"/>
  <c r="K86" i="7"/>
  <c r="N86" i="7"/>
  <c r="J86" i="7"/>
  <c r="R86" i="7"/>
  <c r="I86" i="7"/>
  <c r="S86" i="7"/>
  <c r="V86" i="7"/>
  <c r="T86" i="7"/>
  <c r="D86" i="7"/>
  <c r="Q86" i="7"/>
  <c r="W15" i="7"/>
  <c r="W39" i="7"/>
  <c r="W32" i="7"/>
  <c r="W36" i="7"/>
  <c r="W79" i="7"/>
  <c r="W27" i="7"/>
  <c r="W34" i="7"/>
  <c r="W74" i="7"/>
  <c r="W26" i="7"/>
  <c r="W56" i="7"/>
  <c r="W6" i="7"/>
  <c r="W76" i="7"/>
  <c r="W40" i="7"/>
  <c r="W2" i="7"/>
  <c r="W29" i="7"/>
  <c r="W85" i="7"/>
  <c r="W35" i="7"/>
  <c r="W28" i="7"/>
  <c r="W65" i="7"/>
  <c r="W12" i="7"/>
  <c r="W72" i="7"/>
  <c r="W10" i="7"/>
  <c r="W82" i="7"/>
  <c r="W33" i="7"/>
  <c r="W30" i="7"/>
  <c r="W83" i="7"/>
  <c r="W81" i="7"/>
  <c r="W73" i="7"/>
  <c r="W17" i="7"/>
  <c r="W66" i="7"/>
  <c r="W24" i="7"/>
  <c r="W31" i="7"/>
  <c r="W22" i="7"/>
  <c r="W9" i="7"/>
  <c r="W18" i="7"/>
  <c r="W41" i="7"/>
  <c r="W61" i="7"/>
  <c r="W49" i="7"/>
  <c r="W7" i="7"/>
  <c r="W37" i="7"/>
  <c r="W44" i="7"/>
  <c r="W42" i="7"/>
  <c r="W38" i="7"/>
  <c r="W71" i="7"/>
  <c r="W63" i="7"/>
  <c r="W58" i="7"/>
  <c r="W67" i="7"/>
  <c r="W50" i="7"/>
  <c r="W16" i="7"/>
  <c r="W59" i="7"/>
  <c r="W23" i="7"/>
  <c r="W14" i="7"/>
  <c r="W80" i="7"/>
  <c r="W53" i="7"/>
  <c r="W8" i="7"/>
  <c r="W51" i="7"/>
  <c r="W64" i="7"/>
  <c r="W21" i="7"/>
  <c r="W11" i="7"/>
  <c r="W25" i="7"/>
  <c r="W69" i="7"/>
  <c r="W48" i="7"/>
  <c r="W46" i="7"/>
  <c r="W52" i="7"/>
  <c r="W4" i="7"/>
  <c r="W47" i="7"/>
  <c r="W68" i="7"/>
  <c r="W5" i="7"/>
  <c r="W60" i="7"/>
  <c r="W77" i="7"/>
  <c r="W78" i="7"/>
  <c r="W70" i="7"/>
  <c r="W84" i="7"/>
  <c r="W75" i="7"/>
  <c r="W62" i="7"/>
  <c r="W20" i="7"/>
  <c r="W45" i="7"/>
  <c r="W55" i="7"/>
  <c r="W54" i="7"/>
  <c r="W43" i="7"/>
  <c r="W19" i="7"/>
  <c r="W57" i="7"/>
  <c r="W13" i="7"/>
  <c r="C28" i="6" l="1"/>
  <c r="Y28" i="7"/>
  <c r="C27" i="6"/>
  <c r="Y27" i="7"/>
  <c r="C47" i="6"/>
  <c r="Y47" i="7"/>
  <c r="C35" i="6"/>
  <c r="Y35" i="7"/>
  <c r="C52" i="6"/>
  <c r="Y52" i="7"/>
  <c r="C7" i="6"/>
  <c r="Y7" i="7"/>
  <c r="C81" i="6"/>
  <c r="Y81" i="7"/>
  <c r="C29" i="6"/>
  <c r="Y29" i="7"/>
  <c r="C32" i="6"/>
  <c r="Y32" i="7"/>
  <c r="C53" i="6"/>
  <c r="Y53" i="7"/>
  <c r="C20" i="6"/>
  <c r="Y20" i="7"/>
  <c r="Y2" i="7"/>
  <c r="C39" i="6"/>
  <c r="Y39" i="7"/>
  <c r="C80" i="6"/>
  <c r="Y80" i="7"/>
  <c r="C73" i="6"/>
  <c r="Y73" i="7"/>
  <c r="C49" i="6"/>
  <c r="Y49" i="7"/>
  <c r="C61" i="6"/>
  <c r="Y61" i="7"/>
  <c r="C30" i="6"/>
  <c r="Y30" i="7"/>
  <c r="C40" i="6"/>
  <c r="Y40" i="7"/>
  <c r="C15" i="6"/>
  <c r="Y15" i="7"/>
  <c r="C42" i="6"/>
  <c r="Y42" i="7"/>
  <c r="C4" i="6"/>
  <c r="Y4" i="7"/>
  <c r="C85" i="6"/>
  <c r="Y85" i="7"/>
  <c r="C84" i="6"/>
  <c r="Y84" i="7"/>
  <c r="C33" i="6"/>
  <c r="Y33" i="7"/>
  <c r="C45" i="6"/>
  <c r="Y45" i="7"/>
  <c r="C17" i="6"/>
  <c r="Y17" i="7"/>
  <c r="C37" i="6"/>
  <c r="Y37" i="7"/>
  <c r="C23" i="6"/>
  <c r="Y23" i="7"/>
  <c r="C69" i="6"/>
  <c r="Y69" i="7"/>
  <c r="C78" i="6"/>
  <c r="Y78" i="7"/>
  <c r="C77" i="6"/>
  <c r="Y77" i="7"/>
  <c r="C67" i="6"/>
  <c r="Y67" i="7"/>
  <c r="C18" i="6"/>
  <c r="Y18" i="7"/>
  <c r="C82" i="6"/>
  <c r="Y82" i="7"/>
  <c r="C6" i="6"/>
  <c r="Y6" i="7"/>
  <c r="C79" i="6"/>
  <c r="Y79" i="7"/>
  <c r="C14" i="6"/>
  <c r="Y14" i="7"/>
  <c r="C75" i="6"/>
  <c r="Y75" i="7"/>
  <c r="C83" i="6"/>
  <c r="Y83" i="7"/>
  <c r="C41" i="6"/>
  <c r="Y41" i="7"/>
  <c r="C19" i="6"/>
  <c r="Y19" i="7"/>
  <c r="C21" i="6"/>
  <c r="Y21" i="7"/>
  <c r="C9" i="6"/>
  <c r="Y9" i="7"/>
  <c r="C10" i="6"/>
  <c r="Y10" i="7"/>
  <c r="C56" i="6"/>
  <c r="Y56" i="7"/>
  <c r="C66" i="6"/>
  <c r="Y66" i="7"/>
  <c r="C44" i="6"/>
  <c r="Y44" i="7"/>
  <c r="C36" i="6"/>
  <c r="Y36" i="7"/>
  <c r="C46" i="6"/>
  <c r="Y46" i="7"/>
  <c r="C16" i="6"/>
  <c r="Y16" i="7"/>
  <c r="C25" i="6"/>
  <c r="Y25" i="7"/>
  <c r="C11" i="6"/>
  <c r="Y11" i="7"/>
  <c r="C43" i="6"/>
  <c r="Y43" i="7"/>
  <c r="C63" i="6"/>
  <c r="Y63" i="7"/>
  <c r="C22" i="6"/>
  <c r="Y22" i="7"/>
  <c r="C72" i="6"/>
  <c r="Y72" i="7"/>
  <c r="C26" i="6"/>
  <c r="Y26" i="7"/>
  <c r="C62" i="6"/>
  <c r="Y62" i="7"/>
  <c r="C59" i="6"/>
  <c r="Y59" i="7"/>
  <c r="C70" i="6"/>
  <c r="Y70" i="7"/>
  <c r="C50" i="6"/>
  <c r="Y50" i="7"/>
  <c r="C57" i="6"/>
  <c r="Y57" i="7"/>
  <c r="C60" i="6"/>
  <c r="Y60" i="7"/>
  <c r="C64" i="6"/>
  <c r="Y64" i="7"/>
  <c r="C54" i="6"/>
  <c r="Y54" i="7"/>
  <c r="C5" i="6"/>
  <c r="Y5" i="7"/>
  <c r="C51" i="6"/>
  <c r="Y51" i="7"/>
  <c r="C71" i="6"/>
  <c r="Y71" i="7"/>
  <c r="C31" i="6"/>
  <c r="Y31" i="7"/>
  <c r="C12" i="6"/>
  <c r="Y12" i="7"/>
  <c r="C74" i="6"/>
  <c r="Y74" i="7"/>
  <c r="C48" i="6"/>
  <c r="Y48" i="7"/>
  <c r="C13" i="6"/>
  <c r="Y13" i="7"/>
  <c r="C76" i="6"/>
  <c r="Y76" i="7"/>
  <c r="C58" i="6"/>
  <c r="Y58" i="7"/>
  <c r="C3" i="6"/>
  <c r="Y3" i="7"/>
  <c r="C55" i="6"/>
  <c r="Y55" i="7"/>
  <c r="C68" i="6"/>
  <c r="Y68" i="7"/>
  <c r="C8" i="6"/>
  <c r="Y8" i="7"/>
  <c r="C38" i="6"/>
  <c r="Y38" i="7"/>
  <c r="C24" i="6"/>
  <c r="Y24" i="7"/>
  <c r="C65" i="6"/>
  <c r="Y65" i="7"/>
  <c r="C34" i="6"/>
  <c r="Y34" i="7"/>
  <c r="C2" i="6"/>
  <c r="W86" i="7"/>
  <c r="X3" i="7" l="1"/>
  <c r="X27" i="7"/>
  <c r="X39" i="7"/>
  <c r="X51" i="7"/>
  <c r="X75" i="7"/>
  <c r="X17" i="7"/>
  <c r="X77" i="7"/>
  <c r="X66" i="7"/>
  <c r="X58" i="7"/>
  <c r="X82" i="7"/>
  <c r="X4" i="7"/>
  <c r="X16" i="7"/>
  <c r="X28" i="7"/>
  <c r="X40" i="7"/>
  <c r="X52" i="7"/>
  <c r="X64" i="7"/>
  <c r="X76" i="7"/>
  <c r="X41" i="7"/>
  <c r="X65" i="7"/>
  <c r="X78" i="7"/>
  <c r="X46" i="7"/>
  <c r="X5" i="7"/>
  <c r="X29" i="7"/>
  <c r="X53" i="7"/>
  <c r="X6" i="7"/>
  <c r="X18" i="7"/>
  <c r="X30" i="7"/>
  <c r="X54" i="7"/>
  <c r="X22" i="7"/>
  <c r="X7" i="7"/>
  <c r="X19" i="7"/>
  <c r="X31" i="7"/>
  <c r="X43" i="7"/>
  <c r="X55" i="7"/>
  <c r="X67" i="7"/>
  <c r="X79" i="7"/>
  <c r="X8" i="7"/>
  <c r="X20" i="7"/>
  <c r="X44" i="7"/>
  <c r="X56" i="7"/>
  <c r="X68" i="7"/>
  <c r="X80" i="7"/>
  <c r="X21" i="7"/>
  <c r="X33" i="7"/>
  <c r="X45" i="7"/>
  <c r="X57" i="7"/>
  <c r="X69" i="7"/>
  <c r="X81" i="7"/>
  <c r="X70" i="7"/>
  <c r="X32" i="7"/>
  <c r="X9" i="7"/>
  <c r="X10" i="7"/>
  <c r="X11" i="7"/>
  <c r="X23" i="7"/>
  <c r="X35" i="7"/>
  <c r="X47" i="7"/>
  <c r="X59" i="7"/>
  <c r="X71" i="7"/>
  <c r="X83" i="7"/>
  <c r="X12" i="7"/>
  <c r="X24" i="7"/>
  <c r="X48" i="7"/>
  <c r="X60" i="7"/>
  <c r="X72" i="7"/>
  <c r="X84" i="7"/>
  <c r="X25" i="7"/>
  <c r="X37" i="7"/>
  <c r="X73" i="7"/>
  <c r="X36" i="7"/>
  <c r="X61" i="7"/>
  <c r="X13" i="7"/>
  <c r="X49" i="7"/>
  <c r="X85" i="7"/>
  <c r="X14" i="7"/>
  <c r="X26" i="7"/>
  <c r="X38" i="7"/>
  <c r="X50" i="7"/>
  <c r="X62" i="7"/>
  <c r="X74" i="7"/>
  <c r="X86" i="7"/>
  <c r="X15" i="7"/>
  <c r="X63" i="7"/>
  <c r="X2" i="7"/>
  <c r="X42" i="7"/>
  <c r="X3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<sst xmlns="http://schemas.openxmlformats.org/spreadsheetml/2006/main" count="6696" uniqueCount="733">
  <si>
    <t>Name</t>
  </si>
  <si>
    <t>Importance</t>
  </si>
  <si>
    <t>Metrics</t>
  </si>
  <si>
    <t>Units</t>
  </si>
  <si>
    <t>Category:</t>
  </si>
  <si>
    <t>Ashmore, Makayla</t>
  </si>
  <si>
    <t>Broadwell, Rose</t>
  </si>
  <si>
    <t>Dollars</t>
  </si>
  <si>
    <t>Years</t>
  </si>
  <si>
    <t>Annual maintenance cost</t>
  </si>
  <si>
    <t>minutes</t>
  </si>
  <si>
    <t>Indicate the Need's importance (5=extremely important, 1=minimally important)</t>
  </si>
  <si>
    <t>Identify the best metric(s) to assess each need.</t>
  </si>
  <si>
    <t>The system should enable quick and efficient water transfer from the tank to the garden.</t>
  </si>
  <si>
    <t>The system should provide consistent and reliable water distribution across the entire garden area.</t>
  </si>
  <si>
    <t>The system should minimize manual labor and physical effort required to operate.</t>
  </si>
  <si>
    <t>The system should provide sufficient water pressure for effective delivery.</t>
  </si>
  <si>
    <t>The system should maintain adequate flow rate for different watering methods.</t>
  </si>
  <si>
    <t>The system should function efficiently with varying water levels in the tank.</t>
  </si>
  <si>
    <t>The system should be easy to operate for users without technical expertise.</t>
  </si>
  <si>
    <t>The system should have straightforward controls for starting, stopping, and adjusting as needed.</t>
  </si>
  <si>
    <t>The system should provide clear instructions and minimize operational steps.</t>
  </si>
  <si>
    <t>The system should require minimal maintenance for reliable operation.</t>
  </si>
  <si>
    <t>The system should be durable and resistant to wear and tear under normal conditions.</t>
  </si>
  <si>
    <t>The system should allow easy troubleshooting of common issues.</t>
  </si>
  <si>
    <t>The system should minimize environmental impact and align with sustainability goals.</t>
  </si>
  <si>
    <t>The system should be compatible with rainwater harvesting practices.</t>
  </si>
  <si>
    <t>The system should be designed to minimize noise pollution.</t>
  </si>
  <si>
    <t>The system should be cost-effective to implement within the given budget.</t>
  </si>
  <si>
    <t>The system should have low operational and maintenance costs over its lifetime.</t>
  </si>
  <si>
    <t>The system should provide good value through durability and efficiency.</t>
  </si>
  <si>
    <t>The system should comply with all relevant safety standards and regulations.</t>
  </si>
  <si>
    <t>The system should not pose any risks to pedestrians or garden users.</t>
  </si>
  <si>
    <t>The system should be safe to operate under various weather conditions.</t>
  </si>
  <si>
    <t>Operational Efficiency</t>
  </si>
  <si>
    <t>Pressure and Flow</t>
  </si>
  <si>
    <t>Usability</t>
  </si>
  <si>
    <t>Maintenance</t>
  </si>
  <si>
    <t>Safety and Compliance</t>
  </si>
  <si>
    <t>Cost and Budgetary</t>
  </si>
  <si>
    <t>Environmental Impact</t>
  </si>
  <si>
    <t>JVAUGHT</t>
  </si>
  <si>
    <t>WWENZEL</t>
  </si>
  <si>
    <t>TBHARMON</t>
  </si>
  <si>
    <t>PRESSTON</t>
  </si>
  <si>
    <t>Rank</t>
  </si>
  <si>
    <t>Find the cells where your name appears (4  person per need)</t>
  </si>
  <si>
    <t>If you think there are multiple metrics, list each</t>
  </si>
  <si>
    <t>seconds</t>
  </si>
  <si>
    <t>Average flow rate during transfer</t>
  </si>
  <si>
    <t>GPM</t>
  </si>
  <si>
    <t>Energy consumption per 2 gallons transferred</t>
  </si>
  <si>
    <t>kWH</t>
  </si>
  <si>
    <t>Maximum throughput capacity of the system</t>
  </si>
  <si>
    <t>Distribution Uniformity (DU) coefficient</t>
  </si>
  <si>
    <t>Percentage</t>
  </si>
  <si>
    <t>Physical force required to operate controls</t>
  </si>
  <si>
    <t>lbf</t>
  </si>
  <si>
    <t>Variance in water application rates between zones</t>
  </si>
  <si>
    <t>Number of manual operations per watering cycle</t>
  </si>
  <si>
    <t>Count</t>
  </si>
  <si>
    <t>Number of dry or overwatered spots detected</t>
  </si>
  <si>
    <t>Total operator time per watering session</t>
  </si>
  <si>
    <t>Minutes</t>
  </si>
  <si>
    <t>GPH</t>
  </si>
  <si>
    <t>System reliability (uptime percentage)</t>
  </si>
  <si>
    <t>Operator perceived exertion rating</t>
  </si>
  <si>
    <t>Borg RPE scale (6-20)</t>
  </si>
  <si>
    <t>Operating pressure at system output</t>
  </si>
  <si>
    <t>Flow rate achievable for drip irrigation</t>
  </si>
  <si>
    <t>System efficiency at full tank level</t>
  </si>
  <si>
    <t>psi</t>
  </si>
  <si>
    <t>% efficiency</t>
  </si>
  <si>
    <t>Pressure loss from tank to farthest point</t>
  </si>
  <si>
    <t>Flow rate achievable for sprinkler systems</t>
  </si>
  <si>
    <t>System efficiency at half tank level</t>
  </si>
  <si>
    <t>gpm</t>
  </si>
  <si>
    <t>% Efficiency</t>
  </si>
  <si>
    <t>Minimum pressure required for optimal operation</t>
  </si>
  <si>
    <t>Adjustability range of flow rates</t>
  </si>
  <si>
    <t>Minimum operational water level required</t>
  </si>
  <si>
    <t>min to max gpm</t>
  </si>
  <si>
    <t>gallons</t>
  </si>
  <si>
    <t>Pressure fluctuation during operation</t>
  </si>
  <si>
    <t>Flow rate consistency over time</t>
  </si>
  <si>
    <t>Variation in flow rate across different tank levels</t>
  </si>
  <si>
    <t>psi variance</t>
  </si>
  <si>
    <t>Standard deviation in gpm</t>
  </si>
  <si>
    <t>Percentage variation</t>
  </si>
  <si>
    <t>Required training time for new users</t>
  </si>
  <si>
    <t>Number of control interfaces</t>
  </si>
  <si>
    <t>Length of instruction manual</t>
  </si>
  <si>
    <t>hours</t>
  </si>
  <si>
    <t>count</t>
  </si>
  <si>
    <t>pages</t>
  </si>
  <si>
    <t>User error rate during operation</t>
  </si>
  <si>
    <t>Average time to start or stop the system</t>
  </si>
  <si>
    <t>Reading level required to understand instructions</t>
  </si>
  <si>
    <t>error/100 ops</t>
  </si>
  <si>
    <t>grade level</t>
  </si>
  <si>
    <t>User satisfaction rating on ease of use</t>
  </si>
  <si>
    <t>Clarity of control labeling</t>
  </si>
  <si>
    <t>Number of operational steps for basic use</t>
  </si>
  <si>
    <t>likert scale</t>
  </si>
  <si>
    <t>Number of steps to complete basic operation</t>
  </si>
  <si>
    <t>Accessibility compliance (e.g., ADA standards)</t>
  </si>
  <si>
    <t>User comprehension rate after first read</t>
  </si>
  <si>
    <t>Yes/No</t>
  </si>
  <si>
    <t>Time to transfer 2 gallons</t>
  </si>
  <si>
    <t>Scheduled maintenance frequency</t>
  </si>
  <si>
    <t>Expected lifespan of components</t>
  </si>
  <si>
    <t>Time to diagnose a common issue</t>
  </si>
  <si>
    <t># per year</t>
  </si>
  <si>
    <t>years</t>
  </si>
  <si>
    <t>Mean time between failures (MTBF)</t>
  </si>
  <si>
    <t>Material wear rate under standard conditions</t>
  </si>
  <si>
    <t>Availability of troubleshooting guide</t>
  </si>
  <si>
    <t>hours or months</t>
  </si>
  <si>
    <t>% wear per yr</t>
  </si>
  <si>
    <t>yes/no</t>
  </si>
  <si>
    <t>Average maintenance duration per session</t>
  </si>
  <si>
    <t># of components needing replacement per yr</t>
  </si>
  <si>
    <t>User success rate in resolving issues independently</t>
  </si>
  <si>
    <t>Hours</t>
  </si>
  <si>
    <t>Maintenance cost per year</t>
  </si>
  <si>
    <t>Number of common issues covered in manual</t>
  </si>
  <si>
    <t>component warranty period</t>
  </si>
  <si>
    <t>Carbon footprint during operation</t>
  </si>
  <si>
    <t>Compatibility with existing rainwater tanks</t>
  </si>
  <si>
    <t>Operating noise level at 1-meter distance</t>
  </si>
  <si>
    <t>Percentage of recyclable materials used</t>
  </si>
  <si>
    <t>Energy consumption per year</t>
  </si>
  <si>
    <t>Adaptability to different rainwater sources</t>
  </si>
  <si>
    <t>Noise level compared to acceptable standards</t>
  </si>
  <si>
    <t># of compatible source</t>
  </si>
  <si>
    <t>Decibels Difference</t>
  </si>
  <si>
    <t>User annoyance rating due to noise</t>
  </si>
  <si>
    <t>Percentage of water supplied from roof-water</t>
  </si>
  <si>
    <t>kWh</t>
  </si>
  <si>
    <t>Likert scale</t>
  </si>
  <si>
    <t>Compliance with environmental standards (LEED)</t>
  </si>
  <si>
    <t>Ease of integration with harvesting systems</t>
  </si>
  <si>
    <t>Time during which noise exceeds thresholds</t>
  </si>
  <si>
    <t>Likert Scale</t>
  </si>
  <si>
    <t>Min per day</t>
  </si>
  <si>
    <t>Total initial cost</t>
  </si>
  <si>
    <t>Annual operational cost</t>
  </si>
  <si>
    <t>Cost per year over lifespan</t>
  </si>
  <si>
    <t>CO₂/yr</t>
  </si>
  <si>
    <t>Decibels</t>
  </si>
  <si>
    <t>Dollars/year</t>
  </si>
  <si>
    <t>Percentage of budget utilized</t>
  </si>
  <si>
    <t>Efficiency rating of system components</t>
  </si>
  <si>
    <t>Dollars/yr</t>
  </si>
  <si>
    <t>Cost savings compared to alternative solutions</t>
  </si>
  <si>
    <t>Return on investment period</t>
  </si>
  <si>
    <t>Total cost of ownership over expected lifespan</t>
  </si>
  <si>
    <t>Maintenance cost savings due to durability</t>
  </si>
  <si>
    <t>Cost per gallon of water delivered</t>
  </si>
  <si>
    <t>User satisfaction rating on value</t>
  </si>
  <si>
    <t>Dollars per gallon</t>
  </si>
  <si>
    <t>Number of applicable standards met</t>
  </si>
  <si>
    <t>Number of potential hazards identified</t>
  </si>
  <si>
    <t>Operational reliability in adverse weather</t>
  </si>
  <si>
    <t>% uptime</t>
  </si>
  <si>
    <t>Compliance certification status</t>
  </si>
  <si>
    <t>Safety incident rate during operation</t>
  </si>
  <si>
    <t>Temperature range for safe operation</t>
  </si>
  <si>
    <t>Incidents per yr</t>
  </si>
  <si>
    <t>Degrees Fahrenheit</t>
  </si>
  <si>
    <t>Number of non-compliance issues identified</t>
  </si>
  <si>
    <t>Compliance with safety guidelines (e.g., OSHA)</t>
  </si>
  <si>
    <t>Weatherproof rating of system components</t>
  </si>
  <si>
    <t>IP Rating</t>
  </si>
  <si>
    <t>Time to achieve full compliance</t>
  </si>
  <si>
    <t>User perception of safety</t>
  </si>
  <si>
    <t>Number of weather-related malfunctions per year</t>
  </si>
  <si>
    <t>Months</t>
  </si>
  <si>
    <t>EMCH 427 Facilities Rain Barrel</t>
  </si>
  <si>
    <t>Ranking</t>
  </si>
  <si>
    <t>CR1</t>
  </si>
  <si>
    <t>CR2</t>
  </si>
  <si>
    <t>CR3</t>
  </si>
  <si>
    <t>CR4</t>
  </si>
  <si>
    <t>CR5</t>
  </si>
  <si>
    <t>CR6</t>
  </si>
  <si>
    <t>CR7</t>
  </si>
  <si>
    <t>CR8</t>
  </si>
  <si>
    <t>CR9</t>
  </si>
  <si>
    <t>CR10</t>
  </si>
  <si>
    <t>CR11</t>
  </si>
  <si>
    <t>CR12</t>
  </si>
  <si>
    <t>CR13</t>
  </si>
  <si>
    <t>CR14</t>
  </si>
  <si>
    <t>CR15</t>
  </si>
  <si>
    <t>CR16</t>
  </si>
  <si>
    <t>CR17</t>
  </si>
  <si>
    <t>CR18</t>
  </si>
  <si>
    <t>CR19</t>
  </si>
  <si>
    <t>CR20</t>
  </si>
  <si>
    <t>CR21</t>
  </si>
  <si>
    <t>Customer Req ID</t>
  </si>
  <si>
    <t>Customer Requirement</t>
  </si>
  <si>
    <t>Tech Requirement ID</t>
  </si>
  <si>
    <t>Requirement</t>
  </si>
  <si>
    <t>TR1</t>
  </si>
  <si>
    <t>TR2</t>
  </si>
  <si>
    <t>TR3</t>
  </si>
  <si>
    <t>TR4</t>
  </si>
  <si>
    <t>TR5</t>
  </si>
  <si>
    <t>TR6</t>
  </si>
  <si>
    <t>TR7</t>
  </si>
  <si>
    <t>TR8</t>
  </si>
  <si>
    <t>TR9</t>
  </si>
  <si>
    <t>TR10</t>
  </si>
  <si>
    <t>TR11</t>
  </si>
  <si>
    <t>TR12</t>
  </si>
  <si>
    <t>TR13</t>
  </si>
  <si>
    <t>TR14</t>
  </si>
  <si>
    <t>TR15</t>
  </si>
  <si>
    <t>TR16</t>
  </si>
  <si>
    <t>TR17</t>
  </si>
  <si>
    <t>TR18</t>
  </si>
  <si>
    <t>TR19</t>
  </si>
  <si>
    <t>TR20</t>
  </si>
  <si>
    <t>TR21</t>
  </si>
  <si>
    <t>TR22</t>
  </si>
  <si>
    <t>TR23</t>
  </si>
  <si>
    <t>TR24</t>
  </si>
  <si>
    <t>TR25</t>
  </si>
  <si>
    <t>TR26</t>
  </si>
  <si>
    <t>TR27</t>
  </si>
  <si>
    <t>TR28</t>
  </si>
  <si>
    <t>TR29</t>
  </si>
  <si>
    <t>TR30</t>
  </si>
  <si>
    <t>TR31</t>
  </si>
  <si>
    <t>TR32</t>
  </si>
  <si>
    <t>TR33</t>
  </si>
  <si>
    <t>TR34</t>
  </si>
  <si>
    <t>TR35</t>
  </si>
  <si>
    <t>TR36</t>
  </si>
  <si>
    <t>TR37</t>
  </si>
  <si>
    <t>TR38</t>
  </si>
  <si>
    <t>TR39</t>
  </si>
  <si>
    <t>TR40</t>
  </si>
  <si>
    <t>TR41</t>
  </si>
  <si>
    <t>TR42</t>
  </si>
  <si>
    <t>TR43</t>
  </si>
  <si>
    <t>TR44</t>
  </si>
  <si>
    <t>TR45</t>
  </si>
  <si>
    <t>TR46</t>
  </si>
  <si>
    <t>TR47</t>
  </si>
  <si>
    <t>TR48</t>
  </si>
  <si>
    <t>TR49</t>
  </si>
  <si>
    <t>TR50</t>
  </si>
  <si>
    <t>TR51</t>
  </si>
  <si>
    <t>TR52</t>
  </si>
  <si>
    <t>TR53</t>
  </si>
  <si>
    <t>TR54</t>
  </si>
  <si>
    <t>TR55</t>
  </si>
  <si>
    <t>TR56</t>
  </si>
  <si>
    <t>TR57</t>
  </si>
  <si>
    <t>TR58</t>
  </si>
  <si>
    <t>TR59</t>
  </si>
  <si>
    <t>TR60</t>
  </si>
  <si>
    <t>TR61</t>
  </si>
  <si>
    <t>TR62</t>
  </si>
  <si>
    <t>TR63</t>
  </si>
  <si>
    <t>TR64</t>
  </si>
  <si>
    <t>TR65</t>
  </si>
  <si>
    <t>TR66</t>
  </si>
  <si>
    <t>TR67</t>
  </si>
  <si>
    <t>TR68</t>
  </si>
  <si>
    <t>TR69</t>
  </si>
  <si>
    <t>TR70</t>
  </si>
  <si>
    <t>TR71</t>
  </si>
  <si>
    <t>TR72</t>
  </si>
  <si>
    <t>TR73</t>
  </si>
  <si>
    <t>TR74</t>
  </si>
  <si>
    <t>TR75</t>
  </si>
  <si>
    <t>TR76</t>
  </si>
  <si>
    <t>TR77</t>
  </si>
  <si>
    <t>TR78</t>
  </si>
  <si>
    <t>TR79</t>
  </si>
  <si>
    <t>TR80</t>
  </si>
  <si>
    <t>TR81</t>
  </si>
  <si>
    <t>TR82</t>
  </si>
  <si>
    <t>TR83</t>
  </si>
  <si>
    <t>TR84</t>
  </si>
  <si>
    <t>+</t>
  </si>
  <si>
    <t>-</t>
  </si>
  <si>
    <t>SUM</t>
  </si>
  <si>
    <t>ID</t>
  </si>
  <si>
    <t>Target Value</t>
  </si>
  <si>
    <t>Technical Requirement</t>
  </si>
  <si>
    <t>Medium (3)</t>
  </si>
  <si>
    <t>o</t>
  </si>
  <si>
    <t>Grading</t>
  </si>
  <si>
    <t>Weak      (1)</t>
  </si>
  <si>
    <t>Strong     (9)</t>
  </si>
  <si>
    <t>None      (0)</t>
  </si>
  <si>
    <t>Goal</t>
  </si>
  <si>
    <t>Increase</t>
  </si>
  <si>
    <t>Decrease</t>
  </si>
  <si>
    <t>Value</t>
  </si>
  <si>
    <t>Reference</t>
  </si>
  <si>
    <t>"Pump Handbook" by Igor J. Karassik et al.</t>
  </si>
  <si>
    <t>"Fluid Mechanics" by Frank M. White</t>
  </si>
  <si>
    <t>≤0.05</t>
  </si>
  <si>
    <t>"Pumping Station Design" by Garr M. Jones et al.</t>
  </si>
  <si>
    <t>≥85</t>
  </si>
  <si>
    <t>"Irrigation Engineering: Principles and Practice" by R.K. Sharma and T.K. Sharma</t>
  </si>
  <si>
    <t>≤5</t>
  </si>
  <si>
    <t>"Precision Agriculture Technology for Crop Farming" by Qin Zhang</t>
  </si>
  <si>
    <t>≥99.9</t>
  </si>
  <si>
    <t>"Reliability Engineering" by Elsayed A. Elsayed</t>
  </si>
  <si>
    <t>"Ergonomics: How to Design for Ease and Efficiency" by K.H.E. Kroemer and H.B. Kroemer</t>
  </si>
  <si>
    <t>1 or 0</t>
  </si>
  <si>
    <t>≤10</t>
  </si>
  <si>
    <t>≤9</t>
  </si>
  <si>
    <t>"Physical Activity and Health" by Adrianne E. Hardman and David J. Stensel</t>
  </si>
  <si>
    <t>"Hydraulics of Pipeline Systems" by Bruce E. Larock et al.</t>
  </si>
  <si>
    <t>"Irrigation: Theory and Practice" by A.M. Michael</t>
  </si>
  <si>
    <t>≤2</t>
  </si>
  <si>
    <t>"Fluid Transients in Pipeline Systems" by A.R.D. Thorley</t>
  </si>
  <si>
    <t>"Microirrigation for Crop Production" by Megh R. Goyal</t>
  </si>
  <si>
    <t>"Sprinkler Irrigation" by Melvyn Kay</t>
  </si>
  <si>
    <t>0.5 - 5</t>
  </si>
  <si>
    <t>"Flow Measurement Handbook" by R.C. Baker</t>
  </si>
  <si>
    <t>≤1</t>
  </si>
  <si>
    <t>"Statistical Methods in Water Resources" by D.R. Helsel and R.M. Hirsch</t>
  </si>
  <si>
    <t>≥90</t>
  </si>
  <si>
    <t>"Water Efficiency in Buildings" by Kemi Adeyeye</t>
  </si>
  <si>
    <t>"Water Storage: Tanks, Cisterns, Aquifers, and Ponds" by Art Ludwig</t>
  </si>
  <si>
    <t>"Handbook of Hydraulics" by Ernest F. Brater et al.</t>
  </si>
  <si>
    <t>"User Interface Design and Evaluation" by Debbie Stone et al.</t>
  </si>
  <si>
    <t>&lt;1</t>
  </si>
  <si>
    <t>"Designing for Human Reliability" by Ronald W. McLeod</t>
  </si>
  <si>
    <t>≥4.5</t>
  </si>
  <si>
    <t>"Measuring User Experience" by Bill Albert and Tom Tullis</t>
  </si>
  <si>
    <t>≤3</t>
  </si>
  <si>
    <t>"The Design of Everyday Things" by Don Norman</t>
  </si>
  <si>
    <t>"Human-Computer Interaction" by Alan Dix et al.</t>
  </si>
  <si>
    <t>≤30</t>
  </si>
  <si>
    <t>"Time-Critical Systems Design" by Gerhard F. Knolmayer et al.</t>
  </si>
  <si>
    <t>Yes</t>
  </si>
  <si>
    <t>"Accessible Public Spaces: Designing for Inclusion" by Michael J. Bednar</t>
  </si>
  <si>
    <t>"Technical Writing: Process and Product" by Sharon J. Gerson and Steven M. Gerson</t>
  </si>
  <si>
    <t>8th Grade</t>
  </si>
  <si>
    <t>"Designing Effective Instruction" by Gary R. Morrison et al.</t>
  </si>
  <si>
    <t>"Maintenance Engineering Handbook" by Keith Mobley</t>
  </si>
  <si>
    <t>≥12</t>
  </si>
  <si>
    <t>"Reliability-Centered Maintenance" by John Moubray</t>
  </si>
  <si>
    <t>"Lean Maintenance" by Ricky Smith</t>
  </si>
  <si>
    <t>≤$500</t>
  </si>
  <si>
    <t>"Maintenance and Reliability Best Practices" by Ramesh Gulati</t>
  </si>
  <si>
    <t>≥10</t>
  </si>
  <si>
    <t>"Materials Selection in Mechanical Design" by Michael F. Ashby</t>
  </si>
  <si>
    <t>"Spare Parts Inventory Management" by Philip Slater</t>
  </si>
  <si>
    <t>≥5</t>
  </si>
  <si>
    <t>"Warranty Management and Product Manufacture" by D.N.P. Murthy et al.</t>
  </si>
  <si>
    <t>≤15</t>
  </si>
  <si>
    <t>≥95</t>
  </si>
  <si>
    <t>≤500</t>
  </si>
  <si>
    <t>"Sustainable Energy - Without the Hot Air" by David J.C. MacKay</t>
  </si>
  <si>
    <t>≥50</t>
  </si>
  <si>
    <t>"Materials and the Environment" by Michael F. Ashby</t>
  </si>
  <si>
    <t>≤1000</t>
  </si>
  <si>
    <t>"LEED Green Associate Study Guide" by U.S. Green Building Council</t>
  </si>
  <si>
    <t>"Rainwater Harvesting for Drylands and Beyond" by Brad Lancaster</t>
  </si>
  <si>
    <t>≥3</t>
  </si>
  <si>
    <t>≥80</t>
  </si>
  <si>
    <t>"Integrated Water Resources Management" by Cecilia Tortajada</t>
  </si>
  <si>
    <t>≤60</t>
  </si>
  <si>
    <t>"Noise Control: Measurement, Analysis, and Control" by Charles E. Wilson</t>
  </si>
  <si>
    <t>"Fundamentals of Noise and Vibration Analysis for Engineers" by M.P. Norton and D.G. Karczub</t>
  </si>
  <si>
    <t>"Environmental Noise Pollution" by Enda Murphy and Eoin A. King</t>
  </si>
  <si>
    <t>≤$10,000</t>
  </si>
  <si>
    <t>"Project Management for Construction" by Chris Hendrickson</t>
  </si>
  <si>
    <t>≤100</t>
  </si>
  <si>
    <t>"Cost Management: Measuring, Monitoring, and Motivating Performance" by Leslie G. Eldenburg</t>
  </si>
  <si>
    <t>≥15</t>
  </si>
  <si>
    <t>"Value Engineering: Practical Applications" by Donald E. Parker</t>
  </si>
  <si>
    <t>"Investment Appraisal: Methods and Models" by Uwe Götze et al.</t>
  </si>
  <si>
    <t>≤$1,000</t>
  </si>
  <si>
    <t>"Operations Management" by William J. Stevenson</t>
  </si>
  <si>
    <t>≤$20,000</t>
  </si>
  <si>
    <t>"Life Cycle Costing for Engineers" by B.S. Dhillon</t>
  </si>
  <si>
    <t>≤$0.05</t>
  </si>
  <si>
    <t>"Water Economics" by Stephen Merrett</t>
  </si>
  <si>
    <t>≤$1,500</t>
  </si>
  <si>
    <t>"Engineering Design Reliability Handbook" by Efstratios Nikolaidis et al.</t>
  </si>
  <si>
    <t>≥20</t>
  </si>
  <si>
    <t>"Total Productive Maintenance" by Terry Wireman</t>
  </si>
  <si>
    <t>"Customer Satisfaction Evaluation" by Evangelos Grigoroudis and Yannis Siskos</t>
  </si>
  <si>
    <t>Certified</t>
  </si>
  <si>
    <t>"Compliance Management" by Nitish Singh and Thomas J. Bussen</t>
  </si>
  <si>
    <t>≤6</t>
  </si>
  <si>
    <t>"Risk Assessment: Tools, Techniques, and Their Applications" by Lee T. Ostrom and Cheryl A. Wilhelmsen</t>
  </si>
  <si>
    <t>"Safety Management Systems in Aviation" by Alan J. Stolzer et al.</t>
  </si>
  <si>
    <t>"OSHA Standards for General Industry" by James S. Angle</t>
  </si>
  <si>
    <t>"Perception of Risk" by Paul Slovic</t>
  </si>
  <si>
    <t>≥98</t>
  </si>
  <si>
    <t>"Weather and Climate Resilience" by David P. Rogers and Vladimir V. Tsirkunov</t>
  </si>
  <si>
    <t>"Engineering Thermodynamics" by P.K. Nag</t>
  </si>
  <si>
    <t>IP66</t>
  </si>
  <si>
    <t>"Electrical Installations in Hazardous Areas" by Alan McMillan</t>
  </si>
  <si>
    <t>Member</t>
  </si>
  <si>
    <t>"Energy Efficiency in Motor Driven Systems" by Francesco Parasiliti and Paolo Bertoldi.</t>
  </si>
  <si>
    <t>"Irrigation Engineering" by Richard H. Cuenca.</t>
  </si>
  <si>
    <t>"Automation in Agriculture: Securing Food Supplies for Future Generations" edited by Stephan Hussmann.</t>
  </si>
  <si>
    <t>"Time Management for System Administrators" by Tom Limoncelli.</t>
  </si>
  <si>
    <t>"Pipe Flow: A Practical and Comprehensive Guide" by Donald C. Rennels and Hobart M. Hudson.</t>
  </si>
  <si>
    <t>"Labels and Packaging Design: The Inspirational Resource for Graphics and Designers" by Grip.</t>
  </si>
  <si>
    <t>"Developing Quality Technical Information: A Handbook for Writers and Editors" by Gretchen Hargis et al.</t>
  </si>
  <si>
    <t>"Engineering Tribology" by Gwidon W. Stachowiak and Andrew W. Batchelor.</t>
  </si>
  <si>
    <t>"Troubleshooting and Problem Solving for Process Operators and Specialists" by Joseph M. Bonem.</t>
  </si>
  <si>
    <t>"The Art of Troubleshooting" by Jason Maxham.</t>
  </si>
  <si>
    <t>"Service Design: From Insight to Implementation" by Andy Polaine, Lavrans Løvlie, and Ben Reason.</t>
  </si>
  <si>
    <t>"Effective Documentation: What We Have Learned from Research" by Stephen Doheny-Farina.</t>
  </si>
  <si>
    <t>"Energy Management Principles: Applications, Benefits, Savings" by Craig B. Smith and Kelly E. Parmenter.</t>
  </si>
  <si>
    <t>"Rainwater Harvesting: A Lifeline for Human Well-Being" by United Nations Environment Programme.</t>
  </si>
  <si>
    <t>"Rainwater Harvesting for Agriculture and Water Supply" by Qiang Zhu et al.</t>
  </si>
  <si>
    <t>"Maintenance Planning and Scheduling Handbook" by Richard (Doc) Palmer.</t>
  </si>
  <si>
    <t>32 to 140</t>
  </si>
  <si>
    <t>Total</t>
  </si>
  <si>
    <t>Weight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</si>
  <si>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</si>
  <si>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</si>
  <si>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</si>
  <si>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</si>
  <si>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</si>
  <si>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</si>
  <si>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</si>
  <si>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</si>
  <si>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</si>
  <si>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</si>
  <si>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</si>
  <si>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</si>
  <si>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</si>
  <si>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</si>
  <si>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</si>
  <si>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</si>
  <si>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</si>
  <si>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</si>
  <si>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</si>
  <si>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</si>
  <si>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</si>
  <si>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Customer Need</t>
  </si>
  <si>
    <t>Water Transfer Rate</t>
  </si>
  <si>
    <t>Liters per minute (L/min)</t>
  </si>
  <si>
    <t>Time to Water Garden</t>
  </si>
  <si>
    <t>Distribution Uniformity</t>
  </si>
  <si>
    <t>Percentage (%)</t>
  </si>
  <si>
    <t>Soil Moisture Variation</t>
  </si>
  <si>
    <t>Manual Operations Count</t>
  </si>
  <si>
    <t>Operational Effort Time</t>
  </si>
  <si>
    <t>Kilopascals (kPa)</t>
  </si>
  <si>
    <t>Flow Rate per Method</t>
  </si>
  <si>
    <t>Flow Rate Consistency</t>
  </si>
  <si>
    <t>Percentage (%) variation</t>
  </si>
  <si>
    <t>Performance at Varying Levels</t>
  </si>
  <si>
    <t>Minimum Operational Water Level</t>
  </si>
  <si>
    <t>Liters (L)</t>
  </si>
  <si>
    <t>Learning Time for New Users</t>
  </si>
  <si>
    <t>User Error Rate</t>
  </si>
  <si>
    <t>Control Interface Count</t>
  </si>
  <si>
    <t>Operation Initiation Time</t>
  </si>
  <si>
    <t>Seconds</t>
  </si>
  <si>
    <t>Instruction Steps Count</t>
  </si>
  <si>
    <t>Instruction Clarity Rating</t>
  </si>
  <si>
    <t>Likert scale units (1–5)</t>
  </si>
  <si>
    <t>Maintenance Frequency</t>
  </si>
  <si>
    <t>Times per year</t>
  </si>
  <si>
    <t>Maintenance Duration</t>
  </si>
  <si>
    <t>Expected Lifespan</t>
  </si>
  <si>
    <t>Warranty Period</t>
  </si>
  <si>
    <t>Troubleshooting Time</t>
  </si>
  <si>
    <t>Diagnostic Tools Availability</t>
  </si>
  <si>
    <t>Potable Water Savings</t>
  </si>
  <si>
    <t>Liters per month</t>
  </si>
  <si>
    <t>Rainwater Utilization Rate</t>
  </si>
  <si>
    <t>Compatibility Status</t>
  </si>
  <si>
    <t>Operating Noise Level</t>
  </si>
  <si>
    <t>Decibels (dB)</t>
  </si>
  <si>
    <t>Peak Noise Level</t>
  </si>
  <si>
    <t>Initial Implementation Cost</t>
  </si>
  <si>
    <t>Dollars ($)</t>
  </si>
  <si>
    <t>Cost per Garden Area</t>
  </si>
  <si>
    <t>Dollars per square meter ($/m²)</t>
  </si>
  <si>
    <t>Annual Operational Cost</t>
  </si>
  <si>
    <t>Dollars per year ($/year)</t>
  </si>
  <si>
    <t>Total Cost of Ownership</t>
  </si>
  <si>
    <t>Cost per Year of Lifespan</t>
  </si>
  <si>
    <t>Water Use Efficiency</t>
  </si>
  <si>
    <t>Standards Compliance Count</t>
  </si>
  <si>
    <t>Certification Status</t>
  </si>
  <si>
    <t>Hazard Count</t>
  </si>
  <si>
    <t>Risk Assessment Score</t>
  </si>
  <si>
    <t>Low/Medium/High</t>
  </si>
  <si>
    <t>Operational Temperature Range</t>
  </si>
  <si>
    <t>Degrees Celsius (°C)</t>
  </si>
  <si>
    <t>Weather Resistance Rating</t>
  </si>
  <si>
    <t>IP Rating (e.g., IP65)</t>
  </si>
  <si>
    <t>Metric 1</t>
  </si>
  <si>
    <t>Unit 1</t>
  </si>
  <si>
    <t>Metric 2</t>
  </si>
  <si>
    <t>Unit 2</t>
  </si>
  <si>
    <t>% volumetric water content</t>
  </si>
  <si>
    <t>Water Pressure at Delivery</t>
  </si>
  <si>
    <t>L/min and kPa at different levels</t>
  </si>
  <si>
    <t>Errors per operation cycle</t>
  </si>
  <si>
    <t>Eco-Friendly Materials %</t>
  </si>
  <si>
    <t>CR #</t>
  </si>
  <si>
    <t>TR#</t>
  </si>
  <si>
    <t>++</t>
  </si>
  <si>
    <t>CR#/TR#</t>
  </si>
  <si>
    <t>Metric</t>
  </si>
  <si>
    <t>Unit</t>
  </si>
  <si>
    <t>L/min</t>
  </si>
  <si>
    <t>%</t>
  </si>
  <si>
    <t>Physical Exertion Level</t>
  </si>
  <si>
    <t>Borg Scale units (6–20)</t>
  </si>
  <si>
    <t>kPa</t>
  </si>
  <si>
    <t>% variation</t>
  </si>
  <si>
    <t>L/min and kPa</t>
  </si>
  <si>
    <t>Liters</t>
  </si>
  <si>
    <t>dB</t>
  </si>
  <si>
    <t>$</t>
  </si>
  <si>
    <t>$/m²</t>
  </si>
  <si>
    <t>$/year</t>
  </si>
  <si>
    <t>°C</t>
  </si>
  <si>
    <t>Errors/op cycle</t>
  </si>
  <si>
    <t>Liters/month</t>
  </si>
  <si>
    <t>% water content</t>
  </si>
  <si>
    <t xml:space="preserve">Borg Scale </t>
  </si>
  <si>
    <t>low/hi</t>
  </si>
  <si>
    <t>% water</t>
  </si>
  <si>
    <t>Raw</t>
  </si>
  <si>
    <t>GARDENA 2000/2</t>
  </si>
  <si>
    <t>Bosch GardenPump 18V</t>
  </si>
  <si>
    <t>Quick and Efficient Water Transfer</t>
  </si>
  <si>
    <t>Consistent and Reliable Water Distribution</t>
  </si>
  <si>
    <t>Minimize Manual Labor</t>
  </si>
  <si>
    <t>Sufficient Water Pressure</t>
  </si>
  <si>
    <t>Flow Rate for Different Watering Methods</t>
  </si>
  <si>
    <t>Efficient Functioning with Varying Water Levels</t>
  </si>
  <si>
    <t>Ease of Operation</t>
  </si>
  <si>
    <t>Straightforward Controls and Minimal Operational Steps</t>
  </si>
  <si>
    <t>Minimal Maintenance</t>
  </si>
  <si>
    <t>Durability</t>
  </si>
  <si>
    <t>Easy Troubleshooting</t>
  </si>
  <si>
    <t>Minimize Environmental Impact</t>
  </si>
  <si>
    <t>Minimize Noise Pollution</t>
  </si>
  <si>
    <t>Cost-Effective</t>
  </si>
  <si>
    <t>Low Operational and Maintenance Costs</t>
  </si>
  <si>
    <t>Durability and Efficiency</t>
  </si>
  <si>
    <t>Compliance with Safety Standards</t>
  </si>
  <si>
    <t>Safe to Operate in Various Weather Conditions</t>
  </si>
  <si>
    <t>VPC Pump A Way Manual Pump</t>
  </si>
  <si>
    <t>EZ Crank Manual Water Pump</t>
  </si>
  <si>
    <t>Gardener's Rain Barrel Hand Pump</t>
  </si>
  <si>
    <t>RainPerfect Solar Pump</t>
  </si>
  <si>
    <t>RainFlo Solar Pump System</t>
  </si>
  <si>
    <t>Rule Solar Powered Pump</t>
  </si>
  <si>
    <t>Requirements</t>
  </si>
  <si>
    <t>Kärcher BP 2.000-18</t>
  </si>
  <si>
    <t>Battery</t>
  </si>
  <si>
    <t>Manual</t>
  </si>
  <si>
    <t>Solar</t>
  </si>
  <si>
    <t>Overall Range</t>
  </si>
  <si>
    <t>1 – 35</t>
  </si>
  <si>
    <t>30 – 35</t>
  </si>
  <si>
    <t>1 – 15</t>
  </si>
  <si>
    <t>10 – 15</t>
  </si>
  <si>
    <t>15 – 60</t>
  </si>
  <si>
    <t>15 – 30</t>
  </si>
  <si>
    <t>30 – 60</t>
  </si>
  <si>
    <t>20 – 40</t>
  </si>
  <si>
    <t>60% – 90%</t>
  </si>
  <si>
    <t>80% – 90%</t>
  </si>
  <si>
    <t>60% – 75%</t>
  </si>
  <si>
    <t>75% – 85%</t>
  </si>
  <si>
    <t>±5% – ±15%</t>
  </si>
  <si>
    <t>±5%</t>
  </si>
  <si>
    <t>±15%</t>
  </si>
  <si>
    <t>±10%</t>
  </si>
  <si>
    <t>1 – High</t>
  </si>
  <si>
    <t>1 – 2</t>
  </si>
  <si>
    <t>Continuous</t>
  </si>
  <si>
    <t>1 – 60</t>
  </si>
  <si>
    <t>Borg Scale</t>
  </si>
  <si>
    <t>6 – 15</t>
  </si>
  <si>
    <t>13 – 15</t>
  </si>
  <si>
    <t>50 – 250</t>
  </si>
  <si>
    <t>200 – 250</t>
  </si>
  <si>
    <t>50 – 100</t>
  </si>
  <si>
    <t>100 – 150</t>
  </si>
  <si>
    <t>±5% – ±20%</t>
  </si>
  <si>
    <t>±20%</t>
  </si>
  <si>
    <t>Varies</t>
  </si>
  <si>
    <t>Consistent</t>
  </si>
  <si>
    <t>Decreases</t>
  </si>
  <si>
    <t>Moderate</t>
  </si>
  <si>
    <t>5 – 20</t>
  </si>
  <si>
    <t>10 – 20</t>
  </si>
  <si>
    <t>5 – 10</t>
  </si>
  <si>
    <t>5 – 15</t>
  </si>
  <si>
    <t>Low (0.01)</t>
  </si>
  <si>
    <t>Moderate (0.05)</t>
  </si>
  <si>
    <t>Low (0.02)</t>
  </si>
  <si>
    <t>1 – 3</t>
  </si>
  <si>
    <t>Immediate – 20</t>
  </si>
  <si>
    <t>Immediate</t>
  </si>
  <si>
    <t>2 – 6</t>
  </si>
  <si>
    <t>3 – 5</t>
  </si>
  <si>
    <t>2 – 4</t>
  </si>
  <si>
    <t>4 – 6</t>
  </si>
  <si>
    <t>4 – 5</t>
  </si>
  <si>
    <t>1 – 4</t>
  </si>
  <si>
    <t>2 – 3</t>
  </si>
  <si>
    <t>10 – 30</t>
  </si>
  <si>
    <t>20 – 30</t>
  </si>
  <si>
    <t>3 – 10</t>
  </si>
  <si>
    <t>3 – 7</t>
  </si>
  <si>
    <t>10 – 40</t>
  </si>
  <si>
    <t>No</t>
  </si>
  <si>
    <t>60% – 80%</t>
  </si>
  <si>
    <t>1,000 – 3,000</t>
  </si>
  <si>
    <t>80% – 95%</t>
  </si>
  <si>
    <t>40 – 60</t>
  </si>
  <si>
    <t>50 – 60</t>
  </si>
  <si>
    <t>40 – 50</t>
  </si>
  <si>
    <t>45 – 55</t>
  </si>
  <si>
    <t>$30 – $300</t>
  </si>
  <si>
    <t>$150 – $250</t>
  </si>
  <si>
    <t>$30 – $150</t>
  </si>
  <si>
    <t>$170 – $300</t>
  </si>
  <si>
    <t>$1 – $5</t>
  </si>
  <si>
    <t>$0 – $20</t>
  </si>
  <si>
    <t>$10 – $20</t>
  </si>
  <si>
    <t>$0 – $10</t>
  </si>
  <si>
    <t>$30 – $350</t>
  </si>
  <si>
    <t>$200 – $350</t>
  </si>
  <si>
    <t>$170 – $350</t>
  </si>
  <si>
    <t>$6 – $70</t>
  </si>
  <si>
    <t>$40 – $70</t>
  </si>
  <si>
    <t>$6 – $30</t>
  </si>
  <si>
    <t>$34 – $70</t>
  </si>
  <si>
    <t>70% – 90%</t>
  </si>
  <si>
    <t>70% – 80%</t>
  </si>
  <si>
    <t>Low/High</t>
  </si>
  <si>
    <t>Low</t>
  </si>
  <si>
    <t>0°C – 40°C</t>
  </si>
  <si>
    <t>0.01-0.05</t>
  </si>
  <si>
    <t>Target Range</t>
  </si>
  <si>
    <t>Fallback Range</t>
  </si>
  <si>
    <t>Competitor Assesment</t>
  </si>
  <si>
    <t>Product Requirement</t>
  </si>
  <si>
    <t>30 – 49</t>
  </si>
  <si>
    <t>16 – 30</t>
  </si>
  <si>
    <t>85% – 90%</t>
  </si>
  <si>
    <t>75% – 84%</t>
  </si>
  <si>
    <t>±0% – ±5%</t>
  </si>
  <si>
    <t>3 – 4</t>
  </si>
  <si>
    <t>6 – 9</t>
  </si>
  <si>
    <t>10 – 11</t>
  </si>
  <si>
    <t>300 – 400</t>
  </si>
  <si>
    <t>200 – 299</t>
  </si>
  <si>
    <t>101 – 200</t>
  </si>
  <si>
    <t>6 – 10</t>
  </si>
  <si>
    <t>≤0.01</t>
  </si>
  <si>
    <t>0.011 – 0.02</t>
  </si>
  <si>
    <t>31 – 60</t>
  </si>
  <si>
    <t>11 – 20</t>
  </si>
  <si>
    <t>80% – 100%</t>
  </si>
  <si>
    <t>60% – 79%</t>
  </si>
  <si>
    <t>≥3,000</t>
  </si>
  <si>
    <t>2,000 – 2,999</t>
  </si>
  <si>
    <t>90% – 100%</t>
  </si>
  <si>
    <t>80% – 89%</t>
  </si>
  <si>
    <t>61 – 70</t>
  </si>
  <si>
    <t>≤1,000</t>
  </si>
  <si>
    <t>1,001 – 2,000</t>
  </si>
  <si>
    <t>$0 – $5</t>
  </si>
  <si>
    <t>$6 – $10</t>
  </si>
  <si>
    <t>≤50</t>
  </si>
  <si>
    <t>51 – 100</t>
  </si>
  <si>
    <t>≤1,500</t>
  </si>
  <si>
    <t>1,501 – 2,000</t>
  </si>
  <si>
    <t>≤150</t>
  </si>
  <si>
    <t>151 – 200</t>
  </si>
  <si>
    <t>All critical standards</t>
  </si>
  <si>
    <t>0 – 1</t>
  </si>
  <si>
    <t>-5 to 40</t>
  </si>
  <si>
    <t>0 to 35</t>
  </si>
  <si>
    <t>Yes (w. adapters)</t>
  </si>
  <si>
    <t>±5% – ±10%</t>
  </si>
  <si>
    <t xml:space="preserve">Battery-Powered </t>
  </si>
  <si>
    <t xml:space="preserve">Manual </t>
  </si>
  <si>
    <t>Solar-Powered</t>
  </si>
  <si>
    <t>Minor decrease</t>
  </si>
  <si>
    <t>All standards</t>
  </si>
  <si>
    <t>1-3</t>
  </si>
  <si>
    <t>A.1, B2</t>
  </si>
  <si>
    <t>A.2</t>
  </si>
  <si>
    <t>A.10, B4</t>
  </si>
  <si>
    <t>A.3, B2</t>
  </si>
  <si>
    <t>A.1, A.4</t>
  </si>
  <si>
    <t>A.4, B2</t>
  </si>
  <si>
    <t>A.7, B5</t>
  </si>
  <si>
    <t>A.9</t>
  </si>
  <si>
    <t>B10</t>
  </si>
  <si>
    <t>A.6, B5</t>
  </si>
  <si>
    <t>A.8, B2</t>
  </si>
  <si>
    <t>A.5</t>
  </si>
  <si>
    <t>B6</t>
  </si>
  <si>
    <t>A.11, B10</t>
  </si>
  <si>
    <t>References</t>
  </si>
  <si>
    <t>B11, B12</t>
  </si>
  <si>
    <t>B12, B13</t>
  </si>
  <si>
    <t>B11, B13</t>
  </si>
  <si>
    <t>B12, B14</t>
  </si>
  <si>
    <t>B11, B14</t>
  </si>
  <si>
    <t>B13, B14</t>
  </si>
  <si>
    <t>N/A</t>
  </si>
  <si>
    <t>2-5</t>
  </si>
  <si>
    <t>4-5</t>
  </si>
  <si>
    <t>2-4</t>
  </si>
  <si>
    <t>1-2</t>
  </si>
  <si>
    <t>2-6</t>
  </si>
  <si>
    <t>3+</t>
  </si>
  <si>
    <t>0-3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</si>
</sst>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02122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26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CCCCFF"/>
        <bgColor indexed="64"/>
      </patternFill>
    </fill>
  </fills>
  <borders count="6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6">
    <xf numFmtId="0" fontId="0" fillId="0" borderId="0"/>
    <xf numFmtId="9" fontId="3" fillId="0" borderId="0" applyFont="0" applyFill="0" applyBorder="0" applyAlignment="0" applyProtection="0"/>
    <xf numFmtId="0" fontId="5" fillId="0" borderId="6" applyNumberFormat="0" applyFill="0" applyAlignment="0" applyProtection="0"/>
    <xf numFmtId="0" fontId="6" fillId="4" borderId="7" applyNumberFormat="0" applyAlignment="0" applyProtection="0"/>
    <xf numFmtId="0" fontId="3" fillId="5" borderId="8" applyNumberFormat="0" applyFont="0" applyAlignment="0" applyProtection="0"/>
    <xf numFmtId="0" fontId="2" fillId="0" borderId="9" applyNumberFormat="0" applyFill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</cellStyleXfs>
  <cellXfs count="173">
    <xf numFmtId="0" fontId="0" fillId="0" borderId="0" xfId="0"/>
    <xf numFmtId="0" fontId="7" fillId="2" borderId="0" xfId="0" applyFont="1" applyFill="1"/>
    <xf numFmtId="0" fontId="0" fillId="3" borderId="0" xfId="0" applyFill="1"/>
    <xf numFmtId="0" fontId="0" fillId="0" borderId="2" xfId="0" applyBorder="1"/>
    <xf numFmtId="0" fontId="0" fillId="2" borderId="0" xfId="0" applyFill="1"/>
    <xf numFmtId="0" fontId="0" fillId="0" borderId="0" xfId="0" applyAlignment="1">
      <alignment vertical="center" wrapText="1"/>
    </xf>
    <xf numFmtId="0" fontId="9" fillId="0" borderId="0" xfId="0" applyFont="1"/>
    <xf numFmtId="0" fontId="2" fillId="0" borderId="0" xfId="0" applyFont="1" applyAlignment="1">
      <alignment horizontal="right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0" borderId="0" xfId="0" applyAlignment="1">
      <alignment horizontal="center"/>
    </xf>
    <xf numFmtId="0" fontId="0" fillId="16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15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5" borderId="8" xfId="4" applyFont="1"/>
    <xf numFmtId="0" fontId="5" fillId="5" borderId="6" xfId="2" applyFill="1"/>
    <xf numFmtId="0" fontId="5" fillId="0" borderId="6" xfId="2"/>
    <xf numFmtId="0" fontId="0" fillId="14" borderId="0" xfId="0" applyFill="1" applyAlignment="1">
      <alignment horizontal="center" vertical="center"/>
    </xf>
    <xf numFmtId="0" fontId="5" fillId="5" borderId="6" xfId="2" applyFill="1" applyAlignment="1">
      <alignment horizontal="center"/>
    </xf>
    <xf numFmtId="0" fontId="0" fillId="5" borderId="8" xfId="4" applyFont="1" applyAlignment="1">
      <alignment horizontal="center"/>
    </xf>
    <xf numFmtId="10" fontId="0" fillId="0" borderId="0" xfId="1" applyNumberFormat="1" applyFont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3" xfId="0" applyBorder="1"/>
    <xf numFmtId="0" fontId="0" fillId="0" borderId="10" xfId="0" applyBorder="1"/>
    <xf numFmtId="0" fontId="4" fillId="5" borderId="8" xfId="4" applyFont="1"/>
    <xf numFmtId="0" fontId="2" fillId="16" borderId="25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16" borderId="26" xfId="0" applyFont="1" applyFill="1" applyBorder="1" applyAlignment="1">
      <alignment horizontal="center" vertical="center"/>
    </xf>
    <xf numFmtId="0" fontId="7" fillId="15" borderId="10" xfId="0" applyFont="1" applyFill="1" applyBorder="1" applyAlignment="1">
      <alignment horizontal="center" vertical="center" wrapText="1"/>
    </xf>
    <xf numFmtId="0" fontId="2" fillId="16" borderId="27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16" borderId="28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5" borderId="8" xfId="4" applyFont="1" applyAlignment="1">
      <alignment horizontal="center" vertical="center"/>
    </xf>
    <xf numFmtId="0" fontId="3" fillId="4" borderId="7" xfId="3" applyFont="1" applyAlignment="1">
      <alignment horizontal="center" vertical="center"/>
    </xf>
    <xf numFmtId="0" fontId="7" fillId="8" borderId="0" xfId="8" applyFont="1" applyAlignment="1">
      <alignment horizontal="center" vertical="center"/>
    </xf>
    <xf numFmtId="10" fontId="7" fillId="9" borderId="0" xfId="9" applyNumberFormat="1" applyFont="1" applyAlignment="1">
      <alignment horizontal="center" vertical="center"/>
    </xf>
    <xf numFmtId="0" fontId="7" fillId="10" borderId="0" xfId="10" applyFont="1" applyAlignment="1">
      <alignment horizontal="center" vertical="center"/>
    </xf>
    <xf numFmtId="0" fontId="2" fillId="0" borderId="9" xfId="5" applyAlignment="1">
      <alignment horizontal="center" vertical="center"/>
    </xf>
    <xf numFmtId="10" fontId="2" fillId="0" borderId="9" xfId="5" applyNumberFormat="1" applyFill="1" applyAlignment="1">
      <alignment horizontal="center" vertical="center"/>
    </xf>
    <xf numFmtId="0" fontId="11" fillId="0" borderId="0" xfId="8" applyFont="1" applyFill="1" applyAlignment="1">
      <alignment horizontal="center" vertical="center"/>
    </xf>
    <xf numFmtId="0" fontId="0" fillId="17" borderId="30" xfId="0" applyFill="1" applyBorder="1" applyAlignment="1">
      <alignment horizontal="left" vertical="top" wrapText="1"/>
    </xf>
    <xf numFmtId="0" fontId="0" fillId="17" borderId="31" xfId="0" applyFill="1" applyBorder="1" applyAlignment="1">
      <alignment horizontal="left" vertical="top" wrapText="1"/>
    </xf>
    <xf numFmtId="0" fontId="0" fillId="17" borderId="32" xfId="0" applyFill="1" applyBorder="1" applyAlignment="1">
      <alignment horizontal="left" vertical="top" wrapText="1"/>
    </xf>
    <xf numFmtId="0" fontId="3" fillId="6" borderId="4" xfId="6" applyBorder="1"/>
    <xf numFmtId="0" fontId="3" fillId="6" borderId="5" xfId="6" applyBorder="1"/>
    <xf numFmtId="10" fontId="3" fillId="7" borderId="0" xfId="7" applyNumberFormat="1" applyBorder="1"/>
    <xf numFmtId="10" fontId="3" fillId="7" borderId="2" xfId="7" applyNumberFormat="1" applyBorder="1"/>
    <xf numFmtId="0" fontId="3" fillId="11" borderId="1" xfId="11" applyBorder="1"/>
    <xf numFmtId="0" fontId="3" fillId="11" borderId="3" xfId="11" applyBorder="1"/>
    <xf numFmtId="0" fontId="2" fillId="16" borderId="24" xfId="0" applyFont="1" applyFill="1" applyBorder="1" applyAlignment="1">
      <alignment horizontal="center" vertical="center"/>
    </xf>
    <xf numFmtId="0" fontId="2" fillId="16" borderId="33" xfId="0" applyFont="1" applyFill="1" applyBorder="1" applyAlignment="1">
      <alignment horizontal="center" vertical="center"/>
    </xf>
    <xf numFmtId="0" fontId="2" fillId="0" borderId="0" xfId="0" applyFont="1"/>
    <xf numFmtId="0" fontId="0" fillId="0" borderId="14" xfId="0" applyBorder="1"/>
    <xf numFmtId="0" fontId="0" fillId="0" borderId="17" xfId="0" applyBorder="1"/>
    <xf numFmtId="0" fontId="0" fillId="0" borderId="19" xfId="0" applyBorder="1"/>
    <xf numFmtId="0" fontId="0" fillId="0" borderId="34" xfId="0" applyBorder="1"/>
    <xf numFmtId="0" fontId="0" fillId="0" borderId="35" xfId="0" applyBorder="1"/>
    <xf numFmtId="0" fontId="0" fillId="0" borderId="36" xfId="0" applyBorder="1" applyAlignment="1">
      <alignment textRotation="90"/>
    </xf>
    <xf numFmtId="0" fontId="0" fillId="0" borderId="38" xfId="0" applyBorder="1" applyAlignment="1">
      <alignment textRotation="90"/>
    </xf>
    <xf numFmtId="0" fontId="0" fillId="0" borderId="0" xfId="0" applyAlignment="1">
      <alignment textRotation="135"/>
    </xf>
    <xf numFmtId="0" fontId="1" fillId="0" borderId="0" xfId="0" applyFont="1" applyAlignment="1">
      <alignment textRotation="135"/>
    </xf>
    <xf numFmtId="0" fontId="0" fillId="0" borderId="40" xfId="0" applyBorder="1" applyAlignment="1">
      <alignment textRotation="90"/>
    </xf>
    <xf numFmtId="0" fontId="0" fillId="0" borderId="41" xfId="0" applyBorder="1" applyAlignment="1">
      <alignment textRotation="90"/>
    </xf>
    <xf numFmtId="0" fontId="0" fillId="0" borderId="42" xfId="0" applyBorder="1" applyAlignment="1">
      <alignment textRotation="90"/>
    </xf>
    <xf numFmtId="0" fontId="3" fillId="19" borderId="0" xfId="13"/>
    <xf numFmtId="10" fontId="3" fillId="21" borderId="0" xfId="15" applyNumberFormat="1" applyAlignment="1">
      <alignment textRotation="90"/>
    </xf>
    <xf numFmtId="0" fontId="3" fillId="21" borderId="0" xfId="15"/>
    <xf numFmtId="0" fontId="0" fillId="22" borderId="0" xfId="0" applyFill="1" applyAlignment="1">
      <alignment textRotation="90"/>
    </xf>
    <xf numFmtId="0" fontId="0" fillId="22" borderId="43" xfId="0" applyFill="1" applyBorder="1"/>
    <xf numFmtId="0" fontId="0" fillId="0" borderId="31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3" fillId="20" borderId="14" xfId="14" applyBorder="1" applyAlignment="1">
      <alignment textRotation="90"/>
    </xf>
    <xf numFmtId="0" fontId="3" fillId="20" borderId="15" xfId="14" applyBorder="1" applyAlignment="1">
      <alignment textRotation="90"/>
    </xf>
    <xf numFmtId="0" fontId="3" fillId="18" borderId="15" xfId="12" applyBorder="1" applyAlignment="1">
      <alignment textRotation="90"/>
    </xf>
    <xf numFmtId="0" fontId="3" fillId="11" borderId="15" xfId="11" applyBorder="1" applyAlignment="1">
      <alignment textRotation="90"/>
    </xf>
    <xf numFmtId="0" fontId="3" fillId="11" borderId="16" xfId="11" applyBorder="1" applyAlignment="1">
      <alignment textRotation="90"/>
    </xf>
    <xf numFmtId="0" fontId="0" fillId="0" borderId="32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 textRotation="90" wrapText="1"/>
    </xf>
    <xf numFmtId="0" fontId="0" fillId="0" borderId="0" xfId="0" applyAlignment="1">
      <alignment horizontal="left" vertical="center" textRotation="90" wrapText="1"/>
    </xf>
    <xf numFmtId="6" fontId="0" fillId="0" borderId="0" xfId="0" applyNumberFormat="1" applyAlignment="1">
      <alignment horizontal="left" vertical="center" textRotation="90" wrapText="1"/>
    </xf>
    <xf numFmtId="0" fontId="3" fillId="20" borderId="19" xfId="14" applyBorder="1" applyAlignment="1">
      <alignment horizontal="center"/>
    </xf>
    <xf numFmtId="0" fontId="3" fillId="20" borderId="20" xfId="14" applyBorder="1" applyAlignment="1">
      <alignment horizontal="center"/>
    </xf>
    <xf numFmtId="0" fontId="3" fillId="18" borderId="20" xfId="12" applyBorder="1" applyAlignment="1">
      <alignment horizontal="center"/>
    </xf>
    <xf numFmtId="0" fontId="3" fillId="11" borderId="20" xfId="11" applyBorder="1" applyAlignment="1">
      <alignment horizontal="center"/>
    </xf>
    <xf numFmtId="0" fontId="3" fillId="11" borderId="21" xfId="1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2" fillId="0" borderId="39" xfId="0" applyFont="1" applyBorder="1" applyAlignment="1">
      <alignment horizontal="center" textRotation="90" wrapText="1"/>
    </xf>
    <xf numFmtId="0" fontId="2" fillId="0" borderId="0" xfId="0" applyFont="1" applyAlignment="1">
      <alignment horizontal="center" textRotation="90" wrapText="1"/>
    </xf>
    <xf numFmtId="0" fontId="0" fillId="0" borderId="24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2" fillId="3" borderId="4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14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 wrapText="1"/>
    </xf>
    <xf numFmtId="0" fontId="3" fillId="18" borderId="12" xfId="12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6" fontId="3" fillId="18" borderId="12" xfId="12" applyNumberForma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7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0" fillId="0" borderId="20" xfId="0" applyBorder="1" applyAlignment="1">
      <alignment horizontal="left" vertical="center" wrapText="1"/>
    </xf>
    <xf numFmtId="0" fontId="3" fillId="18" borderId="20" xfId="12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52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3" fillId="20" borderId="17" xfId="14" applyBorder="1" applyAlignment="1">
      <alignment horizontal="left" vertical="center" wrapText="1"/>
    </xf>
    <xf numFmtId="0" fontId="3" fillId="20" borderId="19" xfId="14" applyBorder="1" applyAlignment="1">
      <alignment horizontal="left" vertical="center" wrapText="1"/>
    </xf>
    <xf numFmtId="0" fontId="2" fillId="0" borderId="34" xfId="0" applyFont="1" applyBorder="1" applyAlignment="1">
      <alignment vertical="center" wrapText="1"/>
    </xf>
    <xf numFmtId="0" fontId="0" fillId="0" borderId="35" xfId="0" applyBorder="1" applyAlignment="1">
      <alignment horizontal="left" vertical="center" wrapText="1"/>
    </xf>
    <xf numFmtId="0" fontId="0" fillId="0" borderId="56" xfId="0" applyBorder="1" applyAlignment="1">
      <alignment horizontal="left" vertical="center" wrapText="1"/>
    </xf>
    <xf numFmtId="0" fontId="3" fillId="20" borderId="34" xfId="14" applyBorder="1" applyAlignment="1">
      <alignment horizontal="left" vertical="center" wrapText="1"/>
    </xf>
    <xf numFmtId="0" fontId="3" fillId="18" borderId="48" xfId="12" applyBorder="1" applyAlignment="1">
      <alignment horizontal="left" vertical="center" wrapText="1"/>
    </xf>
    <xf numFmtId="0" fontId="2" fillId="0" borderId="57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20" borderId="57" xfId="14" applyFont="1" applyBorder="1" applyAlignment="1">
      <alignment horizontal="center" vertical="center" wrapText="1"/>
    </xf>
    <xf numFmtId="0" fontId="2" fillId="18" borderId="38" xfId="12" applyFont="1" applyBorder="1" applyAlignment="1">
      <alignment horizontal="center" vertical="center" wrapText="1"/>
    </xf>
    <xf numFmtId="0" fontId="2" fillId="11" borderId="58" xfId="11" applyFont="1" applyBorder="1" applyAlignment="1">
      <alignment horizontal="center" vertical="center" wrapText="1"/>
    </xf>
    <xf numFmtId="0" fontId="3" fillId="11" borderId="49" xfId="11" applyBorder="1" applyAlignment="1">
      <alignment horizontal="left" vertical="center" wrapText="1"/>
    </xf>
    <xf numFmtId="0" fontId="3" fillId="11" borderId="50" xfId="11" applyBorder="1" applyAlignment="1">
      <alignment horizontal="left" vertical="center" wrapText="1"/>
    </xf>
    <xf numFmtId="0" fontId="3" fillId="11" borderId="51" xfId="1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/>
    <xf numFmtId="0" fontId="2" fillId="0" borderId="58" xfId="0" applyFont="1" applyBorder="1" applyAlignment="1">
      <alignment horizontal="center" vertical="center" wrapText="1"/>
    </xf>
    <xf numFmtId="49" fontId="0" fillId="0" borderId="50" xfId="0" applyNumberFormat="1" applyFont="1" applyBorder="1" applyAlignment="1">
      <alignment horizontal="left"/>
    </xf>
    <xf numFmtId="0" fontId="0" fillId="0" borderId="45" xfId="0" applyBorder="1" applyAlignment="1">
      <alignment horizontal="left" vertical="center" wrapText="1"/>
    </xf>
    <xf numFmtId="0" fontId="0" fillId="0" borderId="45" xfId="0" applyBorder="1" applyAlignment="1"/>
    <xf numFmtId="0" fontId="0" fillId="0" borderId="46" xfId="0" applyBorder="1" applyAlignment="1"/>
    <xf numFmtId="0" fontId="0" fillId="0" borderId="59" xfId="0" applyFont="1" applyBorder="1" applyAlignment="1">
      <alignment vertical="center" wrapText="1"/>
    </xf>
    <xf numFmtId="0" fontId="2" fillId="0" borderId="10" xfId="0" applyFont="1" applyBorder="1"/>
    <xf numFmtId="49" fontId="0" fillId="0" borderId="34" xfId="0" applyNumberFormat="1" applyFont="1" applyBorder="1" applyAlignment="1">
      <alignment horizontal="left"/>
    </xf>
    <xf numFmtId="49" fontId="0" fillId="0" borderId="49" xfId="0" applyNumberFormat="1" applyFont="1" applyBorder="1" applyAlignment="1">
      <alignment horizontal="left" vertical="center" wrapText="1"/>
    </xf>
    <xf numFmtId="49" fontId="0" fillId="0" borderId="17" xfId="0" applyNumberFormat="1" applyFont="1" applyBorder="1" applyAlignment="1">
      <alignment horizontal="left"/>
    </xf>
    <xf numFmtId="49" fontId="0" fillId="0" borderId="50" xfId="0" applyNumberFormat="1" applyFont="1" applyBorder="1" applyAlignment="1">
      <alignment horizontal="left" vertical="center" wrapText="1"/>
    </xf>
    <xf numFmtId="49" fontId="0" fillId="0" borderId="19" xfId="0" applyNumberFormat="1" applyFont="1" applyBorder="1" applyAlignment="1">
      <alignment horizontal="left"/>
    </xf>
    <xf numFmtId="49" fontId="0" fillId="0" borderId="51" xfId="0" applyNumberFormat="1" applyFont="1" applyBorder="1" applyAlignment="1">
      <alignment horizontal="left"/>
    </xf>
    <xf numFmtId="0" fontId="0" fillId="0" borderId="12" xfId="0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54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55" xfId="0" applyBorder="1"/>
  </cellXfs>
  <cellStyles count="16">
    <cellStyle name="20% - Accent4" xfId="13" builtinId="42"/>
    <cellStyle name="40% - Accent1" xfId="6" builtinId="31"/>
    <cellStyle name="40% - Accent2" xfId="7" builtinId="35"/>
    <cellStyle name="40% - Accent3" xfId="12" builtinId="39"/>
    <cellStyle name="40% - Accent4" xfId="14" builtinId="43"/>
    <cellStyle name="40% - Accent5" xfId="15" builtinId="47"/>
    <cellStyle name="40% - Accent6" xfId="11" builtinId="51"/>
    <cellStyle name="Accent3" xfId="8" builtinId="37"/>
    <cellStyle name="Accent4" xfId="9" builtinId="41"/>
    <cellStyle name="Accent5" xfId="10" builtinId="45"/>
    <cellStyle name="Calculation" xfId="3" builtinId="22"/>
    <cellStyle name="Heading 3" xfId="2" builtinId="18"/>
    <cellStyle name="Normal" xfId="0" builtinId="0"/>
    <cellStyle name="Note" xfId="4" builtinId="10"/>
    <cellStyle name="Percent" xfId="1" builtinId="5"/>
    <cellStyle name="Total" xfId="5" builtinId="25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CC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C79E3D-D863-4657-9D7A-5124BB069021}" name="Table1" displayName="Table1" ref="A1:C22" totalsRowShown="0">
  <autoFilter ref="A1:C22" xr:uid="{F6C79E3D-D863-4657-9D7A-5124BB069021}"/>
  <tableColumns count="3">
    <tableColumn id="1" xr3:uid="{8CE24F81-58CF-452C-AA87-A3B245668834}" name="Customer Req ID" dataDxfId="10"/>
    <tableColumn id="2" xr3:uid="{782AEBF9-47E2-4E1D-9EAF-C4D1CC4F722B}" name="Customer Requirement" dataDxfId="9"/>
    <tableColumn id="3" xr3:uid="{9023C0BF-7848-49B8-ABB7-D56A91FA700B}" name="Ranking" dataDxfId="8" dataCellStyle="Note">
      <calculatedColumnFormula>Metrics_Voting!C3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CE8B25-D426-4BBF-B953-376B264A6F0E}" name="Table2" displayName="Table2" ref="A1:C85" totalsRowShown="0">
  <autoFilter ref="A1:C85" xr:uid="{83CE8B25-D426-4BBF-B953-376B264A6F0E}"/>
  <sortState xmlns:xlrd2="http://schemas.microsoft.com/office/spreadsheetml/2017/richdata2" ref="A2:B85">
    <sortCondition ref="A1:A85"/>
  </sortState>
  <tableColumns count="3">
    <tableColumn id="1" xr3:uid="{36BB7EB0-BA85-46CE-9B06-95312044871E}" name="Tech Requirement ID"/>
    <tableColumn id="2" xr3:uid="{30533274-8E42-4B37-8878-CAE35B32FD8D}" name="Requirement"/>
    <tableColumn id="3" xr3:uid="{361C3FA0-8FBB-439C-9B22-8DD502EC0403}" name="Uni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BD7D5-8F72-C249-9DB3-73D0EB281185}">
  <dimension ref="B1:G68"/>
  <sheetViews>
    <sheetView zoomScaleNormal="100" workbookViewId="0">
      <selection activeCell="E68" sqref="A26:E68"/>
    </sheetView>
  </sheetViews>
  <sheetFormatPr defaultColWidth="11.42578125" defaultRowHeight="15" x14ac:dyDescent="0.25"/>
  <cols>
    <col min="2" max="2" width="91" bestFit="1" customWidth="1"/>
    <col min="3" max="3" width="11" customWidth="1"/>
    <col min="4" max="5" width="25.28515625" bestFit="1" customWidth="1"/>
    <col min="6" max="6" width="27.7109375" bestFit="1" customWidth="1"/>
    <col min="7" max="7" width="25.28515625" bestFit="1" customWidth="1"/>
  </cols>
  <sheetData>
    <row r="1" spans="2:7" x14ac:dyDescent="0.25">
      <c r="B1" s="64" t="s">
        <v>448</v>
      </c>
      <c r="C1" s="64" t="s">
        <v>1</v>
      </c>
      <c r="D1" s="64" t="s">
        <v>504</v>
      </c>
      <c r="E1" s="64" t="s">
        <v>505</v>
      </c>
      <c r="F1" s="64" t="s">
        <v>506</v>
      </c>
      <c r="G1" s="64" t="s">
        <v>507</v>
      </c>
    </row>
    <row r="2" spans="2:7" x14ac:dyDescent="0.25">
      <c r="B2" t="s">
        <v>13</v>
      </c>
      <c r="C2">
        <v>5</v>
      </c>
      <c r="D2" t="s">
        <v>449</v>
      </c>
      <c r="E2" t="s">
        <v>450</v>
      </c>
      <c r="F2" t="s">
        <v>451</v>
      </c>
      <c r="G2" t="s">
        <v>63</v>
      </c>
    </row>
    <row r="3" spans="2:7" x14ac:dyDescent="0.25">
      <c r="B3" t="s">
        <v>14</v>
      </c>
      <c r="C3">
        <v>5</v>
      </c>
      <c r="D3" t="s">
        <v>452</v>
      </c>
      <c r="E3" t="s">
        <v>453</v>
      </c>
      <c r="F3" t="s">
        <v>454</v>
      </c>
      <c r="G3" t="s">
        <v>508</v>
      </c>
    </row>
    <row r="4" spans="2:7" x14ac:dyDescent="0.25">
      <c r="B4" t="s">
        <v>15</v>
      </c>
      <c r="C4">
        <v>4</v>
      </c>
      <c r="D4" t="s">
        <v>455</v>
      </c>
      <c r="E4" t="s">
        <v>60</v>
      </c>
      <c r="F4" t="s">
        <v>456</v>
      </c>
      <c r="G4" t="s">
        <v>63</v>
      </c>
    </row>
    <row r="5" spans="2:7" x14ac:dyDescent="0.25">
      <c r="B5" t="s">
        <v>16</v>
      </c>
      <c r="C5">
        <v>4</v>
      </c>
      <c r="D5" t="s">
        <v>509</v>
      </c>
      <c r="E5" t="s">
        <v>457</v>
      </c>
    </row>
    <row r="6" spans="2:7" x14ac:dyDescent="0.25">
      <c r="B6" t="s">
        <v>17</v>
      </c>
      <c r="C6">
        <v>4</v>
      </c>
      <c r="D6" t="s">
        <v>458</v>
      </c>
      <c r="E6" t="s">
        <v>450</v>
      </c>
      <c r="F6" t="s">
        <v>459</v>
      </c>
      <c r="G6" t="s">
        <v>460</v>
      </c>
    </row>
    <row r="7" spans="2:7" x14ac:dyDescent="0.25">
      <c r="B7" t="s">
        <v>18</v>
      </c>
      <c r="C7">
        <v>3</v>
      </c>
      <c r="D7" t="s">
        <v>461</v>
      </c>
      <c r="E7" t="s">
        <v>510</v>
      </c>
      <c r="F7" t="s">
        <v>462</v>
      </c>
      <c r="G7" t="s">
        <v>463</v>
      </c>
    </row>
    <row r="8" spans="2:7" x14ac:dyDescent="0.25">
      <c r="B8" t="s">
        <v>19</v>
      </c>
      <c r="C8">
        <v>4</v>
      </c>
      <c r="D8" t="s">
        <v>464</v>
      </c>
      <c r="E8" t="s">
        <v>63</v>
      </c>
      <c r="F8" t="s">
        <v>465</v>
      </c>
      <c r="G8" t="s">
        <v>511</v>
      </c>
    </row>
    <row r="9" spans="2:7" x14ac:dyDescent="0.25">
      <c r="B9" t="s">
        <v>20</v>
      </c>
      <c r="C9">
        <v>3</v>
      </c>
      <c r="D9" t="s">
        <v>466</v>
      </c>
      <c r="E9" t="s">
        <v>60</v>
      </c>
      <c r="F9" t="s">
        <v>467</v>
      </c>
      <c r="G9" t="s">
        <v>468</v>
      </c>
    </row>
    <row r="10" spans="2:7" x14ac:dyDescent="0.25">
      <c r="B10" t="s">
        <v>21</v>
      </c>
      <c r="C10">
        <v>3</v>
      </c>
      <c r="D10" t="s">
        <v>469</v>
      </c>
      <c r="E10" t="s">
        <v>60</v>
      </c>
      <c r="F10" t="s">
        <v>470</v>
      </c>
      <c r="G10" t="s">
        <v>471</v>
      </c>
    </row>
    <row r="11" spans="2:7" x14ac:dyDescent="0.25">
      <c r="B11" t="s">
        <v>22</v>
      </c>
      <c r="C11">
        <v>4</v>
      </c>
      <c r="D11" t="s">
        <v>472</v>
      </c>
      <c r="E11" t="s">
        <v>473</v>
      </c>
      <c r="F11" t="s">
        <v>474</v>
      </c>
      <c r="G11" t="s">
        <v>63</v>
      </c>
    </row>
    <row r="12" spans="2:7" x14ac:dyDescent="0.25">
      <c r="B12" t="s">
        <v>23</v>
      </c>
      <c r="C12">
        <v>4</v>
      </c>
      <c r="D12" t="s">
        <v>475</v>
      </c>
      <c r="E12" t="s">
        <v>8</v>
      </c>
      <c r="F12" t="s">
        <v>476</v>
      </c>
      <c r="G12" t="s">
        <v>8</v>
      </c>
    </row>
    <row r="13" spans="2:7" x14ac:dyDescent="0.25">
      <c r="B13" t="s">
        <v>24</v>
      </c>
      <c r="C13">
        <v>3</v>
      </c>
      <c r="D13" t="s">
        <v>477</v>
      </c>
      <c r="E13" t="s">
        <v>63</v>
      </c>
      <c r="F13" t="s">
        <v>478</v>
      </c>
      <c r="G13" t="s">
        <v>107</v>
      </c>
    </row>
    <row r="14" spans="2:7" x14ac:dyDescent="0.25">
      <c r="B14" t="s">
        <v>25</v>
      </c>
      <c r="C14">
        <v>4</v>
      </c>
      <c r="D14" t="s">
        <v>512</v>
      </c>
      <c r="E14" t="s">
        <v>453</v>
      </c>
      <c r="F14" t="s">
        <v>479</v>
      </c>
      <c r="G14" t="s">
        <v>480</v>
      </c>
    </row>
    <row r="15" spans="2:7" x14ac:dyDescent="0.25">
      <c r="B15" t="s">
        <v>26</v>
      </c>
      <c r="C15">
        <v>3</v>
      </c>
      <c r="D15" t="s">
        <v>481</v>
      </c>
      <c r="E15" t="s">
        <v>453</v>
      </c>
      <c r="F15" t="s">
        <v>482</v>
      </c>
      <c r="G15" t="s">
        <v>107</v>
      </c>
    </row>
    <row r="16" spans="2:7" x14ac:dyDescent="0.25">
      <c r="B16" t="s">
        <v>27</v>
      </c>
      <c r="C16">
        <v>3</v>
      </c>
      <c r="D16" t="s">
        <v>483</v>
      </c>
      <c r="E16" t="s">
        <v>484</v>
      </c>
      <c r="F16" t="s">
        <v>485</v>
      </c>
      <c r="G16" t="s">
        <v>484</v>
      </c>
    </row>
    <row r="17" spans="2:7" x14ac:dyDescent="0.25">
      <c r="B17" t="s">
        <v>28</v>
      </c>
      <c r="C17">
        <v>4</v>
      </c>
      <c r="D17" t="s">
        <v>486</v>
      </c>
      <c r="E17" t="s">
        <v>487</v>
      </c>
      <c r="F17" t="s">
        <v>488</v>
      </c>
      <c r="G17" t="s">
        <v>489</v>
      </c>
    </row>
    <row r="18" spans="2:7" x14ac:dyDescent="0.25">
      <c r="B18" t="s">
        <v>29</v>
      </c>
      <c r="C18">
        <v>4</v>
      </c>
      <c r="D18" t="s">
        <v>490</v>
      </c>
      <c r="E18" t="s">
        <v>491</v>
      </c>
      <c r="F18" t="s">
        <v>492</v>
      </c>
      <c r="G18" t="s">
        <v>487</v>
      </c>
    </row>
    <row r="19" spans="2:7" x14ac:dyDescent="0.25">
      <c r="B19" t="s">
        <v>30</v>
      </c>
      <c r="C19">
        <v>3</v>
      </c>
      <c r="D19" t="s">
        <v>493</v>
      </c>
      <c r="E19" t="s">
        <v>491</v>
      </c>
      <c r="F19" t="s">
        <v>494</v>
      </c>
      <c r="G19" t="s">
        <v>453</v>
      </c>
    </row>
    <row r="20" spans="2:7" x14ac:dyDescent="0.25">
      <c r="B20" t="s">
        <v>31</v>
      </c>
      <c r="C20">
        <v>4</v>
      </c>
      <c r="D20" t="s">
        <v>495</v>
      </c>
      <c r="E20" t="s">
        <v>60</v>
      </c>
      <c r="F20" t="s">
        <v>496</v>
      </c>
      <c r="G20" t="s">
        <v>107</v>
      </c>
    </row>
    <row r="21" spans="2:7" x14ac:dyDescent="0.25">
      <c r="B21" t="s">
        <v>32</v>
      </c>
      <c r="C21">
        <v>3</v>
      </c>
      <c r="D21" t="s">
        <v>497</v>
      </c>
      <c r="E21" t="s">
        <v>60</v>
      </c>
      <c r="F21" t="s">
        <v>498</v>
      </c>
      <c r="G21" t="s">
        <v>499</v>
      </c>
    </row>
    <row r="22" spans="2:7" x14ac:dyDescent="0.25">
      <c r="B22" t="s">
        <v>33</v>
      </c>
      <c r="C22">
        <v>4</v>
      </c>
      <c r="D22" t="s">
        <v>500</v>
      </c>
      <c r="E22" t="s">
        <v>501</v>
      </c>
      <c r="F22" t="s">
        <v>502</v>
      </c>
      <c r="G22" t="s">
        <v>503</v>
      </c>
    </row>
    <row r="26" spans="2:7" ht="15.75" thickBot="1" x14ac:dyDescent="0.3"/>
    <row r="27" spans="2:7" ht="15" customHeight="1" x14ac:dyDescent="0.25">
      <c r="B27" s="164" t="s">
        <v>448</v>
      </c>
      <c r="C27" s="123" t="s">
        <v>1</v>
      </c>
      <c r="D27" s="123" t="s">
        <v>517</v>
      </c>
      <c r="E27" s="128" t="s">
        <v>518</v>
      </c>
    </row>
    <row r="28" spans="2:7" ht="15" customHeight="1" x14ac:dyDescent="0.25">
      <c r="B28" s="165" t="s">
        <v>13</v>
      </c>
      <c r="C28" s="163">
        <v>5</v>
      </c>
      <c r="D28" s="121" t="s">
        <v>449</v>
      </c>
      <c r="E28" s="129" t="s">
        <v>450</v>
      </c>
    </row>
    <row r="29" spans="2:7" ht="15" customHeight="1" x14ac:dyDescent="0.25">
      <c r="B29" s="165"/>
      <c r="C29" s="163"/>
      <c r="D29" s="121" t="s">
        <v>451</v>
      </c>
      <c r="E29" s="129" t="s">
        <v>63</v>
      </c>
    </row>
    <row r="30" spans="2:7" ht="15" customHeight="1" x14ac:dyDescent="0.25">
      <c r="B30" s="165" t="s">
        <v>14</v>
      </c>
      <c r="C30" s="163">
        <v>5</v>
      </c>
      <c r="D30" s="121" t="s">
        <v>452</v>
      </c>
      <c r="E30" s="129" t="s">
        <v>453</v>
      </c>
    </row>
    <row r="31" spans="2:7" ht="15" customHeight="1" x14ac:dyDescent="0.25">
      <c r="B31" s="165"/>
      <c r="C31" s="163"/>
      <c r="D31" s="121" t="s">
        <v>454</v>
      </c>
      <c r="E31" s="129" t="s">
        <v>508</v>
      </c>
    </row>
    <row r="32" spans="2:7" ht="15" customHeight="1" x14ac:dyDescent="0.25">
      <c r="B32" s="165" t="s">
        <v>15</v>
      </c>
      <c r="C32" s="163">
        <v>4</v>
      </c>
      <c r="D32" s="121" t="s">
        <v>455</v>
      </c>
      <c r="E32" s="129" t="s">
        <v>60</v>
      </c>
    </row>
    <row r="33" spans="2:5" ht="15" customHeight="1" x14ac:dyDescent="0.25">
      <c r="B33" s="165"/>
      <c r="C33" s="163"/>
      <c r="D33" s="121" t="s">
        <v>456</v>
      </c>
      <c r="E33" s="129" t="s">
        <v>63</v>
      </c>
    </row>
    <row r="34" spans="2:5" ht="15" customHeight="1" x14ac:dyDescent="0.25">
      <c r="B34" s="166" t="s">
        <v>16</v>
      </c>
      <c r="C34" s="121">
        <v>4</v>
      </c>
      <c r="D34" s="121" t="s">
        <v>509</v>
      </c>
      <c r="E34" s="129" t="s">
        <v>457</v>
      </c>
    </row>
    <row r="35" spans="2:5" ht="15" customHeight="1" x14ac:dyDescent="0.25">
      <c r="B35" s="165" t="s">
        <v>17</v>
      </c>
      <c r="C35" s="163">
        <v>4</v>
      </c>
      <c r="D35" s="121" t="s">
        <v>458</v>
      </c>
      <c r="E35" s="129" t="s">
        <v>450</v>
      </c>
    </row>
    <row r="36" spans="2:5" ht="15" customHeight="1" x14ac:dyDescent="0.25">
      <c r="B36" s="165"/>
      <c r="C36" s="163"/>
      <c r="D36" s="121" t="s">
        <v>459</v>
      </c>
      <c r="E36" s="129" t="s">
        <v>460</v>
      </c>
    </row>
    <row r="37" spans="2:5" ht="15" customHeight="1" x14ac:dyDescent="0.25">
      <c r="B37" s="165" t="s">
        <v>18</v>
      </c>
      <c r="C37" s="163">
        <v>3</v>
      </c>
      <c r="D37" s="121" t="s">
        <v>461</v>
      </c>
      <c r="E37" s="129" t="s">
        <v>510</v>
      </c>
    </row>
    <row r="38" spans="2:5" ht="15" customHeight="1" x14ac:dyDescent="0.25">
      <c r="B38" s="165"/>
      <c r="C38" s="163"/>
      <c r="D38" s="121" t="s">
        <v>462</v>
      </c>
      <c r="E38" s="129" t="s">
        <v>463</v>
      </c>
    </row>
    <row r="39" spans="2:5" ht="15" customHeight="1" x14ac:dyDescent="0.25">
      <c r="B39" s="165" t="s">
        <v>19</v>
      </c>
      <c r="C39" s="163">
        <v>4</v>
      </c>
      <c r="D39" s="121" t="s">
        <v>464</v>
      </c>
      <c r="E39" s="129" t="s">
        <v>63</v>
      </c>
    </row>
    <row r="40" spans="2:5" ht="15" customHeight="1" x14ac:dyDescent="0.25">
      <c r="B40" s="165"/>
      <c r="C40" s="163"/>
      <c r="D40" s="121" t="s">
        <v>465</v>
      </c>
      <c r="E40" s="129" t="s">
        <v>511</v>
      </c>
    </row>
    <row r="41" spans="2:5" ht="15" customHeight="1" x14ac:dyDescent="0.25">
      <c r="B41" s="165" t="s">
        <v>20</v>
      </c>
      <c r="C41" s="163">
        <v>3</v>
      </c>
      <c r="D41" s="121" t="s">
        <v>466</v>
      </c>
      <c r="E41" s="129" t="s">
        <v>60</v>
      </c>
    </row>
    <row r="42" spans="2:5" ht="15" customHeight="1" x14ac:dyDescent="0.25">
      <c r="B42" s="165"/>
      <c r="C42" s="163"/>
      <c r="D42" s="121" t="s">
        <v>467</v>
      </c>
      <c r="E42" s="129" t="s">
        <v>468</v>
      </c>
    </row>
    <row r="43" spans="2:5" ht="15" customHeight="1" x14ac:dyDescent="0.25">
      <c r="B43" s="165" t="s">
        <v>21</v>
      </c>
      <c r="C43" s="163">
        <v>3</v>
      </c>
      <c r="D43" s="121" t="s">
        <v>469</v>
      </c>
      <c r="E43" s="129" t="s">
        <v>60</v>
      </c>
    </row>
    <row r="44" spans="2:5" ht="15" customHeight="1" x14ac:dyDescent="0.25">
      <c r="B44" s="165"/>
      <c r="C44" s="163"/>
      <c r="D44" s="121" t="s">
        <v>470</v>
      </c>
      <c r="E44" s="129" t="s">
        <v>471</v>
      </c>
    </row>
    <row r="45" spans="2:5" ht="15" customHeight="1" x14ac:dyDescent="0.25">
      <c r="B45" s="165" t="s">
        <v>22</v>
      </c>
      <c r="C45" s="163">
        <v>4</v>
      </c>
      <c r="D45" s="121" t="s">
        <v>472</v>
      </c>
      <c r="E45" s="129" t="s">
        <v>473</v>
      </c>
    </row>
    <row r="46" spans="2:5" ht="15" customHeight="1" x14ac:dyDescent="0.25">
      <c r="B46" s="165"/>
      <c r="C46" s="163"/>
      <c r="D46" s="121" t="s">
        <v>474</v>
      </c>
      <c r="E46" s="129" t="s">
        <v>63</v>
      </c>
    </row>
    <row r="47" spans="2:5" ht="15" customHeight="1" x14ac:dyDescent="0.25">
      <c r="B47" s="165" t="s">
        <v>23</v>
      </c>
      <c r="C47" s="163">
        <v>4</v>
      </c>
      <c r="D47" s="121" t="s">
        <v>475</v>
      </c>
      <c r="E47" s="129" t="s">
        <v>8</v>
      </c>
    </row>
    <row r="48" spans="2:5" ht="15" customHeight="1" x14ac:dyDescent="0.25">
      <c r="B48" s="165"/>
      <c r="C48" s="163"/>
      <c r="D48" s="121" t="s">
        <v>476</v>
      </c>
      <c r="E48" s="129" t="s">
        <v>8</v>
      </c>
    </row>
    <row r="49" spans="2:5" ht="15" customHeight="1" x14ac:dyDescent="0.25">
      <c r="B49" s="165" t="s">
        <v>24</v>
      </c>
      <c r="C49" s="163">
        <v>3</v>
      </c>
      <c r="D49" s="121" t="s">
        <v>477</v>
      </c>
      <c r="E49" s="129" t="s">
        <v>63</v>
      </c>
    </row>
    <row r="50" spans="2:5" ht="15" customHeight="1" x14ac:dyDescent="0.25">
      <c r="B50" s="165"/>
      <c r="C50" s="163"/>
      <c r="D50" s="121" t="s">
        <v>478</v>
      </c>
      <c r="E50" s="129" t="s">
        <v>107</v>
      </c>
    </row>
    <row r="51" spans="2:5" ht="15" customHeight="1" x14ac:dyDescent="0.25">
      <c r="B51" s="165" t="s">
        <v>25</v>
      </c>
      <c r="C51" s="163">
        <v>4</v>
      </c>
      <c r="D51" s="121" t="s">
        <v>512</v>
      </c>
      <c r="E51" s="129" t="s">
        <v>453</v>
      </c>
    </row>
    <row r="52" spans="2:5" ht="15" customHeight="1" x14ac:dyDescent="0.25">
      <c r="B52" s="165"/>
      <c r="C52" s="163"/>
      <c r="D52" s="121" t="s">
        <v>479</v>
      </c>
      <c r="E52" s="129" t="s">
        <v>480</v>
      </c>
    </row>
    <row r="53" spans="2:5" ht="15" customHeight="1" x14ac:dyDescent="0.25">
      <c r="B53" s="165" t="s">
        <v>26</v>
      </c>
      <c r="C53" s="163">
        <v>3</v>
      </c>
      <c r="D53" s="121" t="s">
        <v>481</v>
      </c>
      <c r="E53" s="129" t="s">
        <v>453</v>
      </c>
    </row>
    <row r="54" spans="2:5" ht="15" customHeight="1" x14ac:dyDescent="0.25">
      <c r="B54" s="165"/>
      <c r="C54" s="163"/>
      <c r="D54" s="121" t="s">
        <v>482</v>
      </c>
      <c r="E54" s="129" t="s">
        <v>107</v>
      </c>
    </row>
    <row r="55" spans="2:5" ht="15" customHeight="1" x14ac:dyDescent="0.25">
      <c r="B55" s="165" t="s">
        <v>27</v>
      </c>
      <c r="C55" s="163">
        <v>3</v>
      </c>
      <c r="D55" s="121" t="s">
        <v>483</v>
      </c>
      <c r="E55" s="129" t="s">
        <v>484</v>
      </c>
    </row>
    <row r="56" spans="2:5" ht="15" customHeight="1" x14ac:dyDescent="0.25">
      <c r="B56" s="165"/>
      <c r="C56" s="163"/>
      <c r="D56" s="121" t="s">
        <v>485</v>
      </c>
      <c r="E56" s="129" t="s">
        <v>484</v>
      </c>
    </row>
    <row r="57" spans="2:5" ht="15" customHeight="1" x14ac:dyDescent="0.25">
      <c r="B57" s="165" t="s">
        <v>28</v>
      </c>
      <c r="C57" s="163">
        <v>4</v>
      </c>
      <c r="D57" s="121" t="s">
        <v>486</v>
      </c>
      <c r="E57" s="129" t="s">
        <v>487</v>
      </c>
    </row>
    <row r="58" spans="2:5" ht="15" customHeight="1" x14ac:dyDescent="0.25">
      <c r="B58" s="165"/>
      <c r="C58" s="163"/>
      <c r="D58" s="121" t="s">
        <v>488</v>
      </c>
      <c r="E58" s="129" t="s">
        <v>489</v>
      </c>
    </row>
    <row r="59" spans="2:5" ht="15" customHeight="1" x14ac:dyDescent="0.25">
      <c r="B59" s="165" t="s">
        <v>29</v>
      </c>
      <c r="C59" s="163">
        <v>4</v>
      </c>
      <c r="D59" s="121" t="s">
        <v>490</v>
      </c>
      <c r="E59" s="129" t="s">
        <v>491</v>
      </c>
    </row>
    <row r="60" spans="2:5" ht="15" customHeight="1" x14ac:dyDescent="0.25">
      <c r="B60" s="165"/>
      <c r="C60" s="163"/>
      <c r="D60" s="121" t="s">
        <v>492</v>
      </c>
      <c r="E60" s="129" t="s">
        <v>487</v>
      </c>
    </row>
    <row r="61" spans="2:5" ht="15" customHeight="1" x14ac:dyDescent="0.25">
      <c r="B61" s="165" t="s">
        <v>30</v>
      </c>
      <c r="C61" s="163">
        <v>3</v>
      </c>
      <c r="D61" s="121" t="s">
        <v>493</v>
      </c>
      <c r="E61" s="129" t="s">
        <v>491</v>
      </c>
    </row>
    <row r="62" spans="2:5" ht="15" customHeight="1" x14ac:dyDescent="0.25">
      <c r="B62" s="165"/>
      <c r="C62" s="163"/>
      <c r="D62" s="121" t="s">
        <v>494</v>
      </c>
      <c r="E62" s="129" t="s">
        <v>453</v>
      </c>
    </row>
    <row r="63" spans="2:5" ht="15" customHeight="1" x14ac:dyDescent="0.25">
      <c r="B63" s="165" t="s">
        <v>31</v>
      </c>
      <c r="C63" s="163">
        <v>4</v>
      </c>
      <c r="D63" s="121" t="s">
        <v>495</v>
      </c>
      <c r="E63" s="129" t="s">
        <v>60</v>
      </c>
    </row>
    <row r="64" spans="2:5" ht="15" customHeight="1" x14ac:dyDescent="0.25">
      <c r="B64" s="165"/>
      <c r="C64" s="163"/>
      <c r="D64" s="121" t="s">
        <v>496</v>
      </c>
      <c r="E64" s="129" t="s">
        <v>107</v>
      </c>
    </row>
    <row r="65" spans="2:5" ht="15" customHeight="1" x14ac:dyDescent="0.25">
      <c r="B65" s="165" t="s">
        <v>32</v>
      </c>
      <c r="C65" s="163">
        <v>3</v>
      </c>
      <c r="D65" s="121" t="s">
        <v>497</v>
      </c>
      <c r="E65" s="129" t="s">
        <v>60</v>
      </c>
    </row>
    <row r="66" spans="2:5" ht="15" customHeight="1" x14ac:dyDescent="0.25">
      <c r="B66" s="165"/>
      <c r="C66" s="163"/>
      <c r="D66" s="121" t="s">
        <v>498</v>
      </c>
      <c r="E66" s="129" t="s">
        <v>499</v>
      </c>
    </row>
    <row r="67" spans="2:5" ht="15" customHeight="1" x14ac:dyDescent="0.25">
      <c r="B67" s="165" t="s">
        <v>33</v>
      </c>
      <c r="C67" s="163">
        <v>4</v>
      </c>
      <c r="D67" s="121" t="s">
        <v>500</v>
      </c>
      <c r="E67" s="129" t="s">
        <v>501</v>
      </c>
    </row>
    <row r="68" spans="2:5" ht="15" customHeight="1" thickBot="1" x14ac:dyDescent="0.3">
      <c r="B68" s="167"/>
      <c r="C68" s="168"/>
      <c r="D68" s="126" t="s">
        <v>502</v>
      </c>
      <c r="E68" s="130" t="s">
        <v>503</v>
      </c>
    </row>
  </sheetData>
  <mergeCells count="40">
    <mergeCell ref="C57:C58"/>
    <mergeCell ref="C59:C60"/>
    <mergeCell ref="C61:C62"/>
    <mergeCell ref="C63:C64"/>
    <mergeCell ref="C65:C66"/>
    <mergeCell ref="C67:C68"/>
    <mergeCell ref="C45:C46"/>
    <mergeCell ref="C47:C48"/>
    <mergeCell ref="C49:C50"/>
    <mergeCell ref="C51:C52"/>
    <mergeCell ref="C53:C54"/>
    <mergeCell ref="C55:C56"/>
    <mergeCell ref="B65:B66"/>
    <mergeCell ref="B67:B68"/>
    <mergeCell ref="C28:C29"/>
    <mergeCell ref="C30:C31"/>
    <mergeCell ref="C32:C33"/>
    <mergeCell ref="C35:C36"/>
    <mergeCell ref="C37:C38"/>
    <mergeCell ref="C39:C40"/>
    <mergeCell ref="C41:C42"/>
    <mergeCell ref="C43:C44"/>
    <mergeCell ref="B53:B54"/>
    <mergeCell ref="B55:B56"/>
    <mergeCell ref="B57:B58"/>
    <mergeCell ref="B59:B60"/>
    <mergeCell ref="B61:B62"/>
    <mergeCell ref="B63:B64"/>
    <mergeCell ref="B41:B42"/>
    <mergeCell ref="B43:B44"/>
    <mergeCell ref="B45:B46"/>
    <mergeCell ref="B47:B48"/>
    <mergeCell ref="B49:B50"/>
    <mergeCell ref="B51:B52"/>
    <mergeCell ref="B28:B29"/>
    <mergeCell ref="B30:B31"/>
    <mergeCell ref="B32:B33"/>
    <mergeCell ref="B35:B36"/>
    <mergeCell ref="B37:B38"/>
    <mergeCell ref="B39:B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4C4AF-6349-408B-AA3D-B68DAFC3744D}">
  <dimension ref="B1:K21"/>
  <sheetViews>
    <sheetView workbookViewId="0">
      <selection sqref="A1:K21"/>
    </sheetView>
  </sheetViews>
  <sheetFormatPr defaultRowHeight="15" x14ac:dyDescent="0.25"/>
  <cols>
    <col min="2" max="2" width="51.85546875" bestFit="1" customWidth="1"/>
    <col min="3" max="11" width="3.7109375" bestFit="1" customWidth="1"/>
  </cols>
  <sheetData>
    <row r="1" spans="2:11" ht="15.75" thickBot="1" x14ac:dyDescent="0.3"/>
    <row r="2" spans="2:11" ht="167.25" x14ac:dyDescent="0.25">
      <c r="B2" s="106" t="s">
        <v>565</v>
      </c>
      <c r="C2" s="87" t="s">
        <v>539</v>
      </c>
      <c r="D2" s="88" t="s">
        <v>540</v>
      </c>
      <c r="E2" s="88" t="s">
        <v>566</v>
      </c>
      <c r="F2" s="89" t="s">
        <v>559</v>
      </c>
      <c r="G2" s="89" t="s">
        <v>560</v>
      </c>
      <c r="H2" s="89" t="s">
        <v>561</v>
      </c>
      <c r="I2" s="90" t="s">
        <v>562</v>
      </c>
      <c r="J2" s="90" t="s">
        <v>563</v>
      </c>
      <c r="K2" s="91" t="s">
        <v>564</v>
      </c>
    </row>
    <row r="3" spans="2:11" ht="15.75" thickBot="1" x14ac:dyDescent="0.3">
      <c r="B3" s="107"/>
      <c r="C3" s="101" t="s">
        <v>567</v>
      </c>
      <c r="D3" s="102"/>
      <c r="E3" s="102"/>
      <c r="F3" s="103" t="s">
        <v>568</v>
      </c>
      <c r="G3" s="103"/>
      <c r="H3" s="103"/>
      <c r="I3" s="104" t="s">
        <v>569</v>
      </c>
      <c r="J3" s="104"/>
      <c r="K3" s="105"/>
    </row>
    <row r="4" spans="2:11" x14ac:dyDescent="0.25">
      <c r="B4" s="83" t="s">
        <v>541</v>
      </c>
      <c r="C4" s="85">
        <v>5</v>
      </c>
      <c r="D4" s="86">
        <v>5</v>
      </c>
      <c r="E4" s="93">
        <v>5</v>
      </c>
      <c r="F4" s="65">
        <v>3</v>
      </c>
      <c r="G4" s="26">
        <v>4</v>
      </c>
      <c r="H4" s="27">
        <v>3</v>
      </c>
      <c r="I4" s="85">
        <v>4</v>
      </c>
      <c r="J4" s="86">
        <v>5</v>
      </c>
      <c r="K4" s="69">
        <v>4</v>
      </c>
    </row>
    <row r="5" spans="2:11" x14ac:dyDescent="0.25">
      <c r="B5" s="83" t="s">
        <v>542</v>
      </c>
      <c r="C5" s="82">
        <v>5</v>
      </c>
      <c r="D5" s="24">
        <v>5</v>
      </c>
      <c r="E5" s="94">
        <v>5</v>
      </c>
      <c r="F5" s="66">
        <v>3</v>
      </c>
      <c r="G5" s="24">
        <v>4</v>
      </c>
      <c r="H5" s="28">
        <v>3</v>
      </c>
      <c r="I5" s="82">
        <v>4</v>
      </c>
      <c r="J5" s="24">
        <v>5</v>
      </c>
      <c r="K5" s="28">
        <v>4</v>
      </c>
    </row>
    <row r="6" spans="2:11" x14ac:dyDescent="0.25">
      <c r="B6" s="83" t="s">
        <v>543</v>
      </c>
      <c r="C6" s="82">
        <v>5</v>
      </c>
      <c r="D6" s="24">
        <v>5</v>
      </c>
      <c r="E6" s="94">
        <v>5</v>
      </c>
      <c r="F6" s="66">
        <v>2</v>
      </c>
      <c r="G6" s="24">
        <v>2</v>
      </c>
      <c r="H6" s="28">
        <v>2</v>
      </c>
      <c r="I6" s="82">
        <v>5</v>
      </c>
      <c r="J6" s="24">
        <v>5</v>
      </c>
      <c r="K6" s="28">
        <v>5</v>
      </c>
    </row>
    <row r="7" spans="2:11" x14ac:dyDescent="0.25">
      <c r="B7" s="83" t="s">
        <v>544</v>
      </c>
      <c r="C7" s="82">
        <v>5</v>
      </c>
      <c r="D7" s="24">
        <v>5</v>
      </c>
      <c r="E7" s="94">
        <v>5</v>
      </c>
      <c r="F7" s="66">
        <v>2</v>
      </c>
      <c r="G7" s="24">
        <v>4</v>
      </c>
      <c r="H7" s="28">
        <v>3</v>
      </c>
      <c r="I7" s="82">
        <v>4</v>
      </c>
      <c r="J7" s="24">
        <v>5</v>
      </c>
      <c r="K7" s="28">
        <v>4</v>
      </c>
    </row>
    <row r="8" spans="2:11" x14ac:dyDescent="0.25">
      <c r="B8" s="83" t="s">
        <v>545</v>
      </c>
      <c r="C8" s="82">
        <v>5</v>
      </c>
      <c r="D8" s="24">
        <v>5</v>
      </c>
      <c r="E8" s="94">
        <v>5</v>
      </c>
      <c r="F8" s="66">
        <v>3</v>
      </c>
      <c r="G8" s="24">
        <v>4</v>
      </c>
      <c r="H8" s="28">
        <v>3</v>
      </c>
      <c r="I8" s="82">
        <v>4</v>
      </c>
      <c r="J8" s="24">
        <v>5</v>
      </c>
      <c r="K8" s="28">
        <v>4</v>
      </c>
    </row>
    <row r="9" spans="2:11" x14ac:dyDescent="0.25">
      <c r="B9" s="83" t="s">
        <v>546</v>
      </c>
      <c r="C9" s="82">
        <v>5</v>
      </c>
      <c r="D9" s="24">
        <v>5</v>
      </c>
      <c r="E9" s="94">
        <v>5</v>
      </c>
      <c r="F9" s="66">
        <v>3</v>
      </c>
      <c r="G9" s="24">
        <v>4</v>
      </c>
      <c r="H9" s="28">
        <v>3</v>
      </c>
      <c r="I9" s="82">
        <v>4</v>
      </c>
      <c r="J9" s="24">
        <v>5</v>
      </c>
      <c r="K9" s="28">
        <v>4</v>
      </c>
    </row>
    <row r="10" spans="2:11" x14ac:dyDescent="0.25">
      <c r="B10" s="83" t="s">
        <v>547</v>
      </c>
      <c r="C10" s="82">
        <v>5</v>
      </c>
      <c r="D10" s="24">
        <v>5</v>
      </c>
      <c r="E10" s="94">
        <v>5</v>
      </c>
      <c r="F10" s="66">
        <v>4</v>
      </c>
      <c r="G10" s="24">
        <v>4</v>
      </c>
      <c r="H10" s="28">
        <v>4</v>
      </c>
      <c r="I10" s="82">
        <v>5</v>
      </c>
      <c r="J10" s="24">
        <v>5</v>
      </c>
      <c r="K10" s="28">
        <v>5</v>
      </c>
    </row>
    <row r="11" spans="2:11" x14ac:dyDescent="0.25">
      <c r="B11" s="83" t="s">
        <v>548</v>
      </c>
      <c r="C11" s="82">
        <v>5</v>
      </c>
      <c r="D11" s="24">
        <v>5</v>
      </c>
      <c r="E11" s="94">
        <v>5</v>
      </c>
      <c r="F11" s="66">
        <v>4</v>
      </c>
      <c r="G11" s="24">
        <v>4</v>
      </c>
      <c r="H11" s="28">
        <v>4</v>
      </c>
      <c r="I11" s="82">
        <v>5</v>
      </c>
      <c r="J11" s="24">
        <v>5</v>
      </c>
      <c r="K11" s="28">
        <v>5</v>
      </c>
    </row>
    <row r="12" spans="2:11" x14ac:dyDescent="0.25">
      <c r="B12" s="83" t="s">
        <v>549</v>
      </c>
      <c r="C12" s="82">
        <v>4</v>
      </c>
      <c r="D12" s="24">
        <v>4</v>
      </c>
      <c r="E12" s="94">
        <v>4</v>
      </c>
      <c r="F12" s="66">
        <v>5</v>
      </c>
      <c r="G12" s="24">
        <v>5</v>
      </c>
      <c r="H12" s="28">
        <v>5</v>
      </c>
      <c r="I12" s="82">
        <v>5</v>
      </c>
      <c r="J12" s="24">
        <v>5</v>
      </c>
      <c r="K12" s="28">
        <v>5</v>
      </c>
    </row>
    <row r="13" spans="2:11" x14ac:dyDescent="0.25">
      <c r="B13" s="83" t="s">
        <v>550</v>
      </c>
      <c r="C13" s="82">
        <v>4</v>
      </c>
      <c r="D13" s="24">
        <v>4</v>
      </c>
      <c r="E13" s="94">
        <v>4</v>
      </c>
      <c r="F13" s="66">
        <v>4</v>
      </c>
      <c r="G13" s="24">
        <v>5</v>
      </c>
      <c r="H13" s="28">
        <v>4</v>
      </c>
      <c r="I13" s="82">
        <v>4</v>
      </c>
      <c r="J13" s="24">
        <v>5</v>
      </c>
      <c r="K13" s="28">
        <v>4</v>
      </c>
    </row>
    <row r="14" spans="2:11" x14ac:dyDescent="0.25">
      <c r="B14" s="83" t="s">
        <v>551</v>
      </c>
      <c r="C14" s="82">
        <v>4</v>
      </c>
      <c r="D14" s="24">
        <v>4</v>
      </c>
      <c r="E14" s="94">
        <v>4</v>
      </c>
      <c r="F14" s="66">
        <v>5</v>
      </c>
      <c r="G14" s="24">
        <v>5</v>
      </c>
      <c r="H14" s="28">
        <v>5</v>
      </c>
      <c r="I14" s="82">
        <v>4</v>
      </c>
      <c r="J14" s="24">
        <v>4</v>
      </c>
      <c r="K14" s="28">
        <v>4</v>
      </c>
    </row>
    <row r="15" spans="2:11" x14ac:dyDescent="0.25">
      <c r="B15" s="83" t="s">
        <v>552</v>
      </c>
      <c r="C15" s="82">
        <v>5</v>
      </c>
      <c r="D15" s="24">
        <v>5</v>
      </c>
      <c r="E15" s="94">
        <v>5</v>
      </c>
      <c r="F15" s="66">
        <v>5</v>
      </c>
      <c r="G15" s="24">
        <v>5</v>
      </c>
      <c r="H15" s="28">
        <v>5</v>
      </c>
      <c r="I15" s="82">
        <v>5</v>
      </c>
      <c r="J15" s="24">
        <v>5</v>
      </c>
      <c r="K15" s="28">
        <v>5</v>
      </c>
    </row>
    <row r="16" spans="2:11" x14ac:dyDescent="0.25">
      <c r="B16" s="83" t="s">
        <v>553</v>
      </c>
      <c r="C16" s="82">
        <v>5</v>
      </c>
      <c r="D16" s="24">
        <v>5</v>
      </c>
      <c r="E16" s="94">
        <v>5</v>
      </c>
      <c r="F16" s="66">
        <v>5</v>
      </c>
      <c r="G16" s="24">
        <v>5</v>
      </c>
      <c r="H16" s="28">
        <v>5</v>
      </c>
      <c r="I16" s="82">
        <v>5</v>
      </c>
      <c r="J16" s="24">
        <v>5</v>
      </c>
      <c r="K16" s="28">
        <v>5</v>
      </c>
    </row>
    <row r="17" spans="2:11" x14ac:dyDescent="0.25">
      <c r="B17" s="83" t="s">
        <v>554</v>
      </c>
      <c r="C17" s="82">
        <v>4</v>
      </c>
      <c r="D17" s="24">
        <v>4</v>
      </c>
      <c r="E17" s="94">
        <v>4</v>
      </c>
      <c r="F17" s="66">
        <v>5</v>
      </c>
      <c r="G17" s="24">
        <v>4</v>
      </c>
      <c r="H17" s="28">
        <v>4</v>
      </c>
      <c r="I17" s="82">
        <v>4</v>
      </c>
      <c r="J17" s="24">
        <v>4</v>
      </c>
      <c r="K17" s="28">
        <v>4</v>
      </c>
    </row>
    <row r="18" spans="2:11" x14ac:dyDescent="0.25">
      <c r="B18" s="83" t="s">
        <v>555</v>
      </c>
      <c r="C18" s="82">
        <v>4</v>
      </c>
      <c r="D18" s="24">
        <v>4</v>
      </c>
      <c r="E18" s="94">
        <v>4</v>
      </c>
      <c r="F18" s="66">
        <v>5</v>
      </c>
      <c r="G18" s="24">
        <v>5</v>
      </c>
      <c r="H18" s="28">
        <v>5</v>
      </c>
      <c r="I18" s="82">
        <v>5</v>
      </c>
      <c r="J18" s="24">
        <v>5</v>
      </c>
      <c r="K18" s="28">
        <v>5</v>
      </c>
    </row>
    <row r="19" spans="2:11" x14ac:dyDescent="0.25">
      <c r="B19" s="83" t="s">
        <v>556</v>
      </c>
      <c r="C19" s="82">
        <v>4</v>
      </c>
      <c r="D19" s="24">
        <v>4</v>
      </c>
      <c r="E19" s="94">
        <v>4</v>
      </c>
      <c r="F19" s="66">
        <v>4</v>
      </c>
      <c r="G19" s="24">
        <v>5</v>
      </c>
      <c r="H19" s="28">
        <v>4</v>
      </c>
      <c r="I19" s="82">
        <v>4</v>
      </c>
      <c r="J19" s="24">
        <v>5</v>
      </c>
      <c r="K19" s="28">
        <v>4</v>
      </c>
    </row>
    <row r="20" spans="2:11" x14ac:dyDescent="0.25">
      <c r="B20" s="83" t="s">
        <v>557</v>
      </c>
      <c r="C20" s="82">
        <v>5</v>
      </c>
      <c r="D20" s="24">
        <v>5</v>
      </c>
      <c r="E20" s="94">
        <v>5</v>
      </c>
      <c r="F20" s="66">
        <v>5</v>
      </c>
      <c r="G20" s="24">
        <v>5</v>
      </c>
      <c r="H20" s="28">
        <v>5</v>
      </c>
      <c r="I20" s="82">
        <v>5</v>
      </c>
      <c r="J20" s="24">
        <v>5</v>
      </c>
      <c r="K20" s="28">
        <v>5</v>
      </c>
    </row>
    <row r="21" spans="2:11" ht="15.75" thickBot="1" x14ac:dyDescent="0.3">
      <c r="B21" s="84" t="s">
        <v>558</v>
      </c>
      <c r="C21" s="92">
        <v>5</v>
      </c>
      <c r="D21" s="29">
        <v>5</v>
      </c>
      <c r="E21" s="95">
        <v>5</v>
      </c>
      <c r="F21" s="67">
        <v>5</v>
      </c>
      <c r="G21" s="29">
        <v>5</v>
      </c>
      <c r="H21" s="30">
        <v>5</v>
      </c>
      <c r="I21" s="92">
        <v>5</v>
      </c>
      <c r="J21" s="29">
        <v>5</v>
      </c>
      <c r="K21" s="30">
        <v>5</v>
      </c>
    </row>
  </sheetData>
  <mergeCells count="4">
    <mergeCell ref="C3:E3"/>
    <mergeCell ref="F3:H3"/>
    <mergeCell ref="I3:K3"/>
    <mergeCell ref="B2:B3"/>
  </mergeCells>
  <conditionalFormatting sqref="C4:K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B6B5F-3D17-C541-85EE-0FB5BA3A76AF}">
  <dimension ref="A1:AR43"/>
  <sheetViews>
    <sheetView topLeftCell="A2" workbookViewId="0">
      <selection activeCell="AP3" sqref="C3:AP3"/>
    </sheetView>
  </sheetViews>
  <sheetFormatPr defaultColWidth="11.42578125" defaultRowHeight="15" x14ac:dyDescent="0.25"/>
  <cols>
    <col min="1" max="1" width="5.140625" bestFit="1" customWidth="1"/>
    <col min="2" max="2" width="3.42578125" bestFit="1" customWidth="1"/>
    <col min="3" max="42" width="3.7109375" bestFit="1" customWidth="1"/>
    <col min="44" max="44" width="46.42578125" customWidth="1"/>
  </cols>
  <sheetData>
    <row r="1" spans="1:44" ht="75.75" thickBot="1" x14ac:dyDescent="0.3">
      <c r="A1" s="110" t="s">
        <v>3</v>
      </c>
      <c r="B1" s="112"/>
      <c r="C1" s="71" t="s">
        <v>519</v>
      </c>
      <c r="D1" s="71" t="s">
        <v>63</v>
      </c>
      <c r="E1" s="71" t="s">
        <v>520</v>
      </c>
      <c r="F1" s="71" t="s">
        <v>537</v>
      </c>
      <c r="G1" s="71" t="s">
        <v>60</v>
      </c>
      <c r="H1" s="71" t="s">
        <v>63</v>
      </c>
      <c r="I1" s="71" t="s">
        <v>535</v>
      </c>
      <c r="J1" s="71" t="s">
        <v>523</v>
      </c>
      <c r="K1" s="71" t="s">
        <v>519</v>
      </c>
      <c r="L1" s="71" t="s">
        <v>524</v>
      </c>
      <c r="M1" s="71" t="s">
        <v>525</v>
      </c>
      <c r="N1" s="71" t="s">
        <v>526</v>
      </c>
      <c r="O1" s="71" t="s">
        <v>63</v>
      </c>
      <c r="P1" s="71" t="s">
        <v>532</v>
      </c>
      <c r="Q1" s="71" t="s">
        <v>60</v>
      </c>
      <c r="R1" s="71" t="s">
        <v>468</v>
      </c>
      <c r="S1" s="71" t="s">
        <v>60</v>
      </c>
      <c r="T1" s="71" t="s">
        <v>139</v>
      </c>
      <c r="U1" s="71" t="s">
        <v>473</v>
      </c>
      <c r="V1" s="71" t="s">
        <v>63</v>
      </c>
      <c r="W1" s="71" t="s">
        <v>8</v>
      </c>
      <c r="X1" s="71" t="s">
        <v>8</v>
      </c>
      <c r="Y1" s="71" t="s">
        <v>63</v>
      </c>
      <c r="Z1" s="71" t="s">
        <v>107</v>
      </c>
      <c r="AA1" s="71" t="s">
        <v>520</v>
      </c>
      <c r="AB1" s="71" t="s">
        <v>533</v>
      </c>
      <c r="AC1" s="71" t="s">
        <v>520</v>
      </c>
      <c r="AD1" s="71" t="s">
        <v>107</v>
      </c>
      <c r="AE1" s="71" t="s">
        <v>527</v>
      </c>
      <c r="AF1" s="71" t="s">
        <v>528</v>
      </c>
      <c r="AG1" s="71" t="s">
        <v>529</v>
      </c>
      <c r="AH1" s="71" t="s">
        <v>530</v>
      </c>
      <c r="AI1" s="71" t="s">
        <v>528</v>
      </c>
      <c r="AJ1" s="71" t="s">
        <v>530</v>
      </c>
      <c r="AK1" s="71" t="s">
        <v>520</v>
      </c>
      <c r="AL1" s="71" t="s">
        <v>60</v>
      </c>
      <c r="AM1" s="71" t="s">
        <v>107</v>
      </c>
      <c r="AN1" s="71" t="s">
        <v>60</v>
      </c>
      <c r="AO1" s="71" t="s">
        <v>536</v>
      </c>
      <c r="AP1" s="70" t="s">
        <v>531</v>
      </c>
    </row>
    <row r="2" spans="1:44" ht="162.75" customHeight="1" thickBot="1" x14ac:dyDescent="0.3">
      <c r="A2" s="110" t="s">
        <v>516</v>
      </c>
      <c r="B2" s="111"/>
      <c r="C2" s="74" t="s">
        <v>449</v>
      </c>
      <c r="D2" s="75" t="s">
        <v>451</v>
      </c>
      <c r="E2" s="75" t="s">
        <v>452</v>
      </c>
      <c r="F2" s="75" t="s">
        <v>454</v>
      </c>
      <c r="G2" s="75" t="s">
        <v>455</v>
      </c>
      <c r="H2" s="75" t="s">
        <v>456</v>
      </c>
      <c r="I2" s="75" t="s">
        <v>521</v>
      </c>
      <c r="J2" s="75" t="s">
        <v>509</v>
      </c>
      <c r="K2" s="75" t="s">
        <v>458</v>
      </c>
      <c r="L2" s="75" t="s">
        <v>459</v>
      </c>
      <c r="M2" s="75" t="s">
        <v>461</v>
      </c>
      <c r="N2" s="75" t="s">
        <v>462</v>
      </c>
      <c r="O2" s="75" t="s">
        <v>464</v>
      </c>
      <c r="P2" s="75" t="s">
        <v>465</v>
      </c>
      <c r="Q2" s="75" t="s">
        <v>466</v>
      </c>
      <c r="R2" s="75" t="s">
        <v>467</v>
      </c>
      <c r="S2" s="75" t="s">
        <v>469</v>
      </c>
      <c r="T2" s="75" t="s">
        <v>470</v>
      </c>
      <c r="U2" s="75" t="s">
        <v>472</v>
      </c>
      <c r="V2" s="75" t="s">
        <v>474</v>
      </c>
      <c r="W2" s="75" t="s">
        <v>475</v>
      </c>
      <c r="X2" s="75" t="s">
        <v>476</v>
      </c>
      <c r="Y2" s="75" t="s">
        <v>477</v>
      </c>
      <c r="Z2" s="75" t="s">
        <v>478</v>
      </c>
      <c r="AA2" s="75" t="s">
        <v>512</v>
      </c>
      <c r="AB2" s="75" t="s">
        <v>479</v>
      </c>
      <c r="AC2" s="75" t="s">
        <v>481</v>
      </c>
      <c r="AD2" s="75" t="s">
        <v>482</v>
      </c>
      <c r="AE2" s="75" t="s">
        <v>483</v>
      </c>
      <c r="AF2" s="75" t="s">
        <v>486</v>
      </c>
      <c r="AG2" s="75" t="s">
        <v>488</v>
      </c>
      <c r="AH2" s="75" t="s">
        <v>490</v>
      </c>
      <c r="AI2" s="75" t="s">
        <v>492</v>
      </c>
      <c r="AJ2" s="75" t="s">
        <v>493</v>
      </c>
      <c r="AK2" s="75" t="s">
        <v>494</v>
      </c>
      <c r="AL2" s="75" t="s">
        <v>495</v>
      </c>
      <c r="AM2" s="75" t="s">
        <v>496</v>
      </c>
      <c r="AN2" s="75" t="s">
        <v>497</v>
      </c>
      <c r="AO2" s="75" t="s">
        <v>498</v>
      </c>
      <c r="AP2" s="76" t="s">
        <v>500</v>
      </c>
    </row>
    <row r="3" spans="1:44" x14ac:dyDescent="0.25">
      <c r="A3" s="68" t="s">
        <v>180</v>
      </c>
      <c r="B3" s="69">
        <v>5</v>
      </c>
      <c r="C3" s="65">
        <v>9</v>
      </c>
      <c r="D3" s="26">
        <v>9</v>
      </c>
      <c r="E3" s="26">
        <v>3</v>
      </c>
      <c r="F3" s="26">
        <v>3</v>
      </c>
      <c r="G3" s="26">
        <v>1</v>
      </c>
      <c r="H3" s="26">
        <v>1</v>
      </c>
      <c r="I3" s="26">
        <v>1</v>
      </c>
      <c r="J3" s="26">
        <v>9</v>
      </c>
      <c r="K3" s="26">
        <v>3</v>
      </c>
      <c r="L3" s="26">
        <v>3</v>
      </c>
      <c r="M3" s="26">
        <v>1</v>
      </c>
      <c r="N3" s="26">
        <v>0</v>
      </c>
      <c r="O3" s="26">
        <v>0</v>
      </c>
      <c r="P3" s="26">
        <v>0</v>
      </c>
      <c r="Q3" s="26">
        <v>1</v>
      </c>
      <c r="R3" s="26">
        <v>1</v>
      </c>
      <c r="S3" s="26">
        <v>0</v>
      </c>
      <c r="T3" s="26">
        <v>0</v>
      </c>
      <c r="U3" s="26">
        <v>0</v>
      </c>
      <c r="V3" s="26">
        <v>0</v>
      </c>
      <c r="W3" s="26">
        <v>0</v>
      </c>
      <c r="X3" s="26">
        <v>0</v>
      </c>
      <c r="Y3" s="26">
        <v>0</v>
      </c>
      <c r="Z3" s="26">
        <v>0</v>
      </c>
      <c r="AA3" s="26">
        <v>1</v>
      </c>
      <c r="AB3" s="26">
        <v>1</v>
      </c>
      <c r="AC3" s="26">
        <v>0</v>
      </c>
      <c r="AD3" s="26">
        <v>0</v>
      </c>
      <c r="AE3" s="26">
        <v>0</v>
      </c>
      <c r="AF3" s="26">
        <v>1</v>
      </c>
      <c r="AG3" s="26">
        <v>1</v>
      </c>
      <c r="AH3" s="26">
        <v>0</v>
      </c>
      <c r="AI3" s="26">
        <v>0</v>
      </c>
      <c r="AJ3" s="26">
        <v>0</v>
      </c>
      <c r="AK3" s="26">
        <v>3</v>
      </c>
      <c r="AL3" s="26">
        <v>1</v>
      </c>
      <c r="AM3" s="26">
        <v>1</v>
      </c>
      <c r="AN3" s="26">
        <v>1</v>
      </c>
      <c r="AO3" s="26">
        <v>0</v>
      </c>
      <c r="AP3" s="27">
        <v>0</v>
      </c>
      <c r="AR3" s="64"/>
    </row>
    <row r="4" spans="1:44" x14ac:dyDescent="0.25">
      <c r="A4" s="66" t="s">
        <v>181</v>
      </c>
      <c r="B4" s="28">
        <v>5</v>
      </c>
      <c r="C4" s="66">
        <v>3</v>
      </c>
      <c r="D4" s="24">
        <v>3</v>
      </c>
      <c r="E4" s="24">
        <v>9</v>
      </c>
      <c r="F4" s="24">
        <v>9</v>
      </c>
      <c r="G4" s="24">
        <v>1</v>
      </c>
      <c r="H4" s="24">
        <v>1</v>
      </c>
      <c r="I4" s="24">
        <v>1</v>
      </c>
      <c r="J4" s="24">
        <v>3</v>
      </c>
      <c r="K4" s="24">
        <v>9</v>
      </c>
      <c r="L4" s="24">
        <v>3</v>
      </c>
      <c r="M4" s="24">
        <v>1</v>
      </c>
      <c r="N4" s="24">
        <v>0</v>
      </c>
      <c r="O4" s="24">
        <v>0</v>
      </c>
      <c r="P4" s="24">
        <v>0</v>
      </c>
      <c r="Q4" s="24">
        <v>1</v>
      </c>
      <c r="R4" s="24">
        <v>1</v>
      </c>
      <c r="S4" s="24">
        <v>0</v>
      </c>
      <c r="T4" s="24">
        <v>0</v>
      </c>
      <c r="U4" s="24">
        <v>0</v>
      </c>
      <c r="V4" s="24">
        <v>0</v>
      </c>
      <c r="W4" s="24">
        <v>0</v>
      </c>
      <c r="X4" s="24">
        <v>0</v>
      </c>
      <c r="Y4" s="24">
        <v>0</v>
      </c>
      <c r="Z4" s="24">
        <v>0</v>
      </c>
      <c r="AA4" s="24">
        <v>1</v>
      </c>
      <c r="AB4" s="24">
        <v>1</v>
      </c>
      <c r="AC4" s="24">
        <v>0</v>
      </c>
      <c r="AD4" s="24">
        <v>0</v>
      </c>
      <c r="AE4" s="24">
        <v>0</v>
      </c>
      <c r="AF4" s="24">
        <v>1</v>
      </c>
      <c r="AG4" s="24">
        <v>1</v>
      </c>
      <c r="AH4" s="24">
        <v>0</v>
      </c>
      <c r="AI4" s="24">
        <v>0</v>
      </c>
      <c r="AJ4" s="24">
        <v>0</v>
      </c>
      <c r="AK4" s="24">
        <v>9</v>
      </c>
      <c r="AL4" s="24">
        <v>1</v>
      </c>
      <c r="AM4" s="24">
        <v>1</v>
      </c>
      <c r="AN4" s="24">
        <v>1</v>
      </c>
      <c r="AO4" s="24">
        <v>0</v>
      </c>
      <c r="AP4" s="28">
        <v>0</v>
      </c>
      <c r="AR4" s="64"/>
    </row>
    <row r="5" spans="1:44" x14ac:dyDescent="0.25">
      <c r="A5" s="66" t="s">
        <v>182</v>
      </c>
      <c r="B5" s="28">
        <v>4</v>
      </c>
      <c r="C5" s="66">
        <v>1</v>
      </c>
      <c r="D5" s="24">
        <v>1</v>
      </c>
      <c r="E5" s="24">
        <v>0</v>
      </c>
      <c r="F5" s="24">
        <v>0</v>
      </c>
      <c r="G5" s="24">
        <v>9</v>
      </c>
      <c r="H5" s="24">
        <v>9</v>
      </c>
      <c r="I5" s="24">
        <v>3</v>
      </c>
      <c r="J5" s="24">
        <v>1</v>
      </c>
      <c r="K5" s="24">
        <v>1</v>
      </c>
      <c r="L5" s="24">
        <v>1</v>
      </c>
      <c r="M5" s="24">
        <v>1</v>
      </c>
      <c r="N5" s="24">
        <v>3</v>
      </c>
      <c r="O5" s="24">
        <v>3</v>
      </c>
      <c r="P5" s="24">
        <v>1</v>
      </c>
      <c r="Q5" s="24">
        <v>9</v>
      </c>
      <c r="R5" s="24">
        <v>9</v>
      </c>
      <c r="S5" s="24">
        <v>0</v>
      </c>
      <c r="T5" s="24">
        <v>0</v>
      </c>
      <c r="U5" s="24">
        <v>0</v>
      </c>
      <c r="V5" s="24">
        <v>0</v>
      </c>
      <c r="W5" s="24">
        <v>0</v>
      </c>
      <c r="X5" s="24">
        <v>0</v>
      </c>
      <c r="Y5" s="24">
        <v>0</v>
      </c>
      <c r="Z5" s="24">
        <v>0</v>
      </c>
      <c r="AA5" s="24">
        <v>1</v>
      </c>
      <c r="AB5" s="24">
        <v>1</v>
      </c>
      <c r="AC5" s="24">
        <v>0</v>
      </c>
      <c r="AD5" s="24">
        <v>0</v>
      </c>
      <c r="AE5" s="24">
        <v>0</v>
      </c>
      <c r="AF5" s="24">
        <v>3</v>
      </c>
      <c r="AG5" s="24">
        <v>3</v>
      </c>
      <c r="AH5" s="24">
        <v>1</v>
      </c>
      <c r="AI5" s="24">
        <v>1</v>
      </c>
      <c r="AJ5" s="24">
        <v>1</v>
      </c>
      <c r="AK5" s="24">
        <v>3</v>
      </c>
      <c r="AL5" s="24">
        <v>1</v>
      </c>
      <c r="AM5" s="24">
        <v>1</v>
      </c>
      <c r="AN5" s="24">
        <v>1</v>
      </c>
      <c r="AO5" s="24">
        <v>0</v>
      </c>
      <c r="AP5" s="28">
        <v>0</v>
      </c>
      <c r="AR5" s="64"/>
    </row>
    <row r="6" spans="1:44" x14ac:dyDescent="0.25">
      <c r="A6" s="66" t="s">
        <v>183</v>
      </c>
      <c r="B6" s="28">
        <v>4</v>
      </c>
      <c r="C6" s="66">
        <v>3</v>
      </c>
      <c r="D6" s="24">
        <v>3</v>
      </c>
      <c r="E6" s="24">
        <v>3</v>
      </c>
      <c r="F6" s="24">
        <v>3</v>
      </c>
      <c r="G6" s="24">
        <v>1</v>
      </c>
      <c r="H6" s="24">
        <v>1</v>
      </c>
      <c r="I6" s="24">
        <v>1</v>
      </c>
      <c r="J6" s="24">
        <v>9</v>
      </c>
      <c r="K6" s="24">
        <v>9</v>
      </c>
      <c r="L6" s="24">
        <v>3</v>
      </c>
      <c r="M6" s="24">
        <v>1</v>
      </c>
      <c r="N6" s="24">
        <v>0</v>
      </c>
      <c r="O6" s="24">
        <v>0</v>
      </c>
      <c r="P6" s="24">
        <v>0</v>
      </c>
      <c r="Q6" s="24">
        <v>1</v>
      </c>
      <c r="R6" s="24">
        <v>1</v>
      </c>
      <c r="S6" s="24">
        <v>0</v>
      </c>
      <c r="T6" s="24">
        <v>0</v>
      </c>
      <c r="U6" s="24">
        <v>0</v>
      </c>
      <c r="V6" s="24">
        <v>0</v>
      </c>
      <c r="W6" s="24">
        <v>0</v>
      </c>
      <c r="X6" s="24">
        <v>0</v>
      </c>
      <c r="Y6" s="24">
        <v>0</v>
      </c>
      <c r="Z6" s="24">
        <v>0</v>
      </c>
      <c r="AA6" s="24">
        <v>1</v>
      </c>
      <c r="AB6" s="24">
        <v>1</v>
      </c>
      <c r="AC6" s="24">
        <v>0</v>
      </c>
      <c r="AD6" s="24">
        <v>0</v>
      </c>
      <c r="AE6" s="24">
        <v>0</v>
      </c>
      <c r="AF6" s="24">
        <v>1</v>
      </c>
      <c r="AG6" s="24">
        <v>1</v>
      </c>
      <c r="AH6" s="24">
        <v>0</v>
      </c>
      <c r="AI6" s="24">
        <v>0</v>
      </c>
      <c r="AJ6" s="24">
        <v>0</v>
      </c>
      <c r="AK6" s="24">
        <v>3</v>
      </c>
      <c r="AL6" s="24">
        <v>1</v>
      </c>
      <c r="AM6" s="24">
        <v>1</v>
      </c>
      <c r="AN6" s="24">
        <v>1</v>
      </c>
      <c r="AO6" s="24">
        <v>0</v>
      </c>
      <c r="AP6" s="28">
        <v>0</v>
      </c>
      <c r="AR6" s="64"/>
    </row>
    <row r="7" spans="1:44" x14ac:dyDescent="0.25">
      <c r="A7" s="66" t="s">
        <v>184</v>
      </c>
      <c r="B7" s="28">
        <v>4</v>
      </c>
      <c r="C7" s="66">
        <v>3</v>
      </c>
      <c r="D7" s="24">
        <v>3</v>
      </c>
      <c r="E7" s="24">
        <v>3</v>
      </c>
      <c r="F7" s="24">
        <v>3</v>
      </c>
      <c r="G7" s="24">
        <v>1</v>
      </c>
      <c r="H7" s="24">
        <v>1</v>
      </c>
      <c r="I7" s="24">
        <v>1</v>
      </c>
      <c r="J7" s="24">
        <v>3</v>
      </c>
      <c r="K7" s="24">
        <v>9</v>
      </c>
      <c r="L7" s="24">
        <v>9</v>
      </c>
      <c r="M7" s="24">
        <v>1</v>
      </c>
      <c r="N7" s="24">
        <v>0</v>
      </c>
      <c r="O7" s="24">
        <v>0</v>
      </c>
      <c r="P7" s="24">
        <v>0</v>
      </c>
      <c r="Q7" s="24">
        <v>1</v>
      </c>
      <c r="R7" s="24">
        <v>1</v>
      </c>
      <c r="S7" s="24">
        <v>0</v>
      </c>
      <c r="T7" s="24">
        <v>0</v>
      </c>
      <c r="U7" s="24">
        <v>0</v>
      </c>
      <c r="V7" s="24">
        <v>0</v>
      </c>
      <c r="W7" s="24">
        <v>0</v>
      </c>
      <c r="X7" s="24">
        <v>0</v>
      </c>
      <c r="Y7" s="24">
        <v>0</v>
      </c>
      <c r="Z7" s="24">
        <v>0</v>
      </c>
      <c r="AA7" s="24">
        <v>1</v>
      </c>
      <c r="AB7" s="24">
        <v>1</v>
      </c>
      <c r="AC7" s="24">
        <v>0</v>
      </c>
      <c r="AD7" s="24">
        <v>0</v>
      </c>
      <c r="AE7" s="24">
        <v>0</v>
      </c>
      <c r="AF7" s="24">
        <v>1</v>
      </c>
      <c r="AG7" s="24">
        <v>1</v>
      </c>
      <c r="AH7" s="24">
        <v>0</v>
      </c>
      <c r="AI7" s="24">
        <v>0</v>
      </c>
      <c r="AJ7" s="24">
        <v>0</v>
      </c>
      <c r="AK7" s="24">
        <v>9</v>
      </c>
      <c r="AL7" s="24">
        <v>1</v>
      </c>
      <c r="AM7" s="24">
        <v>1</v>
      </c>
      <c r="AN7" s="24">
        <v>1</v>
      </c>
      <c r="AO7" s="24">
        <v>0</v>
      </c>
      <c r="AP7" s="28">
        <v>0</v>
      </c>
      <c r="AR7" s="64"/>
    </row>
    <row r="8" spans="1:44" x14ac:dyDescent="0.25">
      <c r="A8" s="66" t="s">
        <v>185</v>
      </c>
      <c r="B8" s="28">
        <v>3</v>
      </c>
      <c r="C8" s="66">
        <v>1</v>
      </c>
      <c r="D8" s="24">
        <v>1</v>
      </c>
      <c r="E8" s="24">
        <v>1</v>
      </c>
      <c r="F8" s="24">
        <v>1</v>
      </c>
      <c r="G8" s="24">
        <v>0</v>
      </c>
      <c r="H8" s="24">
        <v>0</v>
      </c>
      <c r="I8" s="24">
        <v>0</v>
      </c>
      <c r="J8" s="24">
        <v>3</v>
      </c>
      <c r="K8" s="24">
        <v>3</v>
      </c>
      <c r="L8" s="24">
        <v>3</v>
      </c>
      <c r="M8" s="24">
        <v>9</v>
      </c>
      <c r="N8" s="24">
        <v>9</v>
      </c>
      <c r="O8" s="24">
        <v>0</v>
      </c>
      <c r="P8" s="24">
        <v>0</v>
      </c>
      <c r="Q8" s="24">
        <v>1</v>
      </c>
      <c r="R8" s="24">
        <v>1</v>
      </c>
      <c r="S8" s="24">
        <v>0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v>0</v>
      </c>
      <c r="AA8" s="24">
        <v>1</v>
      </c>
      <c r="AB8" s="24">
        <v>1</v>
      </c>
      <c r="AC8" s="24">
        <v>9</v>
      </c>
      <c r="AD8" s="24">
        <v>9</v>
      </c>
      <c r="AE8" s="24">
        <v>0</v>
      </c>
      <c r="AF8" s="24">
        <v>1</v>
      </c>
      <c r="AG8" s="24">
        <v>1</v>
      </c>
      <c r="AH8" s="24">
        <v>0</v>
      </c>
      <c r="AI8" s="24">
        <v>0</v>
      </c>
      <c r="AJ8" s="24">
        <v>0</v>
      </c>
      <c r="AK8" s="24">
        <v>9</v>
      </c>
      <c r="AL8" s="24">
        <v>1</v>
      </c>
      <c r="AM8" s="24">
        <v>1</v>
      </c>
      <c r="AN8" s="24">
        <v>1</v>
      </c>
      <c r="AO8" s="24">
        <v>9</v>
      </c>
      <c r="AP8" s="28">
        <v>9</v>
      </c>
      <c r="AR8" s="64"/>
    </row>
    <row r="9" spans="1:44" x14ac:dyDescent="0.25">
      <c r="A9" s="66" t="s">
        <v>186</v>
      </c>
      <c r="B9" s="28">
        <v>4</v>
      </c>
      <c r="C9" s="66">
        <v>0</v>
      </c>
      <c r="D9" s="24">
        <v>0</v>
      </c>
      <c r="E9" s="24">
        <v>0</v>
      </c>
      <c r="F9" s="24">
        <v>0</v>
      </c>
      <c r="G9" s="24">
        <v>3</v>
      </c>
      <c r="H9" s="24">
        <v>3</v>
      </c>
      <c r="I9" s="24">
        <v>3</v>
      </c>
      <c r="J9" s="24">
        <v>0</v>
      </c>
      <c r="K9" s="24">
        <v>0</v>
      </c>
      <c r="L9" s="24">
        <v>0</v>
      </c>
      <c r="M9" s="24">
        <v>0</v>
      </c>
      <c r="N9" s="24">
        <v>0</v>
      </c>
      <c r="O9" s="24">
        <v>9</v>
      </c>
      <c r="P9" s="24">
        <v>9</v>
      </c>
      <c r="Q9" s="24">
        <v>9</v>
      </c>
      <c r="R9" s="24">
        <v>9</v>
      </c>
      <c r="S9" s="24">
        <v>3</v>
      </c>
      <c r="T9" s="24">
        <v>3</v>
      </c>
      <c r="U9" s="24">
        <v>0</v>
      </c>
      <c r="V9" s="24">
        <v>0</v>
      </c>
      <c r="W9" s="24">
        <v>0</v>
      </c>
      <c r="X9" s="24">
        <v>0</v>
      </c>
      <c r="Y9" s="24">
        <v>0</v>
      </c>
      <c r="Z9" s="24">
        <v>0</v>
      </c>
      <c r="AA9" s="24">
        <v>1</v>
      </c>
      <c r="AB9" s="24">
        <v>1</v>
      </c>
      <c r="AC9" s="24">
        <v>0</v>
      </c>
      <c r="AD9" s="24">
        <v>0</v>
      </c>
      <c r="AE9" s="24">
        <v>0</v>
      </c>
      <c r="AF9" s="24">
        <v>3</v>
      </c>
      <c r="AG9" s="24">
        <v>3</v>
      </c>
      <c r="AH9" s="24">
        <v>0</v>
      </c>
      <c r="AI9" s="24">
        <v>0</v>
      </c>
      <c r="AJ9" s="24">
        <v>0</v>
      </c>
      <c r="AK9" s="24">
        <v>1</v>
      </c>
      <c r="AL9" s="24">
        <v>1</v>
      </c>
      <c r="AM9" s="24">
        <v>1</v>
      </c>
      <c r="AN9" s="24">
        <v>1</v>
      </c>
      <c r="AO9" s="24">
        <v>0</v>
      </c>
      <c r="AP9" s="28">
        <v>0</v>
      </c>
      <c r="AR9" s="64"/>
    </row>
    <row r="10" spans="1:44" x14ac:dyDescent="0.25">
      <c r="A10" s="66" t="s">
        <v>187</v>
      </c>
      <c r="B10" s="28">
        <v>3</v>
      </c>
      <c r="C10" s="66">
        <v>1</v>
      </c>
      <c r="D10" s="24">
        <v>1</v>
      </c>
      <c r="E10" s="24">
        <v>0</v>
      </c>
      <c r="F10" s="24">
        <v>0</v>
      </c>
      <c r="G10" s="24">
        <v>3</v>
      </c>
      <c r="H10" s="24">
        <v>3</v>
      </c>
      <c r="I10" s="24">
        <v>1</v>
      </c>
      <c r="J10" s="24">
        <v>1</v>
      </c>
      <c r="K10" s="24">
        <v>1</v>
      </c>
      <c r="L10" s="24">
        <v>0</v>
      </c>
      <c r="M10" s="24">
        <v>0</v>
      </c>
      <c r="N10" s="24">
        <v>0</v>
      </c>
      <c r="O10" s="24">
        <v>3</v>
      </c>
      <c r="P10" s="24">
        <v>3</v>
      </c>
      <c r="Q10" s="24">
        <v>9</v>
      </c>
      <c r="R10" s="24">
        <v>9</v>
      </c>
      <c r="S10" s="24">
        <v>1</v>
      </c>
      <c r="T10" s="24">
        <v>1</v>
      </c>
      <c r="U10" s="24">
        <v>0</v>
      </c>
      <c r="V10" s="24">
        <v>0</v>
      </c>
      <c r="W10" s="24">
        <v>0</v>
      </c>
      <c r="X10" s="24">
        <v>0</v>
      </c>
      <c r="Y10" s="24">
        <v>0</v>
      </c>
      <c r="Z10" s="24">
        <v>0</v>
      </c>
      <c r="AA10" s="24">
        <v>1</v>
      </c>
      <c r="AB10" s="24">
        <v>1</v>
      </c>
      <c r="AC10" s="24">
        <v>0</v>
      </c>
      <c r="AD10" s="24">
        <v>0</v>
      </c>
      <c r="AE10" s="24">
        <v>0</v>
      </c>
      <c r="AF10" s="24">
        <v>3</v>
      </c>
      <c r="AG10" s="24">
        <v>3</v>
      </c>
      <c r="AH10" s="24">
        <v>0</v>
      </c>
      <c r="AI10" s="24">
        <v>0</v>
      </c>
      <c r="AJ10" s="24">
        <v>0</v>
      </c>
      <c r="AK10" s="24">
        <v>1</v>
      </c>
      <c r="AL10" s="24">
        <v>1</v>
      </c>
      <c r="AM10" s="24">
        <v>1</v>
      </c>
      <c r="AN10" s="24">
        <v>1</v>
      </c>
      <c r="AO10" s="24">
        <v>0</v>
      </c>
      <c r="AP10" s="28">
        <v>0</v>
      </c>
      <c r="AR10" s="64"/>
    </row>
    <row r="11" spans="1:44" x14ac:dyDescent="0.25">
      <c r="A11" s="66" t="s">
        <v>188</v>
      </c>
      <c r="B11" s="28">
        <v>3</v>
      </c>
      <c r="C11" s="66">
        <v>1</v>
      </c>
      <c r="D11" s="24">
        <v>1</v>
      </c>
      <c r="E11" s="24">
        <v>0</v>
      </c>
      <c r="F11" s="24">
        <v>0</v>
      </c>
      <c r="G11" s="24">
        <v>1</v>
      </c>
      <c r="H11" s="24">
        <v>1</v>
      </c>
      <c r="I11" s="24">
        <v>0</v>
      </c>
      <c r="J11" s="24">
        <v>1</v>
      </c>
      <c r="K11" s="24">
        <v>1</v>
      </c>
      <c r="L11" s="24">
        <v>0</v>
      </c>
      <c r="M11" s="24">
        <v>0</v>
      </c>
      <c r="N11" s="24">
        <v>0</v>
      </c>
      <c r="O11" s="24">
        <v>3</v>
      </c>
      <c r="P11" s="24">
        <v>3</v>
      </c>
      <c r="Q11" s="24">
        <v>3</v>
      </c>
      <c r="R11" s="24">
        <v>3</v>
      </c>
      <c r="S11" s="24">
        <v>9</v>
      </c>
      <c r="T11" s="24">
        <v>9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1</v>
      </c>
      <c r="AB11" s="24">
        <v>1</v>
      </c>
      <c r="AC11" s="24">
        <v>0</v>
      </c>
      <c r="AD11" s="24">
        <v>0</v>
      </c>
      <c r="AE11" s="24">
        <v>0</v>
      </c>
      <c r="AF11" s="24">
        <v>3</v>
      </c>
      <c r="AG11" s="24">
        <v>3</v>
      </c>
      <c r="AH11" s="24">
        <v>0</v>
      </c>
      <c r="AI11" s="24">
        <v>0</v>
      </c>
      <c r="AJ11" s="24">
        <v>0</v>
      </c>
      <c r="AK11" s="24">
        <v>1</v>
      </c>
      <c r="AL11" s="24">
        <v>1</v>
      </c>
      <c r="AM11" s="24">
        <v>1</v>
      </c>
      <c r="AN11" s="24">
        <v>1</v>
      </c>
      <c r="AO11" s="24">
        <v>0</v>
      </c>
      <c r="AP11" s="28">
        <v>0</v>
      </c>
      <c r="AR11" s="64"/>
    </row>
    <row r="12" spans="1:44" x14ac:dyDescent="0.25">
      <c r="A12" s="66" t="s">
        <v>189</v>
      </c>
      <c r="B12" s="28">
        <v>4</v>
      </c>
      <c r="C12" s="66">
        <v>1</v>
      </c>
      <c r="D12" s="24">
        <v>1</v>
      </c>
      <c r="E12" s="24">
        <v>1</v>
      </c>
      <c r="F12" s="24">
        <v>1</v>
      </c>
      <c r="G12" s="24">
        <v>1</v>
      </c>
      <c r="H12" s="24">
        <v>1</v>
      </c>
      <c r="I12" s="24">
        <v>1</v>
      </c>
      <c r="J12" s="24">
        <v>1</v>
      </c>
      <c r="K12" s="24">
        <v>1</v>
      </c>
      <c r="L12" s="24">
        <v>0</v>
      </c>
      <c r="M12" s="24">
        <v>0</v>
      </c>
      <c r="N12" s="24">
        <v>0</v>
      </c>
      <c r="O12" s="24">
        <v>0</v>
      </c>
      <c r="P12" s="24">
        <v>0</v>
      </c>
      <c r="Q12" s="24">
        <v>1</v>
      </c>
      <c r="R12" s="24">
        <v>1</v>
      </c>
      <c r="S12" s="24">
        <v>1</v>
      </c>
      <c r="T12" s="24">
        <v>1</v>
      </c>
      <c r="U12" s="24">
        <v>9</v>
      </c>
      <c r="V12" s="24">
        <v>9</v>
      </c>
      <c r="W12" s="24">
        <v>3</v>
      </c>
      <c r="X12" s="24">
        <v>3</v>
      </c>
      <c r="Y12" s="24">
        <v>3</v>
      </c>
      <c r="Z12" s="24">
        <v>3</v>
      </c>
      <c r="AA12" s="24">
        <v>1</v>
      </c>
      <c r="AB12" s="24">
        <v>1</v>
      </c>
      <c r="AC12" s="24">
        <v>0</v>
      </c>
      <c r="AD12" s="24">
        <v>0</v>
      </c>
      <c r="AE12" s="24">
        <v>0</v>
      </c>
      <c r="AF12" s="24">
        <v>1</v>
      </c>
      <c r="AG12" s="24">
        <v>1</v>
      </c>
      <c r="AH12" s="24">
        <v>0</v>
      </c>
      <c r="AI12" s="24">
        <v>0</v>
      </c>
      <c r="AJ12" s="24">
        <v>0</v>
      </c>
      <c r="AK12" s="24">
        <v>1</v>
      </c>
      <c r="AL12" s="24">
        <v>1</v>
      </c>
      <c r="AM12" s="24">
        <v>1</v>
      </c>
      <c r="AN12" s="24">
        <v>1</v>
      </c>
      <c r="AO12" s="24">
        <v>0</v>
      </c>
      <c r="AP12" s="28">
        <v>0</v>
      </c>
      <c r="AR12" s="64"/>
    </row>
    <row r="13" spans="1:44" x14ac:dyDescent="0.25">
      <c r="A13" s="66" t="s">
        <v>190</v>
      </c>
      <c r="B13" s="28">
        <v>4</v>
      </c>
      <c r="C13" s="66">
        <v>1</v>
      </c>
      <c r="D13" s="24">
        <v>1</v>
      </c>
      <c r="E13" s="24">
        <v>1</v>
      </c>
      <c r="F13" s="24">
        <v>1</v>
      </c>
      <c r="G13" s="24">
        <v>1</v>
      </c>
      <c r="H13" s="24">
        <v>1</v>
      </c>
      <c r="I13" s="24">
        <v>1</v>
      </c>
      <c r="J13" s="24">
        <v>1</v>
      </c>
      <c r="K13" s="24">
        <v>1</v>
      </c>
      <c r="L13" s="24">
        <v>0</v>
      </c>
      <c r="M13" s="24">
        <v>0</v>
      </c>
      <c r="N13" s="24">
        <v>0</v>
      </c>
      <c r="O13" s="24">
        <v>0</v>
      </c>
      <c r="P13" s="24">
        <v>1</v>
      </c>
      <c r="Q13" s="24">
        <v>1</v>
      </c>
      <c r="R13" s="24">
        <v>1</v>
      </c>
      <c r="S13" s="24">
        <v>1</v>
      </c>
      <c r="T13" s="24">
        <v>3</v>
      </c>
      <c r="U13" s="24">
        <v>3</v>
      </c>
      <c r="V13" s="24">
        <v>9</v>
      </c>
      <c r="W13" s="24">
        <v>9</v>
      </c>
      <c r="X13" s="24">
        <v>3</v>
      </c>
      <c r="Y13" s="24">
        <v>3</v>
      </c>
      <c r="Z13" s="24">
        <v>1</v>
      </c>
      <c r="AA13" s="24">
        <v>1</v>
      </c>
      <c r="AB13" s="24">
        <v>0</v>
      </c>
      <c r="AC13" s="24">
        <v>0</v>
      </c>
      <c r="AD13" s="24">
        <v>0</v>
      </c>
      <c r="AE13" s="24">
        <v>0</v>
      </c>
      <c r="AF13" s="24">
        <v>1</v>
      </c>
      <c r="AG13" s="24">
        <v>1</v>
      </c>
      <c r="AH13" s="24">
        <v>0</v>
      </c>
      <c r="AI13" s="24">
        <v>0</v>
      </c>
      <c r="AJ13" s="24">
        <v>0</v>
      </c>
      <c r="AK13" s="24">
        <v>1</v>
      </c>
      <c r="AL13" s="24">
        <v>1</v>
      </c>
      <c r="AM13" s="24">
        <v>1</v>
      </c>
      <c r="AN13" s="24">
        <v>1</v>
      </c>
      <c r="AO13" s="24">
        <v>0</v>
      </c>
      <c r="AP13" s="28">
        <v>0</v>
      </c>
      <c r="AR13" s="64"/>
    </row>
    <row r="14" spans="1:44" x14ac:dyDescent="0.25">
      <c r="A14" s="66" t="s">
        <v>191</v>
      </c>
      <c r="B14" s="28">
        <v>3</v>
      </c>
      <c r="C14" s="66">
        <v>1</v>
      </c>
      <c r="D14" s="24">
        <v>1</v>
      </c>
      <c r="E14" s="24">
        <v>0</v>
      </c>
      <c r="F14" s="24">
        <v>0</v>
      </c>
      <c r="G14" s="24">
        <v>1</v>
      </c>
      <c r="H14" s="24">
        <v>1</v>
      </c>
      <c r="I14" s="24">
        <v>1</v>
      </c>
      <c r="J14" s="24">
        <v>1</v>
      </c>
      <c r="K14" s="24">
        <v>1</v>
      </c>
      <c r="L14" s="24">
        <v>0</v>
      </c>
      <c r="M14" s="24">
        <v>0</v>
      </c>
      <c r="N14" s="24">
        <v>0</v>
      </c>
      <c r="O14" s="24">
        <v>0</v>
      </c>
      <c r="P14" s="24">
        <v>1</v>
      </c>
      <c r="Q14" s="24">
        <v>1</v>
      </c>
      <c r="R14" s="24">
        <v>1</v>
      </c>
      <c r="S14" s="24">
        <v>1</v>
      </c>
      <c r="T14" s="24">
        <v>3</v>
      </c>
      <c r="U14" s="24">
        <v>3</v>
      </c>
      <c r="V14" s="24">
        <v>3</v>
      </c>
      <c r="W14" s="24">
        <v>3</v>
      </c>
      <c r="X14" s="24">
        <v>9</v>
      </c>
      <c r="Y14" s="24">
        <v>9</v>
      </c>
      <c r="Z14" s="24">
        <v>1</v>
      </c>
      <c r="AA14" s="24">
        <v>1</v>
      </c>
      <c r="AB14" s="24">
        <v>0</v>
      </c>
      <c r="AC14" s="24">
        <v>0</v>
      </c>
      <c r="AD14" s="24">
        <v>0</v>
      </c>
      <c r="AE14" s="24">
        <v>0</v>
      </c>
      <c r="AF14" s="24">
        <v>1</v>
      </c>
      <c r="AG14" s="24">
        <v>1</v>
      </c>
      <c r="AH14" s="24">
        <v>0</v>
      </c>
      <c r="AI14" s="24">
        <v>0</v>
      </c>
      <c r="AJ14" s="24">
        <v>0</v>
      </c>
      <c r="AK14" s="24">
        <v>1</v>
      </c>
      <c r="AL14" s="24">
        <v>1</v>
      </c>
      <c r="AM14" s="24">
        <v>1</v>
      </c>
      <c r="AN14" s="24">
        <v>1</v>
      </c>
      <c r="AO14" s="24">
        <v>0</v>
      </c>
      <c r="AP14" s="28">
        <v>0</v>
      </c>
      <c r="AR14" s="64"/>
    </row>
    <row r="15" spans="1:44" x14ac:dyDescent="0.25">
      <c r="A15" s="66" t="s">
        <v>192</v>
      </c>
      <c r="B15" s="28">
        <v>4</v>
      </c>
      <c r="C15" s="66">
        <v>0</v>
      </c>
      <c r="D15" s="24">
        <v>0</v>
      </c>
      <c r="E15" s="24">
        <v>0</v>
      </c>
      <c r="F15" s="24">
        <v>0</v>
      </c>
      <c r="G15" s="24">
        <v>1</v>
      </c>
      <c r="H15" s="24">
        <v>1</v>
      </c>
      <c r="I15" s="24">
        <v>0</v>
      </c>
      <c r="J15" s="24">
        <v>0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1</v>
      </c>
      <c r="Q15" s="24">
        <v>1</v>
      </c>
      <c r="R15" s="24">
        <v>1</v>
      </c>
      <c r="S15" s="24">
        <v>1</v>
      </c>
      <c r="T15" s="24">
        <v>1</v>
      </c>
      <c r="U15" s="24">
        <v>0</v>
      </c>
      <c r="V15" s="24">
        <v>0</v>
      </c>
      <c r="W15" s="24">
        <v>0</v>
      </c>
      <c r="X15" s="24">
        <v>0</v>
      </c>
      <c r="Y15" s="24">
        <v>9</v>
      </c>
      <c r="Z15" s="24">
        <v>9</v>
      </c>
      <c r="AA15" s="24">
        <v>3</v>
      </c>
      <c r="AB15" s="24">
        <v>3</v>
      </c>
      <c r="AC15" s="24">
        <v>0</v>
      </c>
      <c r="AD15" s="24">
        <v>0</v>
      </c>
      <c r="AE15" s="24">
        <v>0</v>
      </c>
      <c r="AF15" s="24">
        <v>1</v>
      </c>
      <c r="AG15" s="24">
        <v>1</v>
      </c>
      <c r="AH15" s="24">
        <v>0</v>
      </c>
      <c r="AI15" s="24">
        <v>0</v>
      </c>
      <c r="AJ15" s="24">
        <v>0</v>
      </c>
      <c r="AK15" s="24">
        <v>1</v>
      </c>
      <c r="AL15" s="24">
        <v>1</v>
      </c>
      <c r="AM15" s="24">
        <v>1</v>
      </c>
      <c r="AN15" s="24">
        <v>1</v>
      </c>
      <c r="AO15" s="24">
        <v>0</v>
      </c>
      <c r="AP15" s="28">
        <v>0</v>
      </c>
      <c r="AR15" s="64"/>
    </row>
    <row r="16" spans="1:44" x14ac:dyDescent="0.25">
      <c r="A16" s="66" t="s">
        <v>193</v>
      </c>
      <c r="B16" s="28">
        <v>3</v>
      </c>
      <c r="C16" s="66">
        <v>1</v>
      </c>
      <c r="D16" s="24">
        <v>1</v>
      </c>
      <c r="E16" s="24">
        <v>1</v>
      </c>
      <c r="F16" s="24">
        <v>1</v>
      </c>
      <c r="G16" s="24">
        <v>1</v>
      </c>
      <c r="H16" s="24">
        <v>1</v>
      </c>
      <c r="I16" s="24">
        <v>1</v>
      </c>
      <c r="J16" s="24">
        <v>1</v>
      </c>
      <c r="K16" s="24">
        <v>1</v>
      </c>
      <c r="L16" s="24">
        <v>0</v>
      </c>
      <c r="M16" s="24">
        <v>0</v>
      </c>
      <c r="N16" s="24">
        <v>0</v>
      </c>
      <c r="O16" s="24">
        <v>0</v>
      </c>
      <c r="P16" s="24">
        <v>1</v>
      </c>
      <c r="Q16" s="24">
        <v>1</v>
      </c>
      <c r="R16" s="24">
        <v>1</v>
      </c>
      <c r="S16" s="24">
        <v>1</v>
      </c>
      <c r="T16" s="24">
        <v>3</v>
      </c>
      <c r="U16" s="24">
        <v>3</v>
      </c>
      <c r="V16" s="24">
        <v>3</v>
      </c>
      <c r="W16" s="24">
        <v>3</v>
      </c>
      <c r="X16" s="24">
        <v>1</v>
      </c>
      <c r="Y16" s="24">
        <v>1</v>
      </c>
      <c r="Z16" s="24">
        <v>1</v>
      </c>
      <c r="AA16" s="24">
        <v>1</v>
      </c>
      <c r="AB16" s="24">
        <v>9</v>
      </c>
      <c r="AC16" s="24">
        <v>9</v>
      </c>
      <c r="AD16" s="24">
        <v>0</v>
      </c>
      <c r="AE16" s="24">
        <v>0</v>
      </c>
      <c r="AF16" s="24">
        <v>1</v>
      </c>
      <c r="AG16" s="24">
        <v>1</v>
      </c>
      <c r="AH16" s="24">
        <v>0</v>
      </c>
      <c r="AI16" s="24">
        <v>0</v>
      </c>
      <c r="AJ16" s="24">
        <v>0</v>
      </c>
      <c r="AK16" s="24">
        <v>1</v>
      </c>
      <c r="AL16" s="24">
        <v>1</v>
      </c>
      <c r="AM16" s="24">
        <v>1</v>
      </c>
      <c r="AN16" s="24">
        <v>1</v>
      </c>
      <c r="AO16" s="24">
        <v>0</v>
      </c>
      <c r="AP16" s="28">
        <v>0</v>
      </c>
      <c r="AR16" s="64"/>
    </row>
    <row r="17" spans="1:44" x14ac:dyDescent="0.25">
      <c r="A17" s="66" t="s">
        <v>194</v>
      </c>
      <c r="B17" s="28">
        <v>3</v>
      </c>
      <c r="C17" s="66">
        <v>1</v>
      </c>
      <c r="D17" s="24">
        <v>1</v>
      </c>
      <c r="E17" s="24">
        <v>0</v>
      </c>
      <c r="F17" s="24">
        <v>0</v>
      </c>
      <c r="G17" s="24">
        <v>1</v>
      </c>
      <c r="H17" s="24">
        <v>1</v>
      </c>
      <c r="I17" s="24">
        <v>1</v>
      </c>
      <c r="J17" s="24">
        <v>1</v>
      </c>
      <c r="K17" s="24">
        <v>1</v>
      </c>
      <c r="L17" s="24">
        <v>0</v>
      </c>
      <c r="M17" s="24">
        <v>0</v>
      </c>
      <c r="N17" s="24">
        <v>0</v>
      </c>
      <c r="O17" s="24">
        <v>0</v>
      </c>
      <c r="P17" s="24">
        <v>1</v>
      </c>
      <c r="Q17" s="24">
        <v>1</v>
      </c>
      <c r="R17" s="24">
        <v>1</v>
      </c>
      <c r="S17" s="24">
        <v>1</v>
      </c>
      <c r="T17" s="24">
        <v>1</v>
      </c>
      <c r="U17" s="24">
        <v>1</v>
      </c>
      <c r="V17" s="24">
        <v>0</v>
      </c>
      <c r="W17" s="24">
        <v>0</v>
      </c>
      <c r="X17" s="24">
        <v>0</v>
      </c>
      <c r="Y17" s="24">
        <v>0</v>
      </c>
      <c r="Z17" s="24">
        <v>1</v>
      </c>
      <c r="AA17" s="24">
        <v>1</v>
      </c>
      <c r="AB17" s="24">
        <v>0</v>
      </c>
      <c r="AC17" s="24">
        <v>0</v>
      </c>
      <c r="AD17" s="24">
        <v>9</v>
      </c>
      <c r="AE17" s="24">
        <v>9</v>
      </c>
      <c r="AF17" s="24">
        <v>1</v>
      </c>
      <c r="AG17" s="24">
        <v>1</v>
      </c>
      <c r="AH17" s="24">
        <v>0</v>
      </c>
      <c r="AI17" s="24">
        <v>0</v>
      </c>
      <c r="AJ17" s="24">
        <v>0</v>
      </c>
      <c r="AK17" s="24">
        <v>1</v>
      </c>
      <c r="AL17" s="24">
        <v>1</v>
      </c>
      <c r="AM17" s="24">
        <v>1</v>
      </c>
      <c r="AN17" s="24">
        <v>1</v>
      </c>
      <c r="AO17" s="24">
        <v>0</v>
      </c>
      <c r="AP17" s="28">
        <v>0</v>
      </c>
      <c r="AR17" s="64"/>
    </row>
    <row r="18" spans="1:44" x14ac:dyDescent="0.25">
      <c r="A18" s="66" t="s">
        <v>195</v>
      </c>
      <c r="B18" s="28">
        <v>4</v>
      </c>
      <c r="C18" s="66">
        <v>1</v>
      </c>
      <c r="D18" s="24">
        <v>1</v>
      </c>
      <c r="E18" s="24">
        <v>0</v>
      </c>
      <c r="F18" s="24">
        <v>0</v>
      </c>
      <c r="G18" s="24">
        <v>1</v>
      </c>
      <c r="H18" s="24">
        <v>1</v>
      </c>
      <c r="I18" s="24">
        <v>1</v>
      </c>
      <c r="J18" s="24">
        <v>1</v>
      </c>
      <c r="K18" s="24">
        <v>1</v>
      </c>
      <c r="L18" s="24">
        <v>0</v>
      </c>
      <c r="M18" s="24">
        <v>0</v>
      </c>
      <c r="N18" s="24">
        <v>0</v>
      </c>
      <c r="O18" s="24">
        <v>0</v>
      </c>
      <c r="P18" s="24">
        <v>1</v>
      </c>
      <c r="Q18" s="24">
        <v>1</v>
      </c>
      <c r="R18" s="24">
        <v>1</v>
      </c>
      <c r="S18" s="24">
        <v>1</v>
      </c>
      <c r="T18" s="24">
        <v>1</v>
      </c>
      <c r="U18" s="24">
        <v>1</v>
      </c>
      <c r="V18" s="24">
        <v>3</v>
      </c>
      <c r="W18" s="24">
        <v>3</v>
      </c>
      <c r="X18" s="24">
        <v>3</v>
      </c>
      <c r="Y18" s="24">
        <v>3</v>
      </c>
      <c r="Z18" s="24">
        <v>1</v>
      </c>
      <c r="AA18" s="24">
        <v>1</v>
      </c>
      <c r="AB18" s="24">
        <v>0</v>
      </c>
      <c r="AC18" s="24">
        <v>0</v>
      </c>
      <c r="AD18" s="24">
        <v>0</v>
      </c>
      <c r="AE18" s="24">
        <v>0</v>
      </c>
      <c r="AF18" s="24">
        <v>9</v>
      </c>
      <c r="AG18" s="24">
        <v>9</v>
      </c>
      <c r="AH18" s="24">
        <v>3</v>
      </c>
      <c r="AI18" s="24">
        <v>3</v>
      </c>
      <c r="AJ18" s="24">
        <v>3</v>
      </c>
      <c r="AK18" s="24">
        <v>1</v>
      </c>
      <c r="AL18" s="24">
        <v>1</v>
      </c>
      <c r="AM18" s="24">
        <v>1</v>
      </c>
      <c r="AN18" s="24">
        <v>1</v>
      </c>
      <c r="AO18" s="24">
        <v>0</v>
      </c>
      <c r="AP18" s="28">
        <v>0</v>
      </c>
      <c r="AR18" s="64"/>
    </row>
    <row r="19" spans="1:44" x14ac:dyDescent="0.25">
      <c r="A19" s="66" t="s">
        <v>196</v>
      </c>
      <c r="B19" s="28">
        <v>4</v>
      </c>
      <c r="C19" s="66">
        <v>1</v>
      </c>
      <c r="D19" s="24">
        <v>1</v>
      </c>
      <c r="E19" s="24">
        <v>0</v>
      </c>
      <c r="F19" s="24">
        <v>0</v>
      </c>
      <c r="G19" s="24">
        <v>1</v>
      </c>
      <c r="H19" s="24">
        <v>1</v>
      </c>
      <c r="I19" s="24">
        <v>1</v>
      </c>
      <c r="J19" s="24">
        <v>1</v>
      </c>
      <c r="K19" s="24">
        <v>1</v>
      </c>
      <c r="L19" s="24">
        <v>0</v>
      </c>
      <c r="M19" s="24">
        <v>0</v>
      </c>
      <c r="N19" s="24">
        <v>0</v>
      </c>
      <c r="O19" s="24">
        <v>0</v>
      </c>
      <c r="P19" s="24">
        <v>1</v>
      </c>
      <c r="Q19" s="24">
        <v>1</v>
      </c>
      <c r="R19" s="24">
        <v>1</v>
      </c>
      <c r="S19" s="24">
        <v>1</v>
      </c>
      <c r="T19" s="24">
        <v>1</v>
      </c>
      <c r="U19" s="24">
        <v>1</v>
      </c>
      <c r="V19" s="24">
        <v>3</v>
      </c>
      <c r="W19" s="24">
        <v>3</v>
      </c>
      <c r="X19" s="24">
        <v>3</v>
      </c>
      <c r="Y19" s="24">
        <v>3</v>
      </c>
      <c r="Z19" s="24">
        <v>1</v>
      </c>
      <c r="AA19" s="24">
        <v>1</v>
      </c>
      <c r="AB19" s="24">
        <v>0</v>
      </c>
      <c r="AC19" s="24">
        <v>0</v>
      </c>
      <c r="AD19" s="24">
        <v>0</v>
      </c>
      <c r="AE19" s="24">
        <v>0</v>
      </c>
      <c r="AF19" s="24">
        <v>1</v>
      </c>
      <c r="AG19" s="24">
        <v>1</v>
      </c>
      <c r="AH19" s="24">
        <v>9</v>
      </c>
      <c r="AI19" s="24">
        <v>9</v>
      </c>
      <c r="AJ19" s="24">
        <v>3</v>
      </c>
      <c r="AK19" s="24">
        <v>1</v>
      </c>
      <c r="AL19" s="24">
        <v>1</v>
      </c>
      <c r="AM19" s="24">
        <v>1</v>
      </c>
      <c r="AN19" s="24">
        <v>1</v>
      </c>
      <c r="AO19" s="24">
        <v>0</v>
      </c>
      <c r="AP19" s="28">
        <v>0</v>
      </c>
      <c r="AR19" s="64"/>
    </row>
    <row r="20" spans="1:44" x14ac:dyDescent="0.25">
      <c r="A20" s="66" t="s">
        <v>197</v>
      </c>
      <c r="B20" s="28">
        <v>3</v>
      </c>
      <c r="C20" s="66">
        <v>1</v>
      </c>
      <c r="D20" s="24">
        <v>1</v>
      </c>
      <c r="E20" s="24">
        <v>0</v>
      </c>
      <c r="F20" s="24">
        <v>0</v>
      </c>
      <c r="G20" s="24">
        <v>1</v>
      </c>
      <c r="H20" s="24">
        <v>1</v>
      </c>
      <c r="I20" s="24">
        <v>1</v>
      </c>
      <c r="J20" s="24">
        <v>1</v>
      </c>
      <c r="K20" s="24">
        <v>1</v>
      </c>
      <c r="L20" s="24">
        <v>0</v>
      </c>
      <c r="M20" s="24">
        <v>0</v>
      </c>
      <c r="N20" s="24">
        <v>0</v>
      </c>
      <c r="O20" s="24">
        <v>0</v>
      </c>
      <c r="P20" s="24">
        <v>1</v>
      </c>
      <c r="Q20" s="24">
        <v>1</v>
      </c>
      <c r="R20" s="24">
        <v>1</v>
      </c>
      <c r="S20" s="24">
        <v>1</v>
      </c>
      <c r="T20" s="24">
        <v>1</v>
      </c>
      <c r="U20" s="24">
        <v>1</v>
      </c>
      <c r="V20" s="24">
        <v>3</v>
      </c>
      <c r="W20" s="24">
        <v>3</v>
      </c>
      <c r="X20" s="24">
        <v>3</v>
      </c>
      <c r="Y20" s="24">
        <v>3</v>
      </c>
      <c r="Z20" s="24">
        <v>1</v>
      </c>
      <c r="AA20" s="24">
        <v>1</v>
      </c>
      <c r="AB20" s="24">
        <v>0</v>
      </c>
      <c r="AC20" s="24">
        <v>0</v>
      </c>
      <c r="AD20" s="24">
        <v>0</v>
      </c>
      <c r="AE20" s="24">
        <v>0</v>
      </c>
      <c r="AF20" s="24">
        <v>1</v>
      </c>
      <c r="AG20" s="24">
        <v>1</v>
      </c>
      <c r="AH20" s="24">
        <v>0</v>
      </c>
      <c r="AI20" s="24">
        <v>0</v>
      </c>
      <c r="AJ20" s="24">
        <v>9</v>
      </c>
      <c r="AK20" s="24">
        <v>9</v>
      </c>
      <c r="AL20" s="24">
        <v>1</v>
      </c>
      <c r="AM20" s="24">
        <v>1</v>
      </c>
      <c r="AN20" s="24">
        <v>1</v>
      </c>
      <c r="AO20" s="24">
        <v>0</v>
      </c>
      <c r="AP20" s="28">
        <v>0</v>
      </c>
      <c r="AR20" s="64"/>
    </row>
    <row r="21" spans="1:44" x14ac:dyDescent="0.25">
      <c r="A21" s="66" t="s">
        <v>198</v>
      </c>
      <c r="B21" s="28">
        <v>4</v>
      </c>
      <c r="C21" s="66">
        <v>1</v>
      </c>
      <c r="D21" s="24">
        <v>1</v>
      </c>
      <c r="E21" s="24">
        <v>0</v>
      </c>
      <c r="F21" s="24">
        <v>0</v>
      </c>
      <c r="G21" s="24">
        <v>1</v>
      </c>
      <c r="H21" s="24">
        <v>1</v>
      </c>
      <c r="I21" s="24">
        <v>1</v>
      </c>
      <c r="J21" s="24">
        <v>1</v>
      </c>
      <c r="K21" s="24">
        <v>1</v>
      </c>
      <c r="L21" s="24">
        <v>0</v>
      </c>
      <c r="M21" s="24">
        <v>0</v>
      </c>
      <c r="N21" s="24">
        <v>0</v>
      </c>
      <c r="O21" s="24">
        <v>0</v>
      </c>
      <c r="P21" s="24">
        <v>1</v>
      </c>
      <c r="Q21" s="24">
        <v>1</v>
      </c>
      <c r="R21" s="24">
        <v>1</v>
      </c>
      <c r="S21" s="24">
        <v>1</v>
      </c>
      <c r="T21" s="24">
        <v>1</v>
      </c>
      <c r="U21" s="24">
        <v>1</v>
      </c>
      <c r="V21" s="24">
        <v>3</v>
      </c>
      <c r="W21" s="24">
        <v>3</v>
      </c>
      <c r="X21" s="24">
        <v>3</v>
      </c>
      <c r="Y21" s="24">
        <v>3</v>
      </c>
      <c r="Z21" s="24">
        <v>1</v>
      </c>
      <c r="AA21" s="24">
        <v>1</v>
      </c>
      <c r="AB21" s="24">
        <v>0</v>
      </c>
      <c r="AC21" s="24">
        <v>0</v>
      </c>
      <c r="AD21" s="24">
        <v>0</v>
      </c>
      <c r="AE21" s="24">
        <v>0</v>
      </c>
      <c r="AF21" s="24">
        <v>1</v>
      </c>
      <c r="AG21" s="24">
        <v>1</v>
      </c>
      <c r="AH21" s="24">
        <v>0</v>
      </c>
      <c r="AI21" s="24">
        <v>0</v>
      </c>
      <c r="AJ21" s="24">
        <v>0</v>
      </c>
      <c r="AK21" s="24">
        <v>0</v>
      </c>
      <c r="AL21" s="24">
        <v>9</v>
      </c>
      <c r="AM21" s="24">
        <v>9</v>
      </c>
      <c r="AN21" s="24">
        <v>3</v>
      </c>
      <c r="AO21" s="24">
        <v>3</v>
      </c>
      <c r="AP21" s="28">
        <v>0</v>
      </c>
      <c r="AR21" s="64"/>
    </row>
    <row r="22" spans="1:44" x14ac:dyDescent="0.25">
      <c r="A22" s="66" t="s">
        <v>199</v>
      </c>
      <c r="B22" s="28">
        <v>3</v>
      </c>
      <c r="C22" s="66">
        <v>1</v>
      </c>
      <c r="D22" s="24">
        <v>1</v>
      </c>
      <c r="E22" s="24">
        <v>0</v>
      </c>
      <c r="F22" s="24">
        <v>0</v>
      </c>
      <c r="G22" s="24">
        <v>1</v>
      </c>
      <c r="H22" s="24">
        <v>1</v>
      </c>
      <c r="I22" s="24">
        <v>1</v>
      </c>
      <c r="J22" s="24">
        <v>1</v>
      </c>
      <c r="K22" s="24">
        <v>1</v>
      </c>
      <c r="L22" s="24">
        <v>0</v>
      </c>
      <c r="M22" s="24">
        <v>0</v>
      </c>
      <c r="N22" s="24">
        <v>0</v>
      </c>
      <c r="O22" s="24">
        <v>0</v>
      </c>
      <c r="P22" s="24">
        <v>1</v>
      </c>
      <c r="Q22" s="24">
        <v>1</v>
      </c>
      <c r="R22" s="24">
        <v>1</v>
      </c>
      <c r="S22" s="24">
        <v>1</v>
      </c>
      <c r="T22" s="24">
        <v>1</v>
      </c>
      <c r="U22" s="24">
        <v>1</v>
      </c>
      <c r="V22" s="24">
        <v>3</v>
      </c>
      <c r="W22" s="24">
        <v>3</v>
      </c>
      <c r="X22" s="24">
        <v>3</v>
      </c>
      <c r="Y22" s="24">
        <v>3</v>
      </c>
      <c r="Z22" s="24">
        <v>1</v>
      </c>
      <c r="AA22" s="24">
        <v>1</v>
      </c>
      <c r="AB22" s="24">
        <v>0</v>
      </c>
      <c r="AC22" s="24">
        <v>0</v>
      </c>
      <c r="AD22" s="24">
        <v>0</v>
      </c>
      <c r="AE22" s="24">
        <v>0</v>
      </c>
      <c r="AF22" s="24">
        <v>1</v>
      </c>
      <c r="AG22" s="24">
        <v>1</v>
      </c>
      <c r="AH22" s="24">
        <v>0</v>
      </c>
      <c r="AI22" s="24">
        <v>0</v>
      </c>
      <c r="AJ22" s="24">
        <v>0</v>
      </c>
      <c r="AK22" s="24">
        <v>0</v>
      </c>
      <c r="AL22" s="24">
        <v>9</v>
      </c>
      <c r="AM22" s="24">
        <v>9</v>
      </c>
      <c r="AN22" s="24">
        <v>3</v>
      </c>
      <c r="AO22" s="24">
        <v>3</v>
      </c>
      <c r="AP22" s="28">
        <v>0</v>
      </c>
      <c r="AR22" s="64"/>
    </row>
    <row r="23" spans="1:44" ht="15.75" thickBot="1" x14ac:dyDescent="0.3">
      <c r="A23" s="67" t="s">
        <v>200</v>
      </c>
      <c r="B23" s="30">
        <v>4</v>
      </c>
      <c r="C23" s="67">
        <v>1</v>
      </c>
      <c r="D23" s="29">
        <v>1</v>
      </c>
      <c r="E23" s="29">
        <v>0</v>
      </c>
      <c r="F23" s="29">
        <v>0</v>
      </c>
      <c r="G23" s="29">
        <v>1</v>
      </c>
      <c r="H23" s="29">
        <v>1</v>
      </c>
      <c r="I23" s="29">
        <v>1</v>
      </c>
      <c r="J23" s="29">
        <v>1</v>
      </c>
      <c r="K23" s="29">
        <v>1</v>
      </c>
      <c r="L23" s="29">
        <v>0</v>
      </c>
      <c r="M23" s="29">
        <v>0</v>
      </c>
      <c r="N23" s="29">
        <v>0</v>
      </c>
      <c r="O23" s="29">
        <v>0</v>
      </c>
      <c r="P23" s="29">
        <v>1</v>
      </c>
      <c r="Q23" s="29">
        <v>1</v>
      </c>
      <c r="R23" s="29">
        <v>1</v>
      </c>
      <c r="S23" s="29">
        <v>1</v>
      </c>
      <c r="T23" s="29">
        <v>1</v>
      </c>
      <c r="U23" s="29">
        <v>1</v>
      </c>
      <c r="V23" s="29">
        <v>3</v>
      </c>
      <c r="W23" s="29">
        <v>3</v>
      </c>
      <c r="X23" s="29">
        <v>3</v>
      </c>
      <c r="Y23" s="29">
        <v>3</v>
      </c>
      <c r="Z23" s="29">
        <v>1</v>
      </c>
      <c r="AA23" s="29">
        <v>1</v>
      </c>
      <c r="AB23" s="29">
        <v>0</v>
      </c>
      <c r="AC23" s="29">
        <v>0</v>
      </c>
      <c r="AD23" s="29">
        <v>0</v>
      </c>
      <c r="AE23" s="29">
        <v>0</v>
      </c>
      <c r="AF23" s="29">
        <v>1</v>
      </c>
      <c r="AG23" s="29">
        <v>1</v>
      </c>
      <c r="AH23" s="29">
        <v>0</v>
      </c>
      <c r="AI23" s="29">
        <v>0</v>
      </c>
      <c r="AJ23" s="29">
        <v>0</v>
      </c>
      <c r="AK23" s="29">
        <v>0</v>
      </c>
      <c r="AL23" s="29">
        <v>1</v>
      </c>
      <c r="AM23" s="29">
        <v>1</v>
      </c>
      <c r="AN23" s="29">
        <v>9</v>
      </c>
      <c r="AO23" s="29">
        <v>9</v>
      </c>
      <c r="AP23" s="30">
        <v>3</v>
      </c>
      <c r="AR23" s="64"/>
    </row>
    <row r="24" spans="1:44" ht="21" x14ac:dyDescent="0.25">
      <c r="A24" s="81" t="s">
        <v>538</v>
      </c>
      <c r="B24" s="108" t="s">
        <v>1</v>
      </c>
      <c r="C24" s="80" cm="1">
        <f t="array" ref="C24">SUM($B$3:$B$23*C3:C23)</f>
        <v>136</v>
      </c>
      <c r="D24" s="80" cm="1">
        <f t="array" ref="D24">SUM($B$3:$B$23*D3:D23)</f>
        <v>136</v>
      </c>
      <c r="E24" s="80" cm="1">
        <f t="array" ref="E24">SUM($B$3:$B$23*E3:E23)</f>
        <v>98</v>
      </c>
      <c r="F24" s="80" cm="1">
        <f t="array" ref="F24">SUM($B$3:$B$23*F3:F23)</f>
        <v>98</v>
      </c>
      <c r="G24" s="80" cm="1">
        <f t="array" ref="G24">SUM($B$3:$B$23*G3:G23)</f>
        <v>121</v>
      </c>
      <c r="H24" s="80" cm="1">
        <f t="array" ref="H24">SUM($B$3:$B$23*H3:H23)</f>
        <v>121</v>
      </c>
      <c r="I24" s="80" cm="1">
        <f t="array" ref="I24">SUM($B$3:$B$23*I3:I23)</f>
        <v>84</v>
      </c>
      <c r="J24" s="80" cm="1">
        <f t="array" ref="J24">SUM($B$3:$B$23*J3:J23)</f>
        <v>166</v>
      </c>
      <c r="K24" s="80" cm="1">
        <f t="array" ref="K24">SUM($B$3:$B$23*K3:K23)</f>
        <v>190</v>
      </c>
      <c r="L24" s="80" cm="1">
        <f t="array" ref="L24">SUM($B$3:$B$23*L3:L23)</f>
        <v>91</v>
      </c>
      <c r="M24" s="80" cm="1">
        <f t="array" ref="M24">SUM($B$3:$B$23*M3:M23)</f>
        <v>49</v>
      </c>
      <c r="N24" s="80" cm="1">
        <f t="array" ref="N24">SUM($B$3:$B$23*N3:N23)</f>
        <v>39</v>
      </c>
      <c r="O24" s="80" cm="1">
        <f t="array" ref="O24">SUM($B$3:$B$23*O3:O23)</f>
        <v>66</v>
      </c>
      <c r="P24" s="80" cm="1">
        <f t="array" ref="P24">SUM($B$3:$B$23*P3:P23)</f>
        <v>97</v>
      </c>
      <c r="Q24" s="80" cm="1">
        <f t="array" ref="Q24">SUM($B$3:$B$23*Q3:Q23)</f>
        <v>172</v>
      </c>
      <c r="R24" s="80" cm="1">
        <f t="array" ref="R24">SUM($B$3:$B$23*R3:R23)</f>
        <v>172</v>
      </c>
      <c r="S24" s="80" cm="1">
        <f t="array" ref="S24">SUM($B$3:$B$23*S3:S23)</f>
        <v>85</v>
      </c>
      <c r="T24" s="80" cm="1">
        <f t="array" ref="T24">SUM($B$3:$B$23*T3:T23)</f>
        <v>105</v>
      </c>
      <c r="U24" s="80" cm="1">
        <f t="array" ref="U24">SUM($B$3:$B$23*U3:U23)</f>
        <v>91</v>
      </c>
      <c r="V24" s="80" cm="1">
        <f t="array" ref="V24">SUM($B$3:$B$23*V3:V23)</f>
        <v>156</v>
      </c>
      <c r="W24" s="80" cm="1">
        <f t="array" ref="W24">SUM($B$3:$B$23*W3:W23)</f>
        <v>132</v>
      </c>
      <c r="X24" s="80" cm="1">
        <f t="array" ref="X24">SUM($B$3:$B$23*X3:X23)</f>
        <v>120</v>
      </c>
      <c r="Y24" s="80" cm="1">
        <f t="array" ref="Y24">SUM($B$3:$B$23*Y3:Y23)</f>
        <v>156</v>
      </c>
      <c r="Z24" s="80" cm="1">
        <f t="array" ref="Z24">SUM($B$3:$B$23*Z3:Z23)</f>
        <v>83</v>
      </c>
      <c r="AA24" s="80" cm="1">
        <f t="array" ref="AA24">SUM($B$3:$B$23*AA3:AA23)</f>
        <v>86</v>
      </c>
      <c r="AB24" s="80" cm="1">
        <f t="array" ref="AB24">SUM($B$3:$B$23*AB3:AB23)</f>
        <v>78</v>
      </c>
      <c r="AC24" s="80" cm="1">
        <f t="array" ref="AC24">SUM($B$3:$B$23*AC3:AC23)</f>
        <v>54</v>
      </c>
      <c r="AD24" s="80" cm="1">
        <f t="array" ref="AD24">SUM($B$3:$B$23*AD3:AD23)</f>
        <v>54</v>
      </c>
      <c r="AE24" s="80" cm="1">
        <f t="array" ref="AE24">SUM($B$3:$B$23*AE3:AE23)</f>
        <v>27</v>
      </c>
      <c r="AF24" s="80" cm="1">
        <f t="array" ref="AF24">SUM($B$3:$B$23*AF3:AF23)</f>
        <v>138</v>
      </c>
      <c r="AG24" s="80" cm="1">
        <f t="array" ref="AG24">SUM($B$3:$B$23*AG3:AG23)</f>
        <v>138</v>
      </c>
      <c r="AH24" s="80" cm="1">
        <f t="array" ref="AH24">SUM($B$3:$B$23*AH3:AH23)</f>
        <v>52</v>
      </c>
      <c r="AI24" s="80" cm="1">
        <f t="array" ref="AI24">SUM($B$3:$B$23*AI3:AI23)</f>
        <v>52</v>
      </c>
      <c r="AJ24" s="80" cm="1">
        <f t="array" ref="AJ24">SUM($B$3:$B$23*AJ3:AJ23)</f>
        <v>55</v>
      </c>
      <c r="AK24" s="80" cm="1">
        <f t="array" ref="AK24">SUM($B$3:$B$23*AK3:AK23)</f>
        <v>213</v>
      </c>
      <c r="AL24" s="80" cm="1">
        <f t="array" ref="AL24">SUM($B$3:$B$23*AL3:AL23)</f>
        <v>134</v>
      </c>
      <c r="AM24" s="80" cm="1">
        <f t="array" ref="AM24">SUM($B$3:$B$23*AM3:AM23)</f>
        <v>134</v>
      </c>
      <c r="AN24" s="80" cm="1">
        <f t="array" ref="AN24">SUM($B$3:$B$23*AN3:AN23)</f>
        <v>124</v>
      </c>
      <c r="AO24" s="80" cm="1">
        <f t="array" ref="AO24">SUM($B$3:$B$23*AO3:AO23)</f>
        <v>84</v>
      </c>
      <c r="AP24" s="80" cm="1">
        <f t="array" ref="AP24">SUM($B$3:$B$23*AP3:AP23)</f>
        <v>39</v>
      </c>
      <c r="AR24" s="64"/>
    </row>
    <row r="25" spans="1:44" ht="32.25" x14ac:dyDescent="0.25">
      <c r="A25" s="79" t="s">
        <v>520</v>
      </c>
      <c r="B25" s="109"/>
      <c r="C25" s="78">
        <f>C24/SUM($C$24:$AP$24)</f>
        <v>3.218173213440606E-2</v>
      </c>
      <c r="D25" s="78">
        <f t="shared" ref="D25:AP25" si="0">D24/SUM($C$24:$AP$24)</f>
        <v>3.218173213440606E-2</v>
      </c>
      <c r="E25" s="78">
        <f t="shared" si="0"/>
        <v>2.3189777567439659E-2</v>
      </c>
      <c r="F25" s="78">
        <f t="shared" si="0"/>
        <v>2.3189777567439659E-2</v>
      </c>
      <c r="G25" s="78">
        <f t="shared" si="0"/>
        <v>2.8632276384287742E-2</v>
      </c>
      <c r="H25" s="78">
        <f t="shared" si="0"/>
        <v>2.8632276384287742E-2</v>
      </c>
      <c r="I25" s="78">
        <f t="shared" si="0"/>
        <v>1.9876952200662566E-2</v>
      </c>
      <c r="J25" s="78">
        <f t="shared" si="0"/>
        <v>3.928064363464269E-2</v>
      </c>
      <c r="K25" s="78">
        <f t="shared" si="0"/>
        <v>4.495977283483199E-2</v>
      </c>
      <c r="L25" s="78">
        <f t="shared" si="0"/>
        <v>2.1533364884051113E-2</v>
      </c>
      <c r="M25" s="78">
        <f t="shared" si="0"/>
        <v>1.159488878371983E-2</v>
      </c>
      <c r="N25" s="78">
        <f t="shared" si="0"/>
        <v>9.2285849503076188E-3</v>
      </c>
      <c r="O25" s="78">
        <f t="shared" si="0"/>
        <v>1.5617605300520587E-2</v>
      </c>
      <c r="P25" s="78">
        <f t="shared" si="0"/>
        <v>2.2953147184098438E-2</v>
      </c>
      <c r="Q25" s="78">
        <f t="shared" si="0"/>
        <v>4.0700425934690011E-2</v>
      </c>
      <c r="R25" s="78">
        <f t="shared" si="0"/>
        <v>4.0700425934690011E-2</v>
      </c>
      <c r="S25" s="78">
        <f t="shared" si="0"/>
        <v>2.0113582584003788E-2</v>
      </c>
      <c r="T25" s="78">
        <f t="shared" si="0"/>
        <v>2.4846190250828206E-2</v>
      </c>
      <c r="U25" s="78">
        <f t="shared" si="0"/>
        <v>2.1533364884051113E-2</v>
      </c>
      <c r="V25" s="78">
        <f t="shared" si="0"/>
        <v>3.6914339801230475E-2</v>
      </c>
      <c r="W25" s="78">
        <f t="shared" si="0"/>
        <v>3.1235210601041175E-2</v>
      </c>
      <c r="X25" s="78">
        <f t="shared" si="0"/>
        <v>2.8395646000946521E-2</v>
      </c>
      <c r="Y25" s="78">
        <f t="shared" si="0"/>
        <v>3.6914339801230475E-2</v>
      </c>
      <c r="Z25" s="78">
        <f t="shared" si="0"/>
        <v>1.9640321817321345E-2</v>
      </c>
      <c r="AA25" s="78">
        <f t="shared" si="0"/>
        <v>2.0350212967345006E-2</v>
      </c>
      <c r="AB25" s="78">
        <f t="shared" si="0"/>
        <v>1.8457169900615238E-2</v>
      </c>
      <c r="AC25" s="78">
        <f t="shared" si="0"/>
        <v>1.2778040700425935E-2</v>
      </c>
      <c r="AD25" s="78">
        <f t="shared" si="0"/>
        <v>1.2778040700425935E-2</v>
      </c>
      <c r="AE25" s="78">
        <f t="shared" si="0"/>
        <v>6.3890203502129676E-3</v>
      </c>
      <c r="AF25" s="78">
        <f t="shared" si="0"/>
        <v>3.2654992901088503E-2</v>
      </c>
      <c r="AG25" s="78">
        <f t="shared" si="0"/>
        <v>3.2654992901088503E-2</v>
      </c>
      <c r="AH25" s="78">
        <f t="shared" si="0"/>
        <v>1.2304779933743492E-2</v>
      </c>
      <c r="AI25" s="78">
        <f t="shared" si="0"/>
        <v>1.2304779933743492E-2</v>
      </c>
      <c r="AJ25" s="78">
        <f t="shared" si="0"/>
        <v>1.3014671083767155E-2</v>
      </c>
      <c r="AK25" s="78">
        <f t="shared" si="0"/>
        <v>5.0402271651680076E-2</v>
      </c>
      <c r="AL25" s="78">
        <f t="shared" si="0"/>
        <v>3.1708471367723617E-2</v>
      </c>
      <c r="AM25" s="78">
        <f t="shared" si="0"/>
        <v>3.1708471367723617E-2</v>
      </c>
      <c r="AN25" s="78">
        <f t="shared" si="0"/>
        <v>2.9342167534311406E-2</v>
      </c>
      <c r="AO25" s="78">
        <f t="shared" si="0"/>
        <v>1.9876952200662566E-2</v>
      </c>
      <c r="AP25" s="78">
        <f t="shared" si="0"/>
        <v>9.2285849503076188E-3</v>
      </c>
      <c r="AR25" s="64"/>
    </row>
    <row r="26" spans="1:44" x14ac:dyDescent="0.25">
      <c r="A26" s="77" t="s">
        <v>45</v>
      </c>
      <c r="B26" s="109"/>
      <c r="C26" s="77">
        <f>_xlfn.RANK.EQ(C24, $C$24:$AP$24)</f>
        <v>10</v>
      </c>
      <c r="D26" s="77">
        <f t="shared" ref="D26:AP26" si="1">_xlfn.RANK.EQ(D24, $C$24:$AP$24)</f>
        <v>10</v>
      </c>
      <c r="E26" s="77">
        <f t="shared" si="1"/>
        <v>20</v>
      </c>
      <c r="F26" s="77">
        <f t="shared" si="1"/>
        <v>20</v>
      </c>
      <c r="G26" s="77">
        <f t="shared" si="1"/>
        <v>16</v>
      </c>
      <c r="H26" s="77">
        <f t="shared" si="1"/>
        <v>16</v>
      </c>
      <c r="I26" s="77">
        <f t="shared" si="1"/>
        <v>27</v>
      </c>
      <c r="J26" s="77">
        <f t="shared" si="1"/>
        <v>5</v>
      </c>
      <c r="K26" s="77">
        <f t="shared" si="1"/>
        <v>2</v>
      </c>
      <c r="L26" s="77">
        <f t="shared" si="1"/>
        <v>23</v>
      </c>
      <c r="M26" s="77">
        <f t="shared" si="1"/>
        <v>37</v>
      </c>
      <c r="N26" s="77">
        <f t="shared" si="1"/>
        <v>38</v>
      </c>
      <c r="O26" s="77">
        <f t="shared" si="1"/>
        <v>31</v>
      </c>
      <c r="P26" s="77">
        <f t="shared" si="1"/>
        <v>22</v>
      </c>
      <c r="Q26" s="77">
        <f t="shared" si="1"/>
        <v>3</v>
      </c>
      <c r="R26" s="77">
        <f t="shared" si="1"/>
        <v>3</v>
      </c>
      <c r="S26" s="77">
        <f t="shared" si="1"/>
        <v>26</v>
      </c>
      <c r="T26" s="77">
        <f t="shared" si="1"/>
        <v>19</v>
      </c>
      <c r="U26" s="77">
        <f t="shared" si="1"/>
        <v>23</v>
      </c>
      <c r="V26" s="77">
        <f t="shared" si="1"/>
        <v>6</v>
      </c>
      <c r="W26" s="77">
        <f t="shared" si="1"/>
        <v>14</v>
      </c>
      <c r="X26" s="77">
        <f t="shared" si="1"/>
        <v>18</v>
      </c>
      <c r="Y26" s="77">
        <f t="shared" si="1"/>
        <v>6</v>
      </c>
      <c r="Z26" s="77">
        <f t="shared" si="1"/>
        <v>29</v>
      </c>
      <c r="AA26" s="77">
        <f t="shared" si="1"/>
        <v>25</v>
      </c>
      <c r="AB26" s="77">
        <f t="shared" si="1"/>
        <v>30</v>
      </c>
      <c r="AC26" s="77">
        <f t="shared" si="1"/>
        <v>33</v>
      </c>
      <c r="AD26" s="77">
        <f t="shared" si="1"/>
        <v>33</v>
      </c>
      <c r="AE26" s="77">
        <f t="shared" si="1"/>
        <v>40</v>
      </c>
      <c r="AF26" s="77">
        <f t="shared" si="1"/>
        <v>8</v>
      </c>
      <c r="AG26" s="77">
        <f t="shared" si="1"/>
        <v>8</v>
      </c>
      <c r="AH26" s="77">
        <f t="shared" si="1"/>
        <v>35</v>
      </c>
      <c r="AI26" s="77">
        <f t="shared" si="1"/>
        <v>35</v>
      </c>
      <c r="AJ26" s="77">
        <f t="shared" si="1"/>
        <v>32</v>
      </c>
      <c r="AK26" s="77">
        <f t="shared" si="1"/>
        <v>1</v>
      </c>
      <c r="AL26" s="77">
        <f t="shared" si="1"/>
        <v>12</v>
      </c>
      <c r="AM26" s="77">
        <f t="shared" si="1"/>
        <v>12</v>
      </c>
      <c r="AN26" s="77">
        <f t="shared" si="1"/>
        <v>15</v>
      </c>
      <c r="AO26" s="77">
        <f t="shared" si="1"/>
        <v>27</v>
      </c>
      <c r="AP26" s="77">
        <f t="shared" si="1"/>
        <v>38</v>
      </c>
      <c r="AR26" s="64"/>
    </row>
    <row r="27" spans="1:44" x14ac:dyDescent="0.25">
      <c r="AR27" s="64"/>
    </row>
    <row r="28" spans="1:44" x14ac:dyDescent="0.25">
      <c r="AR28" s="64"/>
    </row>
    <row r="29" spans="1:44" x14ac:dyDescent="0.25">
      <c r="AR29" s="64"/>
    </row>
    <row r="30" spans="1:44" x14ac:dyDescent="0.25">
      <c r="AR30" s="64"/>
    </row>
    <row r="31" spans="1:44" x14ac:dyDescent="0.25">
      <c r="AR31" s="64"/>
    </row>
    <row r="32" spans="1:44" x14ac:dyDescent="0.25">
      <c r="AR32" s="64"/>
    </row>
    <row r="33" spans="44:44" x14ac:dyDescent="0.25">
      <c r="AR33" s="64"/>
    </row>
    <row r="34" spans="44:44" x14ac:dyDescent="0.25">
      <c r="AR34" s="64"/>
    </row>
    <row r="35" spans="44:44" x14ac:dyDescent="0.25">
      <c r="AR35" s="64"/>
    </row>
    <row r="36" spans="44:44" x14ac:dyDescent="0.25">
      <c r="AR36" s="64"/>
    </row>
    <row r="37" spans="44:44" x14ac:dyDescent="0.25">
      <c r="AR37" s="64"/>
    </row>
    <row r="38" spans="44:44" x14ac:dyDescent="0.25">
      <c r="AR38" s="64"/>
    </row>
    <row r="39" spans="44:44" x14ac:dyDescent="0.25">
      <c r="AR39" s="64"/>
    </row>
    <row r="40" spans="44:44" x14ac:dyDescent="0.25">
      <c r="AR40" s="64"/>
    </row>
    <row r="41" spans="44:44" x14ac:dyDescent="0.25">
      <c r="AR41" s="64"/>
    </row>
    <row r="42" spans="44:44" x14ac:dyDescent="0.25">
      <c r="AR42" s="64"/>
    </row>
    <row r="43" spans="44:44" x14ac:dyDescent="0.25">
      <c r="AR43" s="64"/>
    </row>
  </sheetData>
  <mergeCells count="3">
    <mergeCell ref="B24:B26"/>
    <mergeCell ref="A2:B2"/>
    <mergeCell ref="A1:B1"/>
  </mergeCells>
  <conditionalFormatting sqref="C3:AP23 AQ3:AQ44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8E94C-139B-43E4-8088-069536DEA4EF}">
  <dimension ref="B1:AW110"/>
  <sheetViews>
    <sheetView tabSelected="1" zoomScale="85" zoomScaleNormal="85" workbookViewId="0">
      <selection sqref="A1:J43"/>
    </sheetView>
  </sheetViews>
  <sheetFormatPr defaultRowHeight="15" x14ac:dyDescent="0.25"/>
  <cols>
    <col min="2" max="2" width="30.28515625" customWidth="1"/>
    <col min="3" max="3" width="15.28515625" bestFit="1" customWidth="1"/>
    <col min="4" max="4" width="16.28515625" bestFit="1" customWidth="1"/>
    <col min="5" max="5" width="20" bestFit="1" customWidth="1"/>
    <col min="6" max="6" width="16.42578125" bestFit="1" customWidth="1"/>
    <col min="7" max="7" width="18.85546875" bestFit="1" customWidth="1"/>
    <col min="8" max="8" width="13.5703125" bestFit="1" customWidth="1"/>
    <col min="9" max="9" width="20.42578125" bestFit="1" customWidth="1"/>
    <col min="10" max="10" width="10.42578125" customWidth="1"/>
    <col min="11" max="11" width="4.5703125" bestFit="1" customWidth="1"/>
    <col min="12" max="15" width="7.42578125" bestFit="1" customWidth="1"/>
    <col min="16" max="16" width="6.5703125" bestFit="1" customWidth="1"/>
    <col min="17" max="17" width="7.42578125" bestFit="1" customWidth="1"/>
    <col min="18" max="19" width="4.5703125" bestFit="1" customWidth="1"/>
    <col min="20" max="22" width="7.42578125" bestFit="1" customWidth="1"/>
    <col min="23" max="23" width="4.5703125" bestFit="1" customWidth="1"/>
    <col min="24" max="27" width="7.42578125" bestFit="1" customWidth="1"/>
    <col min="28" max="32" width="4.5703125" bestFit="1" customWidth="1"/>
    <col min="33" max="34" width="7.42578125" bestFit="1" customWidth="1"/>
    <col min="35" max="35" width="4.5703125" bestFit="1" customWidth="1"/>
    <col min="36" max="36" width="7.42578125" bestFit="1" customWidth="1"/>
    <col min="37" max="38" width="4.5703125" bestFit="1" customWidth="1"/>
    <col min="39" max="39" width="7.42578125" bestFit="1" customWidth="1"/>
    <col min="40" max="40" width="4.5703125" bestFit="1" customWidth="1"/>
    <col min="41" max="43" width="7.42578125" bestFit="1" customWidth="1"/>
    <col min="44" max="44" width="4.5703125" bestFit="1" customWidth="1"/>
    <col min="45" max="45" width="7.42578125" bestFit="1" customWidth="1"/>
    <col min="46" max="46" width="4.5703125" bestFit="1" customWidth="1"/>
    <col min="47" max="47" width="6.5703125" bestFit="1" customWidth="1"/>
    <col min="48" max="48" width="4.5703125" bestFit="1" customWidth="1"/>
    <col min="49" max="49" width="7.42578125" bestFit="1" customWidth="1"/>
  </cols>
  <sheetData>
    <row r="1" spans="2:49" ht="15.75" thickBot="1" x14ac:dyDescent="0.3"/>
    <row r="2" spans="2:49" ht="15.75" thickBot="1" x14ac:dyDescent="0.3">
      <c r="B2" s="169"/>
      <c r="C2" s="170"/>
      <c r="D2" s="171" t="s">
        <v>657</v>
      </c>
      <c r="E2" s="171"/>
      <c r="F2" s="171"/>
      <c r="G2" s="171"/>
      <c r="H2" s="171" t="s">
        <v>658</v>
      </c>
      <c r="I2" s="171"/>
      <c r="J2" s="172"/>
    </row>
    <row r="3" spans="2:49" ht="15.75" thickBot="1" x14ac:dyDescent="0.3">
      <c r="B3" s="140" t="s">
        <v>294</v>
      </c>
      <c r="C3" s="141" t="s">
        <v>3</v>
      </c>
      <c r="D3" s="148" t="s">
        <v>570</v>
      </c>
      <c r="E3" s="142" t="s">
        <v>698</v>
      </c>
      <c r="F3" s="143" t="s">
        <v>699</v>
      </c>
      <c r="G3" s="144" t="s">
        <v>700</v>
      </c>
      <c r="H3" s="140" t="s">
        <v>655</v>
      </c>
      <c r="I3" s="150" t="s">
        <v>656</v>
      </c>
      <c r="J3" s="156" t="s">
        <v>718</v>
      </c>
    </row>
    <row r="4" spans="2:49" x14ac:dyDescent="0.25">
      <c r="B4" s="135" t="s">
        <v>449</v>
      </c>
      <c r="C4" s="136" t="s">
        <v>519</v>
      </c>
      <c r="D4" s="137" t="s">
        <v>571</v>
      </c>
      <c r="E4" s="138" t="s">
        <v>572</v>
      </c>
      <c r="F4" s="139" t="s">
        <v>573</v>
      </c>
      <c r="G4" s="145" t="s">
        <v>574</v>
      </c>
      <c r="H4" s="157" t="s">
        <v>631</v>
      </c>
      <c r="I4" s="158" t="s">
        <v>659</v>
      </c>
      <c r="J4" s="155" t="s">
        <v>704</v>
      </c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8"/>
    </row>
    <row r="5" spans="2:49" x14ac:dyDescent="0.25">
      <c r="B5" s="124" t="s">
        <v>451</v>
      </c>
      <c r="C5" s="129" t="s">
        <v>63</v>
      </c>
      <c r="D5" s="131" t="s">
        <v>575</v>
      </c>
      <c r="E5" s="133" t="s">
        <v>576</v>
      </c>
      <c r="F5" s="120" t="s">
        <v>577</v>
      </c>
      <c r="G5" s="146" t="s">
        <v>578</v>
      </c>
      <c r="H5" s="159" t="s">
        <v>361</v>
      </c>
      <c r="I5" s="160" t="s">
        <v>660</v>
      </c>
      <c r="J5" s="152" t="s">
        <v>705</v>
      </c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</row>
    <row r="6" spans="2:49" x14ac:dyDescent="0.25">
      <c r="B6" s="124" t="s">
        <v>452</v>
      </c>
      <c r="C6" s="129" t="s">
        <v>520</v>
      </c>
      <c r="D6" s="131" t="s">
        <v>579</v>
      </c>
      <c r="E6" s="133" t="s">
        <v>580</v>
      </c>
      <c r="F6" s="120" t="s">
        <v>581</v>
      </c>
      <c r="G6" s="146" t="s">
        <v>582</v>
      </c>
      <c r="H6" s="159" t="s">
        <v>661</v>
      </c>
      <c r="I6" s="160" t="s">
        <v>662</v>
      </c>
      <c r="J6" s="152" t="s">
        <v>706</v>
      </c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</row>
    <row r="7" spans="2:49" x14ac:dyDescent="0.25">
      <c r="B7" s="124" t="s">
        <v>454</v>
      </c>
      <c r="C7" s="129" t="s">
        <v>537</v>
      </c>
      <c r="D7" s="131" t="s">
        <v>583</v>
      </c>
      <c r="E7" s="133" t="s">
        <v>584</v>
      </c>
      <c r="F7" s="120" t="s">
        <v>585</v>
      </c>
      <c r="G7" s="146" t="s">
        <v>586</v>
      </c>
      <c r="H7" s="159" t="s">
        <v>663</v>
      </c>
      <c r="I7" s="160" t="s">
        <v>697</v>
      </c>
      <c r="J7" s="152" t="s">
        <v>706</v>
      </c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99"/>
      <c r="AQ7" s="99"/>
      <c r="AR7" s="99"/>
      <c r="AS7" s="99"/>
      <c r="AT7" s="99"/>
      <c r="AU7" s="99"/>
      <c r="AV7" s="99"/>
      <c r="AW7" s="99"/>
    </row>
    <row r="8" spans="2:49" x14ac:dyDescent="0.25">
      <c r="B8" s="124" t="s">
        <v>455</v>
      </c>
      <c r="C8" s="129" t="s">
        <v>60</v>
      </c>
      <c r="D8" s="131" t="s">
        <v>587</v>
      </c>
      <c r="E8" s="133" t="s">
        <v>588</v>
      </c>
      <c r="F8" s="120" t="s">
        <v>589</v>
      </c>
      <c r="G8" s="146" t="s">
        <v>588</v>
      </c>
      <c r="H8" s="159" t="s">
        <v>588</v>
      </c>
      <c r="I8" s="160" t="s">
        <v>664</v>
      </c>
      <c r="J8" s="152" t="s">
        <v>719</v>
      </c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100"/>
      <c r="AP8" s="99"/>
      <c r="AQ8" s="99"/>
      <c r="AR8" s="99"/>
      <c r="AS8" s="99"/>
      <c r="AT8" s="99"/>
      <c r="AU8" s="99"/>
      <c r="AV8" s="99"/>
      <c r="AW8" s="99"/>
    </row>
    <row r="9" spans="2:49" x14ac:dyDescent="0.25">
      <c r="B9" s="124" t="s">
        <v>456</v>
      </c>
      <c r="C9" s="129" t="s">
        <v>63</v>
      </c>
      <c r="D9" s="131" t="s">
        <v>590</v>
      </c>
      <c r="E9" s="133" t="s">
        <v>588</v>
      </c>
      <c r="F9" s="120" t="s">
        <v>577</v>
      </c>
      <c r="G9" s="146" t="s">
        <v>588</v>
      </c>
      <c r="H9" s="159" t="s">
        <v>323</v>
      </c>
      <c r="I9" s="160" t="s">
        <v>615</v>
      </c>
      <c r="J9" s="152" t="s">
        <v>719</v>
      </c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</row>
    <row r="10" spans="2:49" x14ac:dyDescent="0.25">
      <c r="B10" s="124" t="s">
        <v>521</v>
      </c>
      <c r="C10" s="129" t="s">
        <v>591</v>
      </c>
      <c r="D10" s="131" t="s">
        <v>592</v>
      </c>
      <c r="E10" s="133">
        <v>6</v>
      </c>
      <c r="F10" s="120" t="s">
        <v>593</v>
      </c>
      <c r="G10" s="146">
        <v>6</v>
      </c>
      <c r="H10" s="159" t="s">
        <v>665</v>
      </c>
      <c r="I10" s="151" t="s">
        <v>666</v>
      </c>
      <c r="J10" s="153" t="s">
        <v>720</v>
      </c>
    </row>
    <row r="11" spans="2:49" x14ac:dyDescent="0.25">
      <c r="B11" s="124" t="s">
        <v>509</v>
      </c>
      <c r="C11" s="129" t="s">
        <v>523</v>
      </c>
      <c r="D11" s="131" t="s">
        <v>594</v>
      </c>
      <c r="E11" s="133" t="s">
        <v>595</v>
      </c>
      <c r="F11" s="120" t="s">
        <v>596</v>
      </c>
      <c r="G11" s="146" t="s">
        <v>597</v>
      </c>
      <c r="H11" s="159" t="s">
        <v>667</v>
      </c>
      <c r="I11" s="151" t="s">
        <v>668</v>
      </c>
      <c r="J11" s="153" t="s">
        <v>707</v>
      </c>
    </row>
    <row r="12" spans="2:49" x14ac:dyDescent="0.25">
      <c r="B12" s="124" t="s">
        <v>458</v>
      </c>
      <c r="C12" s="129" t="s">
        <v>519</v>
      </c>
      <c r="D12" s="131" t="s">
        <v>571</v>
      </c>
      <c r="E12" s="133" t="s">
        <v>572</v>
      </c>
      <c r="F12" s="120" t="s">
        <v>573</v>
      </c>
      <c r="G12" s="146" t="s">
        <v>574</v>
      </c>
      <c r="H12" s="159" t="s">
        <v>631</v>
      </c>
      <c r="I12" s="151" t="s">
        <v>659</v>
      </c>
      <c r="J12" s="153" t="s">
        <v>708</v>
      </c>
    </row>
    <row r="13" spans="2:49" x14ac:dyDescent="0.25">
      <c r="B13" s="124" t="s">
        <v>459</v>
      </c>
      <c r="C13" s="129" t="s">
        <v>524</v>
      </c>
      <c r="D13" s="131" t="s">
        <v>598</v>
      </c>
      <c r="E13" s="133" t="s">
        <v>584</v>
      </c>
      <c r="F13" s="120" t="s">
        <v>599</v>
      </c>
      <c r="G13" s="146" t="s">
        <v>586</v>
      </c>
      <c r="H13" s="159" t="s">
        <v>663</v>
      </c>
      <c r="I13" s="151" t="s">
        <v>697</v>
      </c>
      <c r="J13" s="153" t="s">
        <v>706</v>
      </c>
    </row>
    <row r="14" spans="2:49" x14ac:dyDescent="0.25">
      <c r="B14" s="124" t="s">
        <v>461</v>
      </c>
      <c r="C14" s="129" t="s">
        <v>525</v>
      </c>
      <c r="D14" s="131" t="s">
        <v>600</v>
      </c>
      <c r="E14" s="133" t="s">
        <v>601</v>
      </c>
      <c r="F14" s="120" t="s">
        <v>602</v>
      </c>
      <c r="G14" s="146" t="s">
        <v>603</v>
      </c>
      <c r="H14" s="159" t="s">
        <v>601</v>
      </c>
      <c r="I14" s="151" t="s">
        <v>701</v>
      </c>
      <c r="J14" s="153" t="s">
        <v>709</v>
      </c>
    </row>
    <row r="15" spans="2:49" ht="15" customHeight="1" x14ac:dyDescent="0.25">
      <c r="B15" s="124" t="s">
        <v>462</v>
      </c>
      <c r="C15" s="129" t="s">
        <v>526</v>
      </c>
      <c r="D15" s="131" t="s">
        <v>604</v>
      </c>
      <c r="E15" s="133" t="s">
        <v>605</v>
      </c>
      <c r="F15" s="120" t="s">
        <v>606</v>
      </c>
      <c r="G15" s="146" t="s">
        <v>574</v>
      </c>
      <c r="H15" s="159" t="s">
        <v>379</v>
      </c>
      <c r="I15" s="151" t="s">
        <v>669</v>
      </c>
      <c r="J15" s="153" t="s">
        <v>710</v>
      </c>
    </row>
    <row r="16" spans="2:49" x14ac:dyDescent="0.25">
      <c r="B16" s="124" t="s">
        <v>464</v>
      </c>
      <c r="C16" s="129" t="s">
        <v>63</v>
      </c>
      <c r="D16" s="131" t="s">
        <v>604</v>
      </c>
      <c r="E16" s="133" t="s">
        <v>606</v>
      </c>
      <c r="F16" s="120" t="s">
        <v>607</v>
      </c>
      <c r="G16" s="146" t="s">
        <v>605</v>
      </c>
      <c r="H16" s="159" t="s">
        <v>312</v>
      </c>
      <c r="I16" s="151" t="s">
        <v>670</v>
      </c>
      <c r="J16" s="153" t="s">
        <v>721</v>
      </c>
    </row>
    <row r="17" spans="2:10" x14ac:dyDescent="0.25">
      <c r="B17" s="124" t="s">
        <v>465</v>
      </c>
      <c r="C17" s="129" t="s">
        <v>532</v>
      </c>
      <c r="D17" s="131" t="s">
        <v>654</v>
      </c>
      <c r="E17" s="133" t="s">
        <v>608</v>
      </c>
      <c r="F17" s="120" t="s">
        <v>609</v>
      </c>
      <c r="G17" s="146" t="s">
        <v>610</v>
      </c>
      <c r="H17" s="159" t="s">
        <v>671</v>
      </c>
      <c r="I17" s="151" t="s">
        <v>672</v>
      </c>
      <c r="J17" s="153" t="s">
        <v>722</v>
      </c>
    </row>
    <row r="18" spans="2:10" x14ac:dyDescent="0.25">
      <c r="B18" s="124" t="s">
        <v>466</v>
      </c>
      <c r="C18" s="129" t="s">
        <v>60</v>
      </c>
      <c r="D18" s="131" t="s">
        <v>611</v>
      </c>
      <c r="E18" s="133" t="s">
        <v>588</v>
      </c>
      <c r="F18" s="120">
        <v>1</v>
      </c>
      <c r="G18" s="146" t="s">
        <v>611</v>
      </c>
      <c r="H18" s="159" t="s">
        <v>588</v>
      </c>
      <c r="I18" s="151" t="s">
        <v>726</v>
      </c>
      <c r="J18" s="153" t="s">
        <v>723</v>
      </c>
    </row>
    <row r="19" spans="2:10" x14ac:dyDescent="0.25">
      <c r="B19" s="124" t="s">
        <v>467</v>
      </c>
      <c r="C19" s="129" t="s">
        <v>468</v>
      </c>
      <c r="D19" s="131" t="s">
        <v>612</v>
      </c>
      <c r="E19" s="133" t="s">
        <v>606</v>
      </c>
      <c r="F19" s="120" t="s">
        <v>613</v>
      </c>
      <c r="G19" s="146" t="s">
        <v>605</v>
      </c>
      <c r="H19" s="159" t="s">
        <v>312</v>
      </c>
      <c r="I19" s="151" t="s">
        <v>670</v>
      </c>
      <c r="J19" s="153" t="s">
        <v>721</v>
      </c>
    </row>
    <row r="20" spans="2:10" x14ac:dyDescent="0.25">
      <c r="B20" s="124" t="s">
        <v>469</v>
      </c>
      <c r="C20" s="129" t="s">
        <v>60</v>
      </c>
      <c r="D20" s="131" t="s">
        <v>614</v>
      </c>
      <c r="E20" s="133" t="s">
        <v>615</v>
      </c>
      <c r="F20" s="120" t="s">
        <v>616</v>
      </c>
      <c r="G20" s="146" t="s">
        <v>617</v>
      </c>
      <c r="H20" s="159" t="s">
        <v>340</v>
      </c>
      <c r="I20" s="151" t="s">
        <v>618</v>
      </c>
      <c r="J20" s="153" t="s">
        <v>723</v>
      </c>
    </row>
    <row r="21" spans="2:10" x14ac:dyDescent="0.25">
      <c r="B21" s="124" t="s">
        <v>470</v>
      </c>
      <c r="C21" s="129" t="s">
        <v>139</v>
      </c>
      <c r="D21" s="131" t="s">
        <v>618</v>
      </c>
      <c r="E21" s="133" t="s">
        <v>618</v>
      </c>
      <c r="F21" s="120" t="s">
        <v>618</v>
      </c>
      <c r="G21" s="146" t="s">
        <v>618</v>
      </c>
      <c r="H21" s="159" t="s">
        <v>727</v>
      </c>
      <c r="I21" s="151" t="s">
        <v>728</v>
      </c>
      <c r="J21" s="153" t="s">
        <v>721</v>
      </c>
    </row>
    <row r="22" spans="2:10" x14ac:dyDescent="0.25">
      <c r="B22" s="124" t="s">
        <v>472</v>
      </c>
      <c r="C22" s="129" t="s">
        <v>473</v>
      </c>
      <c r="D22" s="131" t="s">
        <v>619</v>
      </c>
      <c r="E22" s="133" t="s">
        <v>616</v>
      </c>
      <c r="F22" s="120" t="s">
        <v>588</v>
      </c>
      <c r="G22" s="146" t="s">
        <v>620</v>
      </c>
      <c r="H22" s="159" t="s">
        <v>729</v>
      </c>
      <c r="I22" s="151" t="s">
        <v>730</v>
      </c>
      <c r="J22" s="153" t="s">
        <v>711</v>
      </c>
    </row>
    <row r="23" spans="2:10" x14ac:dyDescent="0.25">
      <c r="B23" s="124" t="s">
        <v>474</v>
      </c>
      <c r="C23" s="129" t="s">
        <v>63</v>
      </c>
      <c r="D23" s="131" t="s">
        <v>621</v>
      </c>
      <c r="E23" s="133" t="s">
        <v>576</v>
      </c>
      <c r="F23" s="120" t="s">
        <v>605</v>
      </c>
      <c r="G23" s="146" t="s">
        <v>622</v>
      </c>
      <c r="H23" s="159" t="s">
        <v>343</v>
      </c>
      <c r="I23" s="151" t="s">
        <v>673</v>
      </c>
      <c r="J23" s="153" t="s">
        <v>711</v>
      </c>
    </row>
    <row r="24" spans="2:10" x14ac:dyDescent="0.25">
      <c r="B24" s="124" t="s">
        <v>475</v>
      </c>
      <c r="C24" s="129" t="s">
        <v>8</v>
      </c>
      <c r="D24" s="131" t="s">
        <v>623</v>
      </c>
      <c r="E24" s="133" t="s">
        <v>615</v>
      </c>
      <c r="F24" s="120" t="s">
        <v>606</v>
      </c>
      <c r="G24" s="146" t="s">
        <v>624</v>
      </c>
      <c r="H24" s="159" t="s">
        <v>606</v>
      </c>
      <c r="I24" s="151" t="s">
        <v>664</v>
      </c>
      <c r="J24" s="153" t="s">
        <v>711</v>
      </c>
    </row>
    <row r="25" spans="2:10" x14ac:dyDescent="0.25">
      <c r="B25" s="124" t="s">
        <v>476</v>
      </c>
      <c r="C25" s="129" t="s">
        <v>8</v>
      </c>
      <c r="D25" s="131" t="s">
        <v>611</v>
      </c>
      <c r="E25" s="133" t="s">
        <v>620</v>
      </c>
      <c r="F25" s="120" t="s">
        <v>588</v>
      </c>
      <c r="G25" s="146" t="s">
        <v>611</v>
      </c>
      <c r="H25" s="159" t="s">
        <v>731</v>
      </c>
      <c r="I25" s="151" t="s">
        <v>732</v>
      </c>
      <c r="J25" s="153" t="s">
        <v>725</v>
      </c>
    </row>
    <row r="26" spans="2:10" x14ac:dyDescent="0.25">
      <c r="B26" s="124" t="s">
        <v>477</v>
      </c>
      <c r="C26" s="129" t="s">
        <v>63</v>
      </c>
      <c r="D26" s="131" t="s">
        <v>625</v>
      </c>
      <c r="E26" s="133" t="s">
        <v>576</v>
      </c>
      <c r="F26" s="120" t="s">
        <v>605</v>
      </c>
      <c r="G26" s="146" t="s">
        <v>578</v>
      </c>
      <c r="H26" s="159" t="s">
        <v>318</v>
      </c>
      <c r="I26" s="151" t="s">
        <v>674</v>
      </c>
      <c r="J26" s="153" t="s">
        <v>722</v>
      </c>
    </row>
    <row r="27" spans="2:10" x14ac:dyDescent="0.25">
      <c r="B27" s="124" t="s">
        <v>478</v>
      </c>
      <c r="C27" s="129" t="s">
        <v>107</v>
      </c>
      <c r="D27" s="131" t="s">
        <v>107</v>
      </c>
      <c r="E27" s="133" t="s">
        <v>345</v>
      </c>
      <c r="F27" s="120" t="s">
        <v>626</v>
      </c>
      <c r="G27" s="146" t="s">
        <v>345</v>
      </c>
      <c r="H27" s="159" t="s">
        <v>345</v>
      </c>
      <c r="I27" s="151" t="s">
        <v>626</v>
      </c>
      <c r="J27" s="153" t="s">
        <v>722</v>
      </c>
    </row>
    <row r="28" spans="2:10" x14ac:dyDescent="0.25">
      <c r="B28" s="124" t="s">
        <v>512</v>
      </c>
      <c r="C28" s="129" t="s">
        <v>520</v>
      </c>
      <c r="D28" s="131" t="s">
        <v>627</v>
      </c>
      <c r="E28" s="133" t="s">
        <v>627</v>
      </c>
      <c r="F28" s="120" t="s">
        <v>627</v>
      </c>
      <c r="G28" s="146" t="s">
        <v>627</v>
      </c>
      <c r="H28" s="159" t="s">
        <v>675</v>
      </c>
      <c r="I28" s="151" t="s">
        <v>676</v>
      </c>
      <c r="J28" s="153" t="s">
        <v>712</v>
      </c>
    </row>
    <row r="29" spans="2:10" x14ac:dyDescent="0.25">
      <c r="B29" s="124" t="s">
        <v>479</v>
      </c>
      <c r="C29" s="129" t="s">
        <v>533</v>
      </c>
      <c r="D29" s="131" t="s">
        <v>628</v>
      </c>
      <c r="E29" s="133" t="s">
        <v>628</v>
      </c>
      <c r="F29" s="120" t="s">
        <v>628</v>
      </c>
      <c r="G29" s="146" t="s">
        <v>628</v>
      </c>
      <c r="H29" s="159" t="s">
        <v>677</v>
      </c>
      <c r="I29" s="151" t="s">
        <v>678</v>
      </c>
      <c r="J29" s="153" t="s">
        <v>713</v>
      </c>
    </row>
    <row r="30" spans="2:10" x14ac:dyDescent="0.25">
      <c r="B30" s="124" t="s">
        <v>481</v>
      </c>
      <c r="C30" s="129" t="s">
        <v>520</v>
      </c>
      <c r="D30" s="131" t="s">
        <v>629</v>
      </c>
      <c r="E30" s="133" t="s">
        <v>629</v>
      </c>
      <c r="F30" s="120" t="s">
        <v>629</v>
      </c>
      <c r="G30" s="146" t="s">
        <v>629</v>
      </c>
      <c r="H30" s="159" t="s">
        <v>679</v>
      </c>
      <c r="I30" s="151" t="s">
        <v>680</v>
      </c>
      <c r="J30" s="153" t="s">
        <v>710</v>
      </c>
    </row>
    <row r="31" spans="2:10" x14ac:dyDescent="0.25">
      <c r="B31" s="124" t="s">
        <v>482</v>
      </c>
      <c r="C31" s="129" t="s">
        <v>107</v>
      </c>
      <c r="D31" s="131" t="s">
        <v>345</v>
      </c>
      <c r="E31" s="133" t="s">
        <v>345</v>
      </c>
      <c r="F31" s="120" t="s">
        <v>345</v>
      </c>
      <c r="G31" s="146" t="s">
        <v>345</v>
      </c>
      <c r="H31" s="159" t="s">
        <v>345</v>
      </c>
      <c r="I31" s="151" t="s">
        <v>696</v>
      </c>
      <c r="J31" s="153" t="s">
        <v>724</v>
      </c>
    </row>
    <row r="32" spans="2:10" x14ac:dyDescent="0.25">
      <c r="B32" s="124" t="s">
        <v>483</v>
      </c>
      <c r="C32" s="129" t="s">
        <v>527</v>
      </c>
      <c r="D32" s="131" t="s">
        <v>630</v>
      </c>
      <c r="E32" s="133" t="s">
        <v>631</v>
      </c>
      <c r="F32" s="120" t="s">
        <v>632</v>
      </c>
      <c r="G32" s="146" t="s">
        <v>633</v>
      </c>
      <c r="H32" s="159" t="s">
        <v>373</v>
      </c>
      <c r="I32" s="151" t="s">
        <v>681</v>
      </c>
      <c r="J32" s="153" t="s">
        <v>714</v>
      </c>
    </row>
    <row r="33" spans="2:10" x14ac:dyDescent="0.25">
      <c r="B33" s="124" t="s">
        <v>486</v>
      </c>
      <c r="C33" s="129" t="s">
        <v>528</v>
      </c>
      <c r="D33" s="131" t="s">
        <v>634</v>
      </c>
      <c r="E33" s="133" t="s">
        <v>635</v>
      </c>
      <c r="F33" s="120" t="s">
        <v>636</v>
      </c>
      <c r="G33" s="146" t="s">
        <v>637</v>
      </c>
      <c r="H33" s="159" t="s">
        <v>682</v>
      </c>
      <c r="I33" s="151" t="s">
        <v>683</v>
      </c>
      <c r="J33" s="153" t="s">
        <v>711</v>
      </c>
    </row>
    <row r="34" spans="2:10" x14ac:dyDescent="0.25">
      <c r="B34" s="124" t="s">
        <v>488</v>
      </c>
      <c r="C34" s="129" t="s">
        <v>529</v>
      </c>
      <c r="D34" s="131" t="s">
        <v>638</v>
      </c>
      <c r="E34" s="133" t="s">
        <v>638</v>
      </c>
      <c r="F34" s="120" t="s">
        <v>638</v>
      </c>
      <c r="G34" s="146" t="s">
        <v>638</v>
      </c>
      <c r="H34" s="159" t="s">
        <v>684</v>
      </c>
      <c r="I34" s="151" t="s">
        <v>685</v>
      </c>
      <c r="J34" s="153" t="s">
        <v>711</v>
      </c>
    </row>
    <row r="35" spans="2:10" x14ac:dyDescent="0.25">
      <c r="B35" s="124" t="s">
        <v>490</v>
      </c>
      <c r="C35" s="129" t="s">
        <v>530</v>
      </c>
      <c r="D35" s="131" t="s">
        <v>639</v>
      </c>
      <c r="E35" s="133" t="s">
        <v>640</v>
      </c>
      <c r="F35" s="122">
        <v>0</v>
      </c>
      <c r="G35" s="146" t="s">
        <v>641</v>
      </c>
      <c r="H35" s="159" t="s">
        <v>686</v>
      </c>
      <c r="I35" s="151" t="s">
        <v>687</v>
      </c>
      <c r="J35" s="153" t="s">
        <v>715</v>
      </c>
    </row>
    <row r="36" spans="2:10" x14ac:dyDescent="0.25">
      <c r="B36" s="124" t="s">
        <v>492</v>
      </c>
      <c r="C36" s="129" t="s">
        <v>528</v>
      </c>
      <c r="D36" s="131" t="s">
        <v>642</v>
      </c>
      <c r="E36" s="133" t="s">
        <v>643</v>
      </c>
      <c r="F36" s="120" t="s">
        <v>636</v>
      </c>
      <c r="G36" s="146" t="s">
        <v>644</v>
      </c>
      <c r="H36" s="159" t="s">
        <v>688</v>
      </c>
      <c r="I36" s="151" t="s">
        <v>689</v>
      </c>
      <c r="J36" s="153" t="s">
        <v>711</v>
      </c>
    </row>
    <row r="37" spans="2:10" x14ac:dyDescent="0.25">
      <c r="B37" s="124" t="s">
        <v>493</v>
      </c>
      <c r="C37" s="129" t="s">
        <v>530</v>
      </c>
      <c r="D37" s="131" t="s">
        <v>645</v>
      </c>
      <c r="E37" s="133" t="s">
        <v>646</v>
      </c>
      <c r="F37" s="120" t="s">
        <v>647</v>
      </c>
      <c r="G37" s="146" t="s">
        <v>648</v>
      </c>
      <c r="H37" s="159" t="s">
        <v>690</v>
      </c>
      <c r="I37" s="151" t="s">
        <v>691</v>
      </c>
      <c r="J37" s="153" t="s">
        <v>711</v>
      </c>
    </row>
    <row r="38" spans="2:10" x14ac:dyDescent="0.25">
      <c r="B38" s="124" t="s">
        <v>494</v>
      </c>
      <c r="C38" s="129" t="s">
        <v>520</v>
      </c>
      <c r="D38" s="131" t="s">
        <v>649</v>
      </c>
      <c r="E38" s="133" t="s">
        <v>580</v>
      </c>
      <c r="F38" s="120" t="s">
        <v>650</v>
      </c>
      <c r="G38" s="146" t="s">
        <v>582</v>
      </c>
      <c r="H38" s="159" t="s">
        <v>679</v>
      </c>
      <c r="I38" s="151" t="s">
        <v>680</v>
      </c>
      <c r="J38" s="153" t="s">
        <v>706</v>
      </c>
    </row>
    <row r="39" spans="2:10" x14ac:dyDescent="0.25">
      <c r="B39" s="124" t="s">
        <v>495</v>
      </c>
      <c r="C39" s="129" t="s">
        <v>60</v>
      </c>
      <c r="D39" s="131" t="s">
        <v>611</v>
      </c>
      <c r="E39" s="133" t="s">
        <v>620</v>
      </c>
      <c r="F39" s="120" t="s">
        <v>588</v>
      </c>
      <c r="G39" s="146" t="s">
        <v>620</v>
      </c>
      <c r="H39" s="159" t="s">
        <v>702</v>
      </c>
      <c r="I39" s="151" t="s">
        <v>692</v>
      </c>
      <c r="J39" s="153" t="s">
        <v>716</v>
      </c>
    </row>
    <row r="40" spans="2:10" x14ac:dyDescent="0.25">
      <c r="B40" s="124" t="s">
        <v>496</v>
      </c>
      <c r="C40" s="129" t="s">
        <v>107</v>
      </c>
      <c r="D40" s="131" t="s">
        <v>345</v>
      </c>
      <c r="E40" s="133" t="s">
        <v>345</v>
      </c>
      <c r="F40" s="120" t="s">
        <v>345</v>
      </c>
      <c r="G40" s="146" t="s">
        <v>345</v>
      </c>
      <c r="H40" s="159" t="s">
        <v>345</v>
      </c>
      <c r="I40" s="151" t="s">
        <v>345</v>
      </c>
      <c r="J40" s="153" t="s">
        <v>716</v>
      </c>
    </row>
    <row r="41" spans="2:10" x14ac:dyDescent="0.25">
      <c r="B41" s="124" t="s">
        <v>497</v>
      </c>
      <c r="C41" s="129" t="s">
        <v>60</v>
      </c>
      <c r="D41" s="131" t="s">
        <v>588</v>
      </c>
      <c r="E41" s="133" t="s">
        <v>588</v>
      </c>
      <c r="F41" s="120">
        <v>1</v>
      </c>
      <c r="G41" s="146" t="s">
        <v>588</v>
      </c>
      <c r="H41" s="159" t="s">
        <v>693</v>
      </c>
      <c r="I41" s="151" t="s">
        <v>703</v>
      </c>
      <c r="J41" s="153" t="s">
        <v>711</v>
      </c>
    </row>
    <row r="42" spans="2:10" x14ac:dyDescent="0.25">
      <c r="B42" s="124" t="s">
        <v>498</v>
      </c>
      <c r="C42" s="129" t="s">
        <v>651</v>
      </c>
      <c r="D42" s="131" t="s">
        <v>652</v>
      </c>
      <c r="E42" s="133" t="s">
        <v>652</v>
      </c>
      <c r="F42" s="120" t="s">
        <v>652</v>
      </c>
      <c r="G42" s="146" t="s">
        <v>652</v>
      </c>
      <c r="H42" s="159" t="s">
        <v>652</v>
      </c>
      <c r="I42" s="151" t="s">
        <v>603</v>
      </c>
      <c r="J42" s="153" t="s">
        <v>711</v>
      </c>
    </row>
    <row r="43" spans="2:10" ht="15.75" thickBot="1" x14ac:dyDescent="0.3">
      <c r="B43" s="125" t="s">
        <v>500</v>
      </c>
      <c r="C43" s="130" t="s">
        <v>531</v>
      </c>
      <c r="D43" s="132" t="s">
        <v>653</v>
      </c>
      <c r="E43" s="134" t="s">
        <v>653</v>
      </c>
      <c r="F43" s="127" t="s">
        <v>653</v>
      </c>
      <c r="G43" s="147" t="s">
        <v>653</v>
      </c>
      <c r="H43" s="161" t="s">
        <v>694</v>
      </c>
      <c r="I43" s="162" t="s">
        <v>695</v>
      </c>
      <c r="J43" s="154" t="s">
        <v>717</v>
      </c>
    </row>
    <row r="44" spans="2:10" x14ac:dyDescent="0.25">
      <c r="H44" s="149"/>
      <c r="I44" s="149"/>
    </row>
    <row r="50" spans="2:6" x14ac:dyDescent="0.25">
      <c r="B50" s="96"/>
      <c r="C50" s="96"/>
      <c r="D50" s="96"/>
      <c r="E50" s="96"/>
      <c r="F50" s="96"/>
    </row>
    <row r="51" spans="2:6" x14ac:dyDescent="0.25">
      <c r="B51" s="97"/>
      <c r="C51" s="5"/>
      <c r="D51" s="5"/>
      <c r="E51" s="5"/>
      <c r="F51" s="5"/>
    </row>
    <row r="52" spans="2:6" x14ac:dyDescent="0.25">
      <c r="B52" s="97"/>
      <c r="C52" s="5"/>
      <c r="D52" s="5"/>
      <c r="E52" s="5"/>
      <c r="F52" s="5"/>
    </row>
    <row r="53" spans="2:6" x14ac:dyDescent="0.25">
      <c r="B53" s="97"/>
      <c r="C53" s="5"/>
      <c r="D53" s="5"/>
      <c r="E53" s="5"/>
      <c r="F53" s="5"/>
    </row>
    <row r="54" spans="2:6" x14ac:dyDescent="0.25">
      <c r="B54" s="97"/>
      <c r="C54" s="5"/>
      <c r="D54" s="5"/>
      <c r="E54" s="5"/>
      <c r="F54" s="5"/>
    </row>
    <row r="55" spans="2:6" x14ac:dyDescent="0.25">
      <c r="B55" s="97"/>
      <c r="C55" s="5"/>
      <c r="D55" s="5"/>
      <c r="E55" s="5"/>
      <c r="F55" s="5"/>
    </row>
    <row r="56" spans="2:6" x14ac:dyDescent="0.25">
      <c r="B56" s="97"/>
      <c r="C56" s="5"/>
      <c r="D56" s="5"/>
      <c r="E56" s="5"/>
      <c r="F56" s="5"/>
    </row>
    <row r="57" spans="2:6" x14ac:dyDescent="0.25">
      <c r="B57" s="97"/>
      <c r="C57" s="5"/>
      <c r="D57" s="5"/>
      <c r="E57" s="5"/>
      <c r="F57" s="5"/>
    </row>
    <row r="58" spans="2:6" x14ac:dyDescent="0.25">
      <c r="B58" s="97"/>
      <c r="C58" s="5"/>
      <c r="D58" s="5"/>
      <c r="E58" s="5"/>
      <c r="F58" s="5"/>
    </row>
    <row r="59" spans="2:6" x14ac:dyDescent="0.25">
      <c r="B59" s="97"/>
      <c r="C59" s="5"/>
      <c r="D59" s="5"/>
      <c r="E59" s="5"/>
      <c r="F59" s="5"/>
    </row>
    <row r="60" spans="2:6" x14ac:dyDescent="0.25">
      <c r="B60" s="97"/>
      <c r="C60" s="5"/>
      <c r="D60" s="5"/>
      <c r="E60" s="5"/>
      <c r="F60" s="5"/>
    </row>
    <row r="61" spans="2:6" x14ac:dyDescent="0.25">
      <c r="B61" s="97"/>
      <c r="C61" s="5"/>
      <c r="D61" s="5"/>
      <c r="E61" s="5"/>
      <c r="F61" s="5"/>
    </row>
    <row r="62" spans="2:6" x14ac:dyDescent="0.25">
      <c r="B62" s="97"/>
      <c r="C62" s="5"/>
      <c r="D62" s="5"/>
      <c r="E62" s="5"/>
      <c r="F62" s="5"/>
    </row>
    <row r="63" spans="2:6" x14ac:dyDescent="0.25">
      <c r="B63" s="97"/>
      <c r="C63" s="5"/>
      <c r="D63" s="5"/>
      <c r="E63" s="5"/>
      <c r="F63" s="5"/>
    </row>
    <row r="64" spans="2:6" x14ac:dyDescent="0.25">
      <c r="B64" s="97"/>
      <c r="C64" s="5"/>
      <c r="D64" s="5"/>
      <c r="E64" s="5"/>
      <c r="F64" s="5"/>
    </row>
    <row r="65" spans="2:6" x14ac:dyDescent="0.25">
      <c r="B65" s="97"/>
      <c r="C65" s="5"/>
      <c r="D65" s="5"/>
      <c r="E65" s="5"/>
      <c r="F65" s="5"/>
    </row>
    <row r="66" spans="2:6" x14ac:dyDescent="0.25">
      <c r="B66" s="97"/>
      <c r="C66" s="5"/>
      <c r="D66" s="5"/>
      <c r="E66" s="5"/>
      <c r="F66" s="5"/>
    </row>
    <row r="67" spans="2:6" x14ac:dyDescent="0.25">
      <c r="B67" s="97"/>
      <c r="C67" s="5"/>
      <c r="D67" s="5"/>
      <c r="E67" s="5"/>
      <c r="F67" s="5"/>
    </row>
    <row r="68" spans="2:6" x14ac:dyDescent="0.25">
      <c r="B68" s="97"/>
      <c r="C68" s="5"/>
      <c r="D68" s="5"/>
      <c r="E68" s="5"/>
      <c r="F68" s="5"/>
    </row>
    <row r="69" spans="2:6" x14ac:dyDescent="0.25">
      <c r="B69" s="97"/>
      <c r="C69" s="5"/>
      <c r="D69" s="5"/>
      <c r="E69" s="5"/>
      <c r="F69" s="5"/>
    </row>
    <row r="70" spans="2:6" x14ac:dyDescent="0.25">
      <c r="B70" s="97"/>
      <c r="C70" s="5"/>
      <c r="D70" s="5"/>
      <c r="E70" s="5"/>
      <c r="F70" s="5"/>
    </row>
    <row r="71" spans="2:6" x14ac:dyDescent="0.25">
      <c r="B71" s="97"/>
      <c r="C71" s="5"/>
      <c r="D71" s="5"/>
      <c r="E71" s="5"/>
      <c r="F71" s="5"/>
    </row>
    <row r="72" spans="2:6" x14ac:dyDescent="0.25">
      <c r="B72" s="97"/>
      <c r="C72" s="5"/>
      <c r="D72" s="5"/>
      <c r="E72" s="5"/>
      <c r="F72" s="5"/>
    </row>
    <row r="73" spans="2:6" x14ac:dyDescent="0.25">
      <c r="B73" s="97"/>
      <c r="C73" s="5"/>
      <c r="D73" s="5"/>
      <c r="E73" s="5"/>
      <c r="F73" s="5"/>
    </row>
    <row r="74" spans="2:6" x14ac:dyDescent="0.25">
      <c r="B74" s="97"/>
      <c r="C74" s="5"/>
      <c r="D74" s="5"/>
      <c r="E74" s="5"/>
      <c r="F74" s="5"/>
    </row>
    <row r="75" spans="2:6" x14ac:dyDescent="0.25">
      <c r="B75" s="97"/>
      <c r="C75" s="5"/>
      <c r="D75" s="5"/>
      <c r="E75" s="5"/>
      <c r="F75" s="5"/>
    </row>
    <row r="76" spans="2:6" x14ac:dyDescent="0.25">
      <c r="B76" s="97"/>
      <c r="C76" s="5"/>
      <c r="D76" s="5"/>
      <c r="E76" s="5"/>
      <c r="F76" s="5"/>
    </row>
    <row r="77" spans="2:6" x14ac:dyDescent="0.25">
      <c r="B77" s="97"/>
      <c r="C77" s="5"/>
      <c r="D77" s="5"/>
      <c r="E77" s="5"/>
      <c r="F77" s="5"/>
    </row>
    <row r="78" spans="2:6" x14ac:dyDescent="0.25">
      <c r="B78" s="97"/>
      <c r="C78" s="5"/>
      <c r="D78" s="5"/>
      <c r="E78" s="5"/>
      <c r="F78" s="5"/>
    </row>
    <row r="79" spans="2:6" x14ac:dyDescent="0.25">
      <c r="B79" s="97"/>
      <c r="C79" s="5"/>
      <c r="D79" s="5"/>
      <c r="E79" s="5"/>
      <c r="F79" s="5"/>
    </row>
    <row r="80" spans="2:6" x14ac:dyDescent="0.25">
      <c r="B80" s="97"/>
      <c r="C80" s="5"/>
      <c r="D80" s="5"/>
      <c r="E80" s="5"/>
      <c r="F80" s="5"/>
    </row>
    <row r="81" spans="2:6" x14ac:dyDescent="0.25">
      <c r="B81" s="97"/>
      <c r="C81" s="5"/>
      <c r="D81" s="5"/>
      <c r="E81" s="5"/>
      <c r="F81" s="5"/>
    </row>
    <row r="82" spans="2:6" x14ac:dyDescent="0.25">
      <c r="B82" s="97"/>
      <c r="C82" s="5"/>
      <c r="D82" s="5"/>
      <c r="E82" s="5"/>
      <c r="F82" s="5"/>
    </row>
    <row r="83" spans="2:6" x14ac:dyDescent="0.25">
      <c r="B83" s="97"/>
      <c r="C83" s="5"/>
      <c r="D83" s="5"/>
      <c r="E83" s="5"/>
      <c r="F83" s="5"/>
    </row>
    <row r="84" spans="2:6" x14ac:dyDescent="0.25">
      <c r="B84" s="97"/>
      <c r="C84" s="5"/>
      <c r="D84" s="5"/>
      <c r="E84" s="5"/>
      <c r="F84" s="5"/>
    </row>
    <row r="85" spans="2:6" x14ac:dyDescent="0.25">
      <c r="B85" s="97"/>
      <c r="C85" s="5"/>
      <c r="D85" s="5"/>
      <c r="E85" s="5"/>
      <c r="F85" s="5"/>
    </row>
    <row r="86" spans="2:6" x14ac:dyDescent="0.25">
      <c r="B86" s="97"/>
      <c r="C86" s="5"/>
      <c r="D86" s="5"/>
      <c r="E86" s="5"/>
      <c r="F86" s="5"/>
    </row>
    <row r="87" spans="2:6" x14ac:dyDescent="0.25">
      <c r="B87" s="97"/>
      <c r="C87" s="5"/>
      <c r="D87" s="5"/>
      <c r="E87" s="5"/>
      <c r="F87" s="5"/>
    </row>
    <row r="88" spans="2:6" x14ac:dyDescent="0.25">
      <c r="B88" s="97"/>
      <c r="C88" s="5"/>
      <c r="D88" s="5"/>
      <c r="E88" s="5"/>
      <c r="F88" s="5"/>
    </row>
    <row r="89" spans="2:6" x14ac:dyDescent="0.25">
      <c r="B89" s="97"/>
      <c r="C89" s="5"/>
      <c r="D89" s="5"/>
      <c r="E89" s="5"/>
      <c r="F89" s="5"/>
    </row>
    <row r="90" spans="2:6" x14ac:dyDescent="0.25">
      <c r="B90" s="97"/>
      <c r="C90" s="5"/>
      <c r="D90" s="5"/>
      <c r="E90" s="5"/>
      <c r="F90" s="5"/>
    </row>
    <row r="91" spans="2:6" x14ac:dyDescent="0.25">
      <c r="B91" s="97"/>
      <c r="C91" s="5"/>
      <c r="D91" s="5"/>
      <c r="E91" s="5"/>
      <c r="F91" s="5"/>
    </row>
    <row r="92" spans="2:6" x14ac:dyDescent="0.25">
      <c r="B92" s="97"/>
      <c r="C92" s="5"/>
      <c r="D92" s="5"/>
      <c r="E92" s="5"/>
      <c r="F92" s="5"/>
    </row>
    <row r="93" spans="2:6" x14ac:dyDescent="0.25">
      <c r="B93" s="97"/>
      <c r="C93" s="5"/>
      <c r="D93" s="5"/>
      <c r="E93" s="5"/>
      <c r="F93" s="5"/>
    </row>
    <row r="94" spans="2:6" x14ac:dyDescent="0.25">
      <c r="B94" s="97"/>
      <c r="C94" s="5"/>
      <c r="D94" s="5"/>
      <c r="E94" s="5"/>
      <c r="F94" s="5"/>
    </row>
    <row r="95" spans="2:6" x14ac:dyDescent="0.25">
      <c r="B95" s="97"/>
      <c r="C95" s="5"/>
      <c r="D95" s="5"/>
      <c r="E95" s="5"/>
      <c r="F95" s="5"/>
    </row>
    <row r="96" spans="2:6" x14ac:dyDescent="0.25">
      <c r="B96" s="97"/>
      <c r="C96" s="5"/>
      <c r="D96" s="5"/>
      <c r="E96" s="5"/>
      <c r="F96" s="5"/>
    </row>
    <row r="97" spans="2:6" x14ac:dyDescent="0.25">
      <c r="B97" s="97"/>
      <c r="C97" s="5"/>
      <c r="D97" s="5"/>
      <c r="E97" s="5"/>
      <c r="F97" s="5"/>
    </row>
    <row r="98" spans="2:6" x14ac:dyDescent="0.25">
      <c r="B98" s="97"/>
      <c r="C98" s="5"/>
      <c r="D98" s="5"/>
      <c r="E98" s="5"/>
      <c r="F98" s="5"/>
    </row>
    <row r="99" spans="2:6" x14ac:dyDescent="0.25">
      <c r="B99" s="97"/>
      <c r="C99" s="5"/>
      <c r="D99" s="5"/>
      <c r="E99" s="5"/>
      <c r="F99" s="5"/>
    </row>
    <row r="100" spans="2:6" x14ac:dyDescent="0.25">
      <c r="B100" s="97"/>
      <c r="C100" s="5"/>
      <c r="D100" s="5"/>
      <c r="E100" s="5"/>
      <c r="F100" s="5"/>
    </row>
    <row r="101" spans="2:6" x14ac:dyDescent="0.25">
      <c r="B101" s="97"/>
      <c r="C101" s="5"/>
      <c r="D101" s="5"/>
      <c r="E101" s="5"/>
      <c r="F101" s="5"/>
    </row>
    <row r="102" spans="2:6" x14ac:dyDescent="0.25">
      <c r="B102" s="97"/>
      <c r="C102" s="5"/>
      <c r="D102" s="5"/>
      <c r="E102" s="5"/>
      <c r="F102" s="5"/>
    </row>
    <row r="103" spans="2:6" x14ac:dyDescent="0.25">
      <c r="B103" s="97"/>
      <c r="C103" s="5"/>
      <c r="D103" s="5"/>
      <c r="E103" s="5"/>
      <c r="F103" s="5"/>
    </row>
    <row r="104" spans="2:6" x14ac:dyDescent="0.25">
      <c r="B104" s="97"/>
      <c r="C104" s="5"/>
      <c r="D104" s="5"/>
      <c r="E104" s="5"/>
      <c r="F104" s="5"/>
    </row>
    <row r="105" spans="2:6" x14ac:dyDescent="0.25">
      <c r="B105" s="97"/>
      <c r="C105" s="5"/>
      <c r="D105" s="5"/>
      <c r="E105" s="5"/>
      <c r="F105" s="5"/>
    </row>
    <row r="106" spans="2:6" x14ac:dyDescent="0.25">
      <c r="B106" s="97"/>
      <c r="C106" s="5"/>
      <c r="D106" s="5"/>
      <c r="E106" s="5"/>
      <c r="F106" s="5"/>
    </row>
    <row r="107" spans="2:6" x14ac:dyDescent="0.25">
      <c r="B107" s="97"/>
      <c r="C107" s="5"/>
      <c r="D107" s="5"/>
      <c r="E107" s="5"/>
      <c r="F107" s="5"/>
    </row>
    <row r="108" spans="2:6" x14ac:dyDescent="0.25">
      <c r="B108" s="97"/>
      <c r="C108" s="5"/>
      <c r="D108" s="5"/>
      <c r="E108" s="5"/>
      <c r="F108" s="5"/>
    </row>
    <row r="109" spans="2:6" x14ac:dyDescent="0.25">
      <c r="B109" s="97"/>
      <c r="C109" s="5"/>
      <c r="D109" s="5"/>
      <c r="E109" s="5"/>
      <c r="F109" s="5"/>
    </row>
    <row r="110" spans="2:6" x14ac:dyDescent="0.25">
      <c r="B110" s="97"/>
      <c r="C110" s="5"/>
      <c r="D110" s="5"/>
      <c r="E110" s="5"/>
      <c r="F110" s="5"/>
    </row>
  </sheetData>
  <mergeCells count="3">
    <mergeCell ref="D2:G2"/>
    <mergeCell ref="H2:I2"/>
    <mergeCell ref="B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F0E39-F6D7-D045-A2C1-83A2E50CFF0D}">
  <dimension ref="A1:C41"/>
  <sheetViews>
    <sheetView workbookViewId="0">
      <selection activeCell="C41" sqref="B2:C41"/>
    </sheetView>
  </sheetViews>
  <sheetFormatPr defaultColWidth="11.42578125" defaultRowHeight="15" x14ac:dyDescent="0.25"/>
  <cols>
    <col min="1" max="1" width="4.7109375" bestFit="1" customWidth="1"/>
    <col min="2" max="2" width="32.5703125" bestFit="1" customWidth="1"/>
    <col min="3" max="3" width="26" bestFit="1" customWidth="1"/>
  </cols>
  <sheetData>
    <row r="1" spans="1:3" x14ac:dyDescent="0.25">
      <c r="A1" t="s">
        <v>513</v>
      </c>
      <c r="B1" t="s">
        <v>517</v>
      </c>
      <c r="C1" t="s">
        <v>518</v>
      </c>
    </row>
    <row r="2" spans="1:3" x14ac:dyDescent="0.25">
      <c r="A2">
        <v>1</v>
      </c>
      <c r="B2" s="64" t="s">
        <v>449</v>
      </c>
      <c r="C2" t="s">
        <v>519</v>
      </c>
    </row>
    <row r="3" spans="1:3" x14ac:dyDescent="0.25">
      <c r="A3">
        <v>2</v>
      </c>
      <c r="B3" s="64" t="s">
        <v>451</v>
      </c>
      <c r="C3" t="s">
        <v>63</v>
      </c>
    </row>
    <row r="4" spans="1:3" x14ac:dyDescent="0.25">
      <c r="A4">
        <v>3</v>
      </c>
      <c r="B4" s="64" t="s">
        <v>452</v>
      </c>
      <c r="C4" t="s">
        <v>520</v>
      </c>
    </row>
    <row r="5" spans="1:3" x14ac:dyDescent="0.25">
      <c r="A5">
        <v>4</v>
      </c>
      <c r="B5" s="64" t="s">
        <v>454</v>
      </c>
      <c r="C5" t="s">
        <v>534</v>
      </c>
    </row>
    <row r="6" spans="1:3" x14ac:dyDescent="0.25">
      <c r="A6">
        <v>5</v>
      </c>
      <c r="B6" s="64" t="s">
        <v>455</v>
      </c>
      <c r="C6" t="s">
        <v>60</v>
      </c>
    </row>
    <row r="7" spans="1:3" x14ac:dyDescent="0.25">
      <c r="A7">
        <v>6</v>
      </c>
      <c r="B7" s="64" t="s">
        <v>456</v>
      </c>
      <c r="C7" t="s">
        <v>63</v>
      </c>
    </row>
    <row r="8" spans="1:3" x14ac:dyDescent="0.25">
      <c r="A8">
        <v>7</v>
      </c>
      <c r="B8" s="64" t="s">
        <v>521</v>
      </c>
      <c r="C8" t="s">
        <v>522</v>
      </c>
    </row>
    <row r="9" spans="1:3" x14ac:dyDescent="0.25">
      <c r="A9">
        <v>8</v>
      </c>
      <c r="B9" s="64" t="s">
        <v>509</v>
      </c>
      <c r="C9" t="s">
        <v>523</v>
      </c>
    </row>
    <row r="10" spans="1:3" x14ac:dyDescent="0.25">
      <c r="A10">
        <v>9</v>
      </c>
      <c r="B10" s="64" t="s">
        <v>458</v>
      </c>
      <c r="C10" t="s">
        <v>519</v>
      </c>
    </row>
    <row r="11" spans="1:3" x14ac:dyDescent="0.25">
      <c r="A11">
        <v>10</v>
      </c>
      <c r="B11" s="64" t="s">
        <v>459</v>
      </c>
      <c r="C11" t="s">
        <v>524</v>
      </c>
    </row>
    <row r="12" spans="1:3" x14ac:dyDescent="0.25">
      <c r="A12">
        <v>11</v>
      </c>
      <c r="B12" s="64" t="s">
        <v>461</v>
      </c>
      <c r="C12" t="s">
        <v>525</v>
      </c>
    </row>
    <row r="13" spans="1:3" x14ac:dyDescent="0.25">
      <c r="A13">
        <v>12</v>
      </c>
      <c r="B13" s="64" t="s">
        <v>462</v>
      </c>
      <c r="C13" t="s">
        <v>526</v>
      </c>
    </row>
    <row r="14" spans="1:3" x14ac:dyDescent="0.25">
      <c r="A14">
        <v>13</v>
      </c>
      <c r="B14" s="64" t="s">
        <v>464</v>
      </c>
      <c r="C14" t="s">
        <v>63</v>
      </c>
    </row>
    <row r="15" spans="1:3" x14ac:dyDescent="0.25">
      <c r="A15">
        <v>14</v>
      </c>
      <c r="B15" s="64" t="s">
        <v>465</v>
      </c>
      <c r="C15" t="s">
        <v>532</v>
      </c>
    </row>
    <row r="16" spans="1:3" x14ac:dyDescent="0.25">
      <c r="A16">
        <v>15</v>
      </c>
      <c r="B16" s="64" t="s">
        <v>466</v>
      </c>
      <c r="C16" t="s">
        <v>60</v>
      </c>
    </row>
    <row r="17" spans="1:3" x14ac:dyDescent="0.25">
      <c r="A17">
        <v>16</v>
      </c>
      <c r="B17" s="64" t="s">
        <v>467</v>
      </c>
      <c r="C17" t="s">
        <v>468</v>
      </c>
    </row>
    <row r="18" spans="1:3" x14ac:dyDescent="0.25">
      <c r="A18">
        <v>17</v>
      </c>
      <c r="B18" s="64" t="s">
        <v>469</v>
      </c>
      <c r="C18" t="s">
        <v>60</v>
      </c>
    </row>
    <row r="19" spans="1:3" x14ac:dyDescent="0.25">
      <c r="A19">
        <v>18</v>
      </c>
      <c r="B19" s="64" t="s">
        <v>470</v>
      </c>
      <c r="C19" t="s">
        <v>139</v>
      </c>
    </row>
    <row r="20" spans="1:3" x14ac:dyDescent="0.25">
      <c r="A20">
        <v>19</v>
      </c>
      <c r="B20" s="64" t="s">
        <v>472</v>
      </c>
      <c r="C20" t="s">
        <v>473</v>
      </c>
    </row>
    <row r="21" spans="1:3" x14ac:dyDescent="0.25">
      <c r="A21">
        <v>20</v>
      </c>
      <c r="B21" s="64" t="s">
        <v>474</v>
      </c>
      <c r="C21" t="s">
        <v>63</v>
      </c>
    </row>
    <row r="22" spans="1:3" x14ac:dyDescent="0.25">
      <c r="A22">
        <v>21</v>
      </c>
      <c r="B22" s="64" t="s">
        <v>475</v>
      </c>
      <c r="C22" t="s">
        <v>8</v>
      </c>
    </row>
    <row r="23" spans="1:3" x14ac:dyDescent="0.25">
      <c r="A23">
        <v>22</v>
      </c>
      <c r="B23" s="64" t="s">
        <v>476</v>
      </c>
      <c r="C23" t="s">
        <v>8</v>
      </c>
    </row>
    <row r="24" spans="1:3" x14ac:dyDescent="0.25">
      <c r="A24">
        <v>23</v>
      </c>
      <c r="B24" s="64" t="s">
        <v>477</v>
      </c>
      <c r="C24" t="s">
        <v>63</v>
      </c>
    </row>
    <row r="25" spans="1:3" x14ac:dyDescent="0.25">
      <c r="A25">
        <v>24</v>
      </c>
      <c r="B25" s="64" t="s">
        <v>478</v>
      </c>
      <c r="C25" t="s">
        <v>107</v>
      </c>
    </row>
    <row r="26" spans="1:3" x14ac:dyDescent="0.25">
      <c r="A26">
        <v>25</v>
      </c>
      <c r="B26" s="64" t="s">
        <v>512</v>
      </c>
      <c r="C26" t="s">
        <v>520</v>
      </c>
    </row>
    <row r="27" spans="1:3" x14ac:dyDescent="0.25">
      <c r="A27">
        <v>26</v>
      </c>
      <c r="B27" s="64" t="s">
        <v>479</v>
      </c>
      <c r="C27" t="s">
        <v>533</v>
      </c>
    </row>
    <row r="28" spans="1:3" x14ac:dyDescent="0.25">
      <c r="A28">
        <v>27</v>
      </c>
      <c r="B28" s="64" t="s">
        <v>481</v>
      </c>
      <c r="C28" t="s">
        <v>520</v>
      </c>
    </row>
    <row r="29" spans="1:3" x14ac:dyDescent="0.25">
      <c r="A29">
        <v>28</v>
      </c>
      <c r="B29" s="64" t="s">
        <v>482</v>
      </c>
      <c r="C29" t="s">
        <v>107</v>
      </c>
    </row>
    <row r="30" spans="1:3" x14ac:dyDescent="0.25">
      <c r="A30">
        <v>29</v>
      </c>
      <c r="B30" s="64" t="s">
        <v>483</v>
      </c>
      <c r="C30" t="s">
        <v>527</v>
      </c>
    </row>
    <row r="31" spans="1:3" x14ac:dyDescent="0.25">
      <c r="A31">
        <v>30</v>
      </c>
      <c r="B31" s="64" t="s">
        <v>486</v>
      </c>
      <c r="C31" t="s">
        <v>528</v>
      </c>
    </row>
    <row r="32" spans="1:3" x14ac:dyDescent="0.25">
      <c r="A32">
        <v>31</v>
      </c>
      <c r="B32" s="64" t="s">
        <v>488</v>
      </c>
      <c r="C32" t="s">
        <v>529</v>
      </c>
    </row>
    <row r="33" spans="1:3" x14ac:dyDescent="0.25">
      <c r="A33">
        <v>32</v>
      </c>
      <c r="B33" s="64" t="s">
        <v>490</v>
      </c>
      <c r="C33" t="s">
        <v>530</v>
      </c>
    </row>
    <row r="34" spans="1:3" x14ac:dyDescent="0.25">
      <c r="A34">
        <v>33</v>
      </c>
      <c r="B34" s="64" t="s">
        <v>492</v>
      </c>
      <c r="C34" t="s">
        <v>528</v>
      </c>
    </row>
    <row r="35" spans="1:3" x14ac:dyDescent="0.25">
      <c r="A35">
        <v>34</v>
      </c>
      <c r="B35" s="64" t="s">
        <v>493</v>
      </c>
      <c r="C35" t="s">
        <v>530</v>
      </c>
    </row>
    <row r="36" spans="1:3" x14ac:dyDescent="0.25">
      <c r="A36">
        <v>35</v>
      </c>
      <c r="B36" s="64" t="s">
        <v>494</v>
      </c>
      <c r="C36" t="s">
        <v>520</v>
      </c>
    </row>
    <row r="37" spans="1:3" x14ac:dyDescent="0.25">
      <c r="A37">
        <v>36</v>
      </c>
      <c r="B37" s="64" t="s">
        <v>495</v>
      </c>
      <c r="C37" t="s">
        <v>60</v>
      </c>
    </row>
    <row r="38" spans="1:3" x14ac:dyDescent="0.25">
      <c r="A38">
        <v>37</v>
      </c>
      <c r="B38" s="64" t="s">
        <v>496</v>
      </c>
      <c r="C38" t="s">
        <v>107</v>
      </c>
    </row>
    <row r="39" spans="1:3" x14ac:dyDescent="0.25">
      <c r="A39">
        <v>38</v>
      </c>
      <c r="B39" s="64" t="s">
        <v>497</v>
      </c>
      <c r="C39" t="s">
        <v>60</v>
      </c>
    </row>
    <row r="40" spans="1:3" x14ac:dyDescent="0.25">
      <c r="A40">
        <v>39</v>
      </c>
      <c r="B40" s="64" t="s">
        <v>498</v>
      </c>
      <c r="C40" t="s">
        <v>499</v>
      </c>
    </row>
    <row r="41" spans="1:3" x14ac:dyDescent="0.25">
      <c r="A41">
        <v>40</v>
      </c>
      <c r="B41" s="64" t="s">
        <v>500</v>
      </c>
      <c r="C41" t="s">
        <v>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1319C-987C-4B4A-9958-B8952AB453B9}">
  <dimension ref="A1:AO41"/>
  <sheetViews>
    <sheetView zoomScale="40" zoomScaleNormal="40" workbookViewId="0">
      <selection activeCell="AO40" sqref="B1:AO40"/>
    </sheetView>
  </sheetViews>
  <sheetFormatPr defaultColWidth="11.42578125" defaultRowHeight="15" x14ac:dyDescent="0.25"/>
  <cols>
    <col min="1" max="1" width="3.85546875" bestFit="1" customWidth="1"/>
    <col min="2" max="41" width="4" customWidth="1"/>
  </cols>
  <sheetData>
    <row r="1" spans="1:41" ht="21" customHeight="1" x14ac:dyDescent="0.25">
      <c r="A1">
        <v>1</v>
      </c>
      <c r="B1" s="72" t="s">
        <v>296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</row>
    <row r="2" spans="1:41" ht="21" customHeight="1" x14ac:dyDescent="0.25">
      <c r="A2">
        <v>2</v>
      </c>
      <c r="B2" s="72" t="s">
        <v>515</v>
      </c>
      <c r="C2" s="72" t="s">
        <v>296</v>
      </c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</row>
    <row r="3" spans="1:41" ht="21" customHeight="1" x14ac:dyDescent="0.25">
      <c r="A3">
        <v>3</v>
      </c>
      <c r="B3" s="72" t="s">
        <v>289</v>
      </c>
      <c r="C3" s="72" t="s">
        <v>289</v>
      </c>
      <c r="D3" s="72" t="s">
        <v>296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</row>
    <row r="4" spans="1:41" ht="21" customHeight="1" x14ac:dyDescent="0.25">
      <c r="A4">
        <v>4</v>
      </c>
      <c r="B4" s="72" t="s">
        <v>296</v>
      </c>
      <c r="C4" s="72" t="s">
        <v>296</v>
      </c>
      <c r="D4" s="72" t="s">
        <v>515</v>
      </c>
      <c r="E4" s="72" t="s">
        <v>296</v>
      </c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</row>
    <row r="5" spans="1:41" ht="21" customHeight="1" x14ac:dyDescent="0.25">
      <c r="A5">
        <v>5</v>
      </c>
      <c r="B5" s="72" t="s">
        <v>290</v>
      </c>
      <c r="C5" s="72" t="s">
        <v>290</v>
      </c>
      <c r="D5" s="72" t="s">
        <v>296</v>
      </c>
      <c r="E5" s="72" t="s">
        <v>290</v>
      </c>
      <c r="F5" s="72" t="s">
        <v>296</v>
      </c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</row>
    <row r="6" spans="1:41" ht="21" customHeight="1" x14ac:dyDescent="0.25">
      <c r="A6">
        <v>6</v>
      </c>
      <c r="B6" s="72" t="s">
        <v>290</v>
      </c>
      <c r="C6" s="72" t="s">
        <v>290</v>
      </c>
      <c r="D6" s="72" t="s">
        <v>296</v>
      </c>
      <c r="E6" s="72" t="s">
        <v>290</v>
      </c>
      <c r="F6" s="72" t="s">
        <v>515</v>
      </c>
      <c r="G6" s="72" t="s">
        <v>296</v>
      </c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</row>
    <row r="7" spans="1:41" ht="21" customHeight="1" x14ac:dyDescent="0.25">
      <c r="A7">
        <v>7</v>
      </c>
      <c r="B7" s="72" t="s">
        <v>290</v>
      </c>
      <c r="C7" s="72" t="s">
        <v>290</v>
      </c>
      <c r="D7" s="72" t="s">
        <v>296</v>
      </c>
      <c r="E7" s="72" t="s">
        <v>290</v>
      </c>
      <c r="F7" s="72" t="s">
        <v>515</v>
      </c>
      <c r="G7" s="72" t="s">
        <v>515</v>
      </c>
      <c r="H7" s="72" t="s">
        <v>296</v>
      </c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</row>
    <row r="8" spans="1:41" ht="21" customHeight="1" x14ac:dyDescent="0.25">
      <c r="A8">
        <v>8</v>
      </c>
      <c r="B8" s="72" t="s">
        <v>289</v>
      </c>
      <c r="C8" s="72" t="s">
        <v>289</v>
      </c>
      <c r="D8" s="72" t="s">
        <v>289</v>
      </c>
      <c r="E8" s="72" t="s">
        <v>296</v>
      </c>
      <c r="F8" s="72" t="s">
        <v>296</v>
      </c>
      <c r="G8" s="72" t="s">
        <v>296</v>
      </c>
      <c r="H8" s="72" t="s">
        <v>296</v>
      </c>
      <c r="I8" s="72" t="s">
        <v>296</v>
      </c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</row>
    <row r="9" spans="1:41" ht="21" customHeight="1" x14ac:dyDescent="0.25">
      <c r="A9">
        <v>9</v>
      </c>
      <c r="B9" s="72" t="s">
        <v>515</v>
      </c>
      <c r="C9" s="72" t="s">
        <v>515</v>
      </c>
      <c r="D9" s="72" t="s">
        <v>289</v>
      </c>
      <c r="E9" s="72" t="s">
        <v>296</v>
      </c>
      <c r="F9" s="72" t="s">
        <v>290</v>
      </c>
      <c r="G9" s="72" t="s">
        <v>290</v>
      </c>
      <c r="H9" s="72" t="s">
        <v>290</v>
      </c>
      <c r="I9" s="72" t="s">
        <v>515</v>
      </c>
      <c r="J9" s="72" t="s">
        <v>296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</row>
    <row r="10" spans="1:41" ht="21" customHeight="1" x14ac:dyDescent="0.25">
      <c r="A10">
        <v>10</v>
      </c>
      <c r="B10" s="72" t="s">
        <v>289</v>
      </c>
      <c r="C10" s="72" t="s">
        <v>289</v>
      </c>
      <c r="D10" s="72" t="s">
        <v>515</v>
      </c>
      <c r="E10" s="72" t="s">
        <v>296</v>
      </c>
      <c r="F10" s="72" t="s">
        <v>290</v>
      </c>
      <c r="G10" s="72" t="s">
        <v>290</v>
      </c>
      <c r="H10" s="72" t="s">
        <v>290</v>
      </c>
      <c r="I10" s="72" t="s">
        <v>289</v>
      </c>
      <c r="J10" s="72" t="s">
        <v>515</v>
      </c>
      <c r="K10" s="72" t="s">
        <v>296</v>
      </c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</row>
    <row r="11" spans="1:41" ht="21" customHeight="1" x14ac:dyDescent="0.25">
      <c r="A11">
        <v>11</v>
      </c>
      <c r="B11" s="73" t="s">
        <v>515</v>
      </c>
      <c r="C11" s="73" t="s">
        <v>515</v>
      </c>
      <c r="D11" s="73" t="s">
        <v>289</v>
      </c>
      <c r="E11" s="73" t="s">
        <v>296</v>
      </c>
      <c r="F11" s="73" t="s">
        <v>290</v>
      </c>
      <c r="G11" s="73" t="s">
        <v>290</v>
      </c>
      <c r="H11" s="73" t="s">
        <v>290</v>
      </c>
      <c r="I11" s="73" t="s">
        <v>515</v>
      </c>
      <c r="J11" s="73" t="s">
        <v>515</v>
      </c>
      <c r="K11" s="73" t="s">
        <v>515</v>
      </c>
      <c r="L11" s="73" t="s">
        <v>296</v>
      </c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</row>
    <row r="12" spans="1:41" ht="21" customHeight="1" x14ac:dyDescent="0.25">
      <c r="A12">
        <v>12</v>
      </c>
      <c r="B12" s="73" t="s">
        <v>296</v>
      </c>
      <c r="C12" s="73" t="s">
        <v>296</v>
      </c>
      <c r="D12" s="73" t="s">
        <v>296</v>
      </c>
      <c r="E12" s="73" t="s">
        <v>296</v>
      </c>
      <c r="F12" s="73" t="s">
        <v>296</v>
      </c>
      <c r="G12" s="73" t="s">
        <v>296</v>
      </c>
      <c r="H12" s="73" t="s">
        <v>296</v>
      </c>
      <c r="I12" s="73" t="s">
        <v>296</v>
      </c>
      <c r="J12" s="73" t="s">
        <v>296</v>
      </c>
      <c r="K12" s="73" t="s">
        <v>296</v>
      </c>
      <c r="L12" s="73" t="s">
        <v>296</v>
      </c>
      <c r="M12" s="73" t="s">
        <v>296</v>
      </c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</row>
    <row r="13" spans="1:41" ht="21" customHeight="1" x14ac:dyDescent="0.25">
      <c r="A13">
        <v>13</v>
      </c>
      <c r="B13" s="73" t="s">
        <v>296</v>
      </c>
      <c r="C13" s="73" t="s">
        <v>296</v>
      </c>
      <c r="D13" s="73" t="s">
        <v>296</v>
      </c>
      <c r="E13" s="73" t="s">
        <v>296</v>
      </c>
      <c r="F13" s="73" t="s">
        <v>289</v>
      </c>
      <c r="G13" s="73" t="s">
        <v>289</v>
      </c>
      <c r="H13" s="73" t="s">
        <v>296</v>
      </c>
      <c r="I13" s="73" t="s">
        <v>296</v>
      </c>
      <c r="J13" s="73" t="s">
        <v>296</v>
      </c>
      <c r="K13" s="73" t="s">
        <v>296</v>
      </c>
      <c r="L13" s="73" t="s">
        <v>289</v>
      </c>
      <c r="M13" s="73" t="s">
        <v>296</v>
      </c>
      <c r="N13" s="73" t="s">
        <v>296</v>
      </c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</row>
    <row r="14" spans="1:41" ht="21" customHeight="1" x14ac:dyDescent="0.25">
      <c r="A14">
        <v>14</v>
      </c>
      <c r="B14" s="73" t="s">
        <v>290</v>
      </c>
      <c r="C14" s="73" t="s">
        <v>290</v>
      </c>
      <c r="D14" s="73" t="s">
        <v>296</v>
      </c>
      <c r="E14" s="73" t="s">
        <v>290</v>
      </c>
      <c r="F14" s="73" t="s">
        <v>289</v>
      </c>
      <c r="G14" s="73" t="s">
        <v>289</v>
      </c>
      <c r="H14" s="73" t="s">
        <v>289</v>
      </c>
      <c r="I14" s="73" t="s">
        <v>290</v>
      </c>
      <c r="J14" s="73" t="s">
        <v>290</v>
      </c>
      <c r="K14" s="73" t="s">
        <v>290</v>
      </c>
      <c r="L14" s="73" t="s">
        <v>290</v>
      </c>
      <c r="M14" s="73" t="s">
        <v>296</v>
      </c>
      <c r="N14" s="73" t="s">
        <v>515</v>
      </c>
      <c r="O14" s="73" t="s">
        <v>296</v>
      </c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</row>
    <row r="15" spans="1:41" ht="21" customHeight="1" x14ac:dyDescent="0.25">
      <c r="A15">
        <v>15</v>
      </c>
      <c r="B15" s="73" t="s">
        <v>290</v>
      </c>
      <c r="C15" s="73" t="s">
        <v>290</v>
      </c>
      <c r="D15" s="73" t="s">
        <v>296</v>
      </c>
      <c r="E15" s="73" t="s">
        <v>296</v>
      </c>
      <c r="F15" s="73" t="s">
        <v>289</v>
      </c>
      <c r="G15" s="73" t="s">
        <v>289</v>
      </c>
      <c r="H15" s="73" t="s">
        <v>289</v>
      </c>
      <c r="I15" s="73" t="s">
        <v>290</v>
      </c>
      <c r="J15" s="73" t="s">
        <v>290</v>
      </c>
      <c r="K15" s="73" t="s">
        <v>290</v>
      </c>
      <c r="L15" s="73" t="s">
        <v>290</v>
      </c>
      <c r="M15" s="73" t="s">
        <v>296</v>
      </c>
      <c r="N15" s="73" t="s">
        <v>289</v>
      </c>
      <c r="O15" s="73" t="s">
        <v>289</v>
      </c>
      <c r="P15" s="73" t="s">
        <v>296</v>
      </c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</row>
    <row r="16" spans="1:41" ht="21" customHeight="1" x14ac:dyDescent="0.25">
      <c r="A16">
        <v>16</v>
      </c>
      <c r="B16" s="73" t="s">
        <v>290</v>
      </c>
      <c r="C16" s="73" t="s">
        <v>290</v>
      </c>
      <c r="D16" s="73" t="s">
        <v>296</v>
      </c>
      <c r="E16" s="73" t="s">
        <v>296</v>
      </c>
      <c r="F16" s="73" t="s">
        <v>289</v>
      </c>
      <c r="G16" s="73" t="s">
        <v>289</v>
      </c>
      <c r="H16" s="73" t="s">
        <v>296</v>
      </c>
      <c r="I16" s="73" t="s">
        <v>296</v>
      </c>
      <c r="J16" s="73" t="s">
        <v>296</v>
      </c>
      <c r="K16" s="73" t="s">
        <v>296</v>
      </c>
      <c r="L16" s="73" t="s">
        <v>290</v>
      </c>
      <c r="M16" s="73" t="s">
        <v>296</v>
      </c>
      <c r="N16" s="73" t="s">
        <v>296</v>
      </c>
      <c r="O16" s="73" t="s">
        <v>289</v>
      </c>
      <c r="P16" s="73" t="s">
        <v>289</v>
      </c>
      <c r="Q16" s="73" t="s">
        <v>296</v>
      </c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</row>
    <row r="17" spans="1:41" ht="21" customHeight="1" x14ac:dyDescent="0.25">
      <c r="A17">
        <v>17</v>
      </c>
      <c r="B17" s="73" t="s">
        <v>290</v>
      </c>
      <c r="C17" s="73" t="s">
        <v>290</v>
      </c>
      <c r="D17" s="73" t="s">
        <v>296</v>
      </c>
      <c r="E17" s="73" t="s">
        <v>296</v>
      </c>
      <c r="F17" s="73" t="s">
        <v>289</v>
      </c>
      <c r="G17" s="73" t="s">
        <v>289</v>
      </c>
      <c r="H17" s="73" t="s">
        <v>296</v>
      </c>
      <c r="I17" s="73" t="s">
        <v>290</v>
      </c>
      <c r="J17" s="73" t="s">
        <v>290</v>
      </c>
      <c r="K17" s="73" t="s">
        <v>290</v>
      </c>
      <c r="L17" s="73" t="s">
        <v>290</v>
      </c>
      <c r="M17" s="73" t="s">
        <v>296</v>
      </c>
      <c r="N17" s="73" t="s">
        <v>289</v>
      </c>
      <c r="O17" s="73" t="s">
        <v>289</v>
      </c>
      <c r="P17" s="73" t="s">
        <v>289</v>
      </c>
      <c r="Q17" s="73" t="s">
        <v>289</v>
      </c>
      <c r="R17" s="73" t="s">
        <v>296</v>
      </c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</row>
    <row r="18" spans="1:41" ht="21" customHeight="1" x14ac:dyDescent="0.25">
      <c r="A18">
        <v>18</v>
      </c>
      <c r="B18" s="73" t="s">
        <v>289</v>
      </c>
      <c r="C18" s="73" t="s">
        <v>289</v>
      </c>
      <c r="D18" s="73" t="s">
        <v>289</v>
      </c>
      <c r="E18" s="73" t="s">
        <v>289</v>
      </c>
      <c r="F18" s="73" t="s">
        <v>289</v>
      </c>
      <c r="G18" s="73" t="s">
        <v>289</v>
      </c>
      <c r="H18" s="73" t="s">
        <v>296</v>
      </c>
      <c r="I18" s="73" t="s">
        <v>289</v>
      </c>
      <c r="J18" s="73" t="s">
        <v>289</v>
      </c>
      <c r="K18" s="73" t="s">
        <v>289</v>
      </c>
      <c r="L18" s="73" t="s">
        <v>289</v>
      </c>
      <c r="M18" s="73" t="s">
        <v>296</v>
      </c>
      <c r="N18" s="73" t="s">
        <v>290</v>
      </c>
      <c r="O18" s="73" t="s">
        <v>290</v>
      </c>
      <c r="P18" s="73" t="s">
        <v>289</v>
      </c>
      <c r="Q18" s="73" t="s">
        <v>290</v>
      </c>
      <c r="R18" s="73" t="s">
        <v>290</v>
      </c>
      <c r="S18" s="73" t="s">
        <v>296</v>
      </c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</row>
    <row r="19" spans="1:41" ht="21" customHeight="1" x14ac:dyDescent="0.25">
      <c r="A19">
        <v>19</v>
      </c>
      <c r="B19" s="73" t="s">
        <v>290</v>
      </c>
      <c r="C19" s="73" t="s">
        <v>290</v>
      </c>
      <c r="D19" s="73" t="s">
        <v>296</v>
      </c>
      <c r="E19" s="73" t="s">
        <v>296</v>
      </c>
      <c r="F19" s="73" t="s">
        <v>290</v>
      </c>
      <c r="G19" s="73" t="s">
        <v>290</v>
      </c>
      <c r="H19" s="73" t="s">
        <v>296</v>
      </c>
      <c r="I19" s="73" t="s">
        <v>290</v>
      </c>
      <c r="J19" s="73" t="s">
        <v>290</v>
      </c>
      <c r="K19" s="73" t="s">
        <v>296</v>
      </c>
      <c r="L19" s="73" t="s">
        <v>290</v>
      </c>
      <c r="M19" s="73" t="s">
        <v>296</v>
      </c>
      <c r="N19" s="73" t="s">
        <v>296</v>
      </c>
      <c r="O19" s="73" t="s">
        <v>296</v>
      </c>
      <c r="P19" s="73" t="s">
        <v>290</v>
      </c>
      <c r="Q19" s="73" t="s">
        <v>296</v>
      </c>
      <c r="R19" s="73" t="s">
        <v>296</v>
      </c>
      <c r="S19" s="73" t="s">
        <v>289</v>
      </c>
      <c r="T19" s="73" t="s">
        <v>296</v>
      </c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</row>
    <row r="20" spans="1:41" ht="21" customHeight="1" x14ac:dyDescent="0.25">
      <c r="A20">
        <v>20</v>
      </c>
      <c r="B20" s="73" t="s">
        <v>290</v>
      </c>
      <c r="C20" s="73" t="s">
        <v>296</v>
      </c>
      <c r="D20" s="73" t="s">
        <v>296</v>
      </c>
      <c r="E20" s="73" t="s">
        <v>296</v>
      </c>
      <c r="F20" s="73" t="s">
        <v>290</v>
      </c>
      <c r="G20" s="73" t="s">
        <v>290</v>
      </c>
      <c r="H20" s="73" t="s">
        <v>296</v>
      </c>
      <c r="I20" s="73" t="s">
        <v>290</v>
      </c>
      <c r="J20" s="73" t="s">
        <v>290</v>
      </c>
      <c r="K20" s="73" t="s">
        <v>296</v>
      </c>
      <c r="L20" s="73" t="s">
        <v>290</v>
      </c>
      <c r="M20" s="73" t="s">
        <v>296</v>
      </c>
      <c r="N20" s="73" t="s">
        <v>296</v>
      </c>
      <c r="O20" s="73" t="s">
        <v>296</v>
      </c>
      <c r="P20" s="73" t="s">
        <v>290</v>
      </c>
      <c r="Q20" s="73" t="s">
        <v>296</v>
      </c>
      <c r="R20" s="73" t="s">
        <v>296</v>
      </c>
      <c r="S20" s="73" t="s">
        <v>289</v>
      </c>
      <c r="T20" s="73" t="s">
        <v>289</v>
      </c>
      <c r="U20" s="73" t="s">
        <v>296</v>
      </c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</row>
    <row r="21" spans="1:41" ht="21" customHeight="1" x14ac:dyDescent="0.25">
      <c r="A21">
        <v>21</v>
      </c>
      <c r="B21" s="73" t="s">
        <v>290</v>
      </c>
      <c r="C21" s="73" t="s">
        <v>296</v>
      </c>
      <c r="D21" s="73" t="s">
        <v>296</v>
      </c>
      <c r="E21" s="73" t="s">
        <v>296</v>
      </c>
      <c r="F21" s="73" t="s">
        <v>290</v>
      </c>
      <c r="G21" s="73" t="s">
        <v>290</v>
      </c>
      <c r="H21" s="73" t="s">
        <v>296</v>
      </c>
      <c r="I21" s="73" t="s">
        <v>290</v>
      </c>
      <c r="J21" s="73" t="s">
        <v>290</v>
      </c>
      <c r="K21" s="73" t="s">
        <v>296</v>
      </c>
      <c r="L21" s="73" t="s">
        <v>290</v>
      </c>
      <c r="M21" s="73" t="s">
        <v>296</v>
      </c>
      <c r="N21" s="73" t="s">
        <v>296</v>
      </c>
      <c r="O21" s="73" t="s">
        <v>290</v>
      </c>
      <c r="P21" s="73" t="s">
        <v>290</v>
      </c>
      <c r="Q21" s="73" t="s">
        <v>296</v>
      </c>
      <c r="R21" s="73" t="s">
        <v>296</v>
      </c>
      <c r="S21" s="73" t="s">
        <v>289</v>
      </c>
      <c r="T21" s="73" t="s">
        <v>290</v>
      </c>
      <c r="U21" s="73" t="s">
        <v>290</v>
      </c>
      <c r="V21" s="73" t="s">
        <v>296</v>
      </c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</row>
    <row r="22" spans="1:41" ht="21" customHeight="1" x14ac:dyDescent="0.25">
      <c r="A22">
        <v>22</v>
      </c>
      <c r="B22" s="73" t="s">
        <v>296</v>
      </c>
      <c r="C22" s="73" t="s">
        <v>296</v>
      </c>
      <c r="D22" s="73" t="s">
        <v>296</v>
      </c>
      <c r="E22" s="73" t="s">
        <v>296</v>
      </c>
      <c r="F22" s="73" t="s">
        <v>296</v>
      </c>
      <c r="G22" s="73" t="s">
        <v>296</v>
      </c>
      <c r="H22" s="73" t="s">
        <v>296</v>
      </c>
      <c r="I22" s="73" t="s">
        <v>296</v>
      </c>
      <c r="J22" s="73" t="s">
        <v>296</v>
      </c>
      <c r="K22" s="73" t="s">
        <v>296</v>
      </c>
      <c r="L22" s="73" t="s">
        <v>296</v>
      </c>
      <c r="M22" s="73" t="s">
        <v>296</v>
      </c>
      <c r="N22" s="73" t="s">
        <v>296</v>
      </c>
      <c r="O22" s="73" t="s">
        <v>296</v>
      </c>
      <c r="P22" s="73" t="s">
        <v>296</v>
      </c>
      <c r="Q22" s="73" t="s">
        <v>296</v>
      </c>
      <c r="R22" s="73" t="s">
        <v>296</v>
      </c>
      <c r="S22" s="73" t="s">
        <v>296</v>
      </c>
      <c r="T22" s="73" t="s">
        <v>296</v>
      </c>
      <c r="U22" s="73" t="s">
        <v>296</v>
      </c>
      <c r="V22" s="73" t="s">
        <v>289</v>
      </c>
      <c r="W22" s="73" t="s">
        <v>296</v>
      </c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</row>
    <row r="23" spans="1:41" ht="21" customHeight="1" x14ac:dyDescent="0.25">
      <c r="A23">
        <v>23</v>
      </c>
      <c r="B23" s="73" t="s">
        <v>290</v>
      </c>
      <c r="C23" s="73" t="s">
        <v>296</v>
      </c>
      <c r="D23" s="73" t="s">
        <v>296</v>
      </c>
      <c r="E23" s="73" t="s">
        <v>296</v>
      </c>
      <c r="F23" s="73" t="s">
        <v>290</v>
      </c>
      <c r="G23" s="73" t="s">
        <v>290</v>
      </c>
      <c r="H23" s="73" t="s">
        <v>296</v>
      </c>
      <c r="I23" s="73" t="s">
        <v>290</v>
      </c>
      <c r="J23" s="73" t="s">
        <v>290</v>
      </c>
      <c r="K23" s="73" t="s">
        <v>290</v>
      </c>
      <c r="L23" s="73" t="s">
        <v>290</v>
      </c>
      <c r="M23" s="73" t="s">
        <v>296</v>
      </c>
      <c r="N23" s="73" t="s">
        <v>296</v>
      </c>
      <c r="O23" s="73" t="s">
        <v>290</v>
      </c>
      <c r="P23" s="73" t="s">
        <v>290</v>
      </c>
      <c r="Q23" s="73" t="s">
        <v>296</v>
      </c>
      <c r="R23" s="73" t="s">
        <v>296</v>
      </c>
      <c r="S23" s="73" t="s">
        <v>289</v>
      </c>
      <c r="T23" s="73" t="s">
        <v>290</v>
      </c>
      <c r="U23" s="73" t="s">
        <v>290</v>
      </c>
      <c r="V23" s="73" t="s">
        <v>290</v>
      </c>
      <c r="W23" s="73" t="s">
        <v>296</v>
      </c>
      <c r="X23" s="73" t="s">
        <v>296</v>
      </c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</row>
    <row r="24" spans="1:41" ht="21" customHeight="1" x14ac:dyDescent="0.25">
      <c r="A24">
        <v>24</v>
      </c>
      <c r="B24" s="73" t="s">
        <v>289</v>
      </c>
      <c r="C24" s="73" t="s">
        <v>296</v>
      </c>
      <c r="D24" s="73" t="s">
        <v>289</v>
      </c>
      <c r="E24" s="73" t="s">
        <v>289</v>
      </c>
      <c r="F24" s="73" t="s">
        <v>289</v>
      </c>
      <c r="G24" s="73" t="s">
        <v>289</v>
      </c>
      <c r="H24" s="73" t="s">
        <v>296</v>
      </c>
      <c r="I24" s="73" t="s">
        <v>289</v>
      </c>
      <c r="J24" s="73" t="s">
        <v>289</v>
      </c>
      <c r="K24" s="73" t="s">
        <v>289</v>
      </c>
      <c r="L24" s="73" t="s">
        <v>289</v>
      </c>
      <c r="M24" s="73" t="s">
        <v>296</v>
      </c>
      <c r="N24" s="73" t="s">
        <v>296</v>
      </c>
      <c r="O24" s="73" t="s">
        <v>290</v>
      </c>
      <c r="P24" s="73" t="s">
        <v>289</v>
      </c>
      <c r="Q24" s="73" t="s">
        <v>296</v>
      </c>
      <c r="R24" s="73" t="s">
        <v>296</v>
      </c>
      <c r="S24" s="73" t="s">
        <v>289</v>
      </c>
      <c r="T24" s="73" t="s">
        <v>289</v>
      </c>
      <c r="U24" s="73" t="s">
        <v>289</v>
      </c>
      <c r="V24" s="73" t="s">
        <v>289</v>
      </c>
      <c r="W24" s="73" t="s">
        <v>296</v>
      </c>
      <c r="X24" s="73" t="s">
        <v>515</v>
      </c>
      <c r="Y24" s="73" t="s">
        <v>296</v>
      </c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</row>
    <row r="25" spans="1:41" ht="21" customHeight="1" x14ac:dyDescent="0.25">
      <c r="A25">
        <v>25</v>
      </c>
      <c r="B25" s="73" t="s">
        <v>296</v>
      </c>
      <c r="C25" s="73" t="s">
        <v>296</v>
      </c>
      <c r="D25" s="73" t="s">
        <v>296</v>
      </c>
      <c r="E25" s="73" t="s">
        <v>296</v>
      </c>
      <c r="F25" s="73" t="s">
        <v>296</v>
      </c>
      <c r="G25" s="73" t="s">
        <v>296</v>
      </c>
      <c r="H25" s="73" t="s">
        <v>296</v>
      </c>
      <c r="I25" s="73" t="s">
        <v>296</v>
      </c>
      <c r="J25" s="73" t="s">
        <v>296</v>
      </c>
      <c r="K25" s="73" t="s">
        <v>296</v>
      </c>
      <c r="L25" s="73" t="s">
        <v>296</v>
      </c>
      <c r="M25" s="73" t="s">
        <v>296</v>
      </c>
      <c r="N25" s="73" t="s">
        <v>296</v>
      </c>
      <c r="O25" s="73" t="s">
        <v>296</v>
      </c>
      <c r="P25" s="73" t="s">
        <v>296</v>
      </c>
      <c r="Q25" s="73" t="s">
        <v>296</v>
      </c>
      <c r="R25" s="73" t="s">
        <v>296</v>
      </c>
      <c r="S25" s="73" t="s">
        <v>296</v>
      </c>
      <c r="T25" s="73" t="s">
        <v>296</v>
      </c>
      <c r="U25" s="73" t="s">
        <v>296</v>
      </c>
      <c r="V25" s="73" t="s">
        <v>289</v>
      </c>
      <c r="W25" s="73" t="s">
        <v>296</v>
      </c>
      <c r="X25" s="73" t="s">
        <v>296</v>
      </c>
      <c r="Y25" s="73" t="s">
        <v>296</v>
      </c>
      <c r="Z25" s="73" t="s">
        <v>296</v>
      </c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</row>
    <row r="26" spans="1:41" ht="21" customHeight="1" x14ac:dyDescent="0.25">
      <c r="A26">
        <v>26</v>
      </c>
      <c r="B26" s="73" t="s">
        <v>289</v>
      </c>
      <c r="C26" s="73" t="s">
        <v>289</v>
      </c>
      <c r="D26" s="73" t="s">
        <v>289</v>
      </c>
      <c r="E26" s="73" t="s">
        <v>289</v>
      </c>
      <c r="F26" s="73" t="s">
        <v>290</v>
      </c>
      <c r="G26" s="73" t="s">
        <v>290</v>
      </c>
      <c r="H26" s="73" t="s">
        <v>296</v>
      </c>
      <c r="I26" s="73" t="s">
        <v>289</v>
      </c>
      <c r="J26" s="73" t="s">
        <v>289</v>
      </c>
      <c r="K26" s="73" t="s">
        <v>289</v>
      </c>
      <c r="L26" s="73" t="s">
        <v>289</v>
      </c>
      <c r="M26" s="73" t="s">
        <v>296</v>
      </c>
      <c r="N26" s="73" t="s">
        <v>296</v>
      </c>
      <c r="O26" s="73" t="s">
        <v>290</v>
      </c>
      <c r="P26" s="73" t="s">
        <v>296</v>
      </c>
      <c r="Q26" s="73" t="s">
        <v>296</v>
      </c>
      <c r="R26" s="73" t="s">
        <v>296</v>
      </c>
      <c r="S26" s="73" t="s">
        <v>289</v>
      </c>
      <c r="T26" s="73" t="s">
        <v>296</v>
      </c>
      <c r="U26" s="73" t="s">
        <v>296</v>
      </c>
      <c r="V26" s="73" t="s">
        <v>296</v>
      </c>
      <c r="W26" s="73" t="s">
        <v>296</v>
      </c>
      <c r="X26" s="73" t="s">
        <v>296</v>
      </c>
      <c r="Y26" s="73" t="s">
        <v>289</v>
      </c>
      <c r="Z26" s="73" t="s">
        <v>289</v>
      </c>
      <c r="AA26" s="73" t="s">
        <v>296</v>
      </c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</row>
    <row r="27" spans="1:41" ht="21" customHeight="1" x14ac:dyDescent="0.25">
      <c r="A27">
        <v>27</v>
      </c>
      <c r="B27" s="73" t="s">
        <v>289</v>
      </c>
      <c r="C27" s="73" t="s">
        <v>289</v>
      </c>
      <c r="D27" s="73" t="s">
        <v>289</v>
      </c>
      <c r="E27" s="73" t="s">
        <v>289</v>
      </c>
      <c r="F27" s="73" t="s">
        <v>290</v>
      </c>
      <c r="G27" s="73" t="s">
        <v>290</v>
      </c>
      <c r="H27" s="73" t="s">
        <v>296</v>
      </c>
      <c r="I27" s="73" t="s">
        <v>289</v>
      </c>
      <c r="J27" s="73" t="s">
        <v>289</v>
      </c>
      <c r="K27" s="73" t="s">
        <v>289</v>
      </c>
      <c r="L27" s="73" t="s">
        <v>289</v>
      </c>
      <c r="M27" s="73" t="s">
        <v>296</v>
      </c>
      <c r="N27" s="73" t="s">
        <v>296</v>
      </c>
      <c r="O27" s="73" t="s">
        <v>290</v>
      </c>
      <c r="P27" s="73" t="s">
        <v>296</v>
      </c>
      <c r="Q27" s="73" t="s">
        <v>296</v>
      </c>
      <c r="R27" s="73" t="s">
        <v>296</v>
      </c>
      <c r="S27" s="73" t="s">
        <v>289</v>
      </c>
      <c r="T27" s="73" t="s">
        <v>296</v>
      </c>
      <c r="U27" s="73" t="s">
        <v>296</v>
      </c>
      <c r="V27" s="73" t="s">
        <v>296</v>
      </c>
      <c r="W27" s="73" t="s">
        <v>296</v>
      </c>
      <c r="X27" s="73" t="s">
        <v>296</v>
      </c>
      <c r="Y27" s="73" t="s">
        <v>289</v>
      </c>
      <c r="Z27" s="73" t="s">
        <v>289</v>
      </c>
      <c r="AA27" s="73" t="s">
        <v>515</v>
      </c>
      <c r="AB27" s="73" t="s">
        <v>296</v>
      </c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</row>
    <row r="28" spans="1:41" ht="21" customHeight="1" x14ac:dyDescent="0.25">
      <c r="A28">
        <v>28</v>
      </c>
      <c r="B28" s="73" t="s">
        <v>289</v>
      </c>
      <c r="C28" s="73" t="s">
        <v>289</v>
      </c>
      <c r="D28" s="73" t="s">
        <v>289</v>
      </c>
      <c r="E28" s="73" t="s">
        <v>289</v>
      </c>
      <c r="F28" s="73" t="s">
        <v>296</v>
      </c>
      <c r="G28" s="73" t="s">
        <v>296</v>
      </c>
      <c r="H28" s="73" t="s">
        <v>296</v>
      </c>
      <c r="I28" s="73" t="s">
        <v>289</v>
      </c>
      <c r="J28" s="73" t="s">
        <v>289</v>
      </c>
      <c r="K28" s="73" t="s">
        <v>289</v>
      </c>
      <c r="L28" s="73" t="s">
        <v>289</v>
      </c>
      <c r="M28" s="73" t="s">
        <v>296</v>
      </c>
      <c r="N28" s="73" t="s">
        <v>296</v>
      </c>
      <c r="O28" s="73" t="s">
        <v>296</v>
      </c>
      <c r="P28" s="73" t="s">
        <v>296</v>
      </c>
      <c r="Q28" s="73" t="s">
        <v>296</v>
      </c>
      <c r="R28" s="73" t="s">
        <v>296</v>
      </c>
      <c r="S28" s="73" t="s">
        <v>296</v>
      </c>
      <c r="T28" s="73" t="s">
        <v>289</v>
      </c>
      <c r="U28" s="73" t="s">
        <v>289</v>
      </c>
      <c r="V28" s="73" t="s">
        <v>289</v>
      </c>
      <c r="W28" s="73" t="s">
        <v>296</v>
      </c>
      <c r="X28" s="73" t="s">
        <v>289</v>
      </c>
      <c r="Y28" s="73" t="s">
        <v>289</v>
      </c>
      <c r="Z28" s="73" t="s">
        <v>296</v>
      </c>
      <c r="AA28" s="73" t="s">
        <v>289</v>
      </c>
      <c r="AB28" s="73" t="s">
        <v>289</v>
      </c>
      <c r="AC28" s="73" t="s">
        <v>296</v>
      </c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</row>
    <row r="29" spans="1:41" ht="21" customHeight="1" x14ac:dyDescent="0.25">
      <c r="A29">
        <v>29</v>
      </c>
      <c r="B29" s="73" t="s">
        <v>296</v>
      </c>
      <c r="C29" s="73" t="s">
        <v>296</v>
      </c>
      <c r="D29" s="73" t="s">
        <v>296</v>
      </c>
      <c r="E29" s="73" t="s">
        <v>296</v>
      </c>
      <c r="F29" s="73" t="s">
        <v>296</v>
      </c>
      <c r="G29" s="73" t="s">
        <v>296</v>
      </c>
      <c r="H29" s="73" t="s">
        <v>296</v>
      </c>
      <c r="I29" s="73" t="s">
        <v>296</v>
      </c>
      <c r="J29" s="73" t="s">
        <v>296</v>
      </c>
      <c r="K29" s="73" t="s">
        <v>296</v>
      </c>
      <c r="L29" s="73" t="s">
        <v>296</v>
      </c>
      <c r="M29" s="73" t="s">
        <v>296</v>
      </c>
      <c r="N29" s="73" t="s">
        <v>296</v>
      </c>
      <c r="O29" s="73" t="s">
        <v>296</v>
      </c>
      <c r="P29" s="73" t="s">
        <v>296</v>
      </c>
      <c r="Q29" s="73" t="s">
        <v>296</v>
      </c>
      <c r="R29" s="73" t="s">
        <v>296</v>
      </c>
      <c r="S29" s="73" t="s">
        <v>296</v>
      </c>
      <c r="T29" s="73" t="s">
        <v>296</v>
      </c>
      <c r="U29" s="73" t="s">
        <v>296</v>
      </c>
      <c r="V29" s="73" t="s">
        <v>296</v>
      </c>
      <c r="W29" s="73" t="s">
        <v>296</v>
      </c>
      <c r="X29" s="73" t="s">
        <v>296</v>
      </c>
      <c r="Y29" s="73" t="s">
        <v>296</v>
      </c>
      <c r="Z29" s="73" t="s">
        <v>296</v>
      </c>
      <c r="AA29" s="73" t="s">
        <v>296</v>
      </c>
      <c r="AB29" s="73" t="s">
        <v>296</v>
      </c>
      <c r="AC29" s="73" t="s">
        <v>296</v>
      </c>
      <c r="AD29" s="73" t="s">
        <v>296</v>
      </c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</row>
    <row r="30" spans="1:41" ht="21" customHeight="1" x14ac:dyDescent="0.25">
      <c r="A30">
        <v>30</v>
      </c>
      <c r="B30" s="73" t="s">
        <v>290</v>
      </c>
      <c r="C30" s="73" t="s">
        <v>290</v>
      </c>
      <c r="D30" s="73" t="s">
        <v>290</v>
      </c>
      <c r="E30" s="73" t="s">
        <v>290</v>
      </c>
      <c r="F30" s="73" t="s">
        <v>296</v>
      </c>
      <c r="G30" s="73" t="s">
        <v>296</v>
      </c>
      <c r="H30" s="73" t="s">
        <v>296</v>
      </c>
      <c r="I30" s="73" t="s">
        <v>290</v>
      </c>
      <c r="J30" s="73" t="s">
        <v>290</v>
      </c>
      <c r="K30" s="73" t="s">
        <v>290</v>
      </c>
      <c r="L30" s="73" t="s">
        <v>290</v>
      </c>
      <c r="M30" s="73" t="s">
        <v>296</v>
      </c>
      <c r="N30" s="73" t="s">
        <v>296</v>
      </c>
      <c r="O30" s="73" t="s">
        <v>296</v>
      </c>
      <c r="P30" s="73" t="s">
        <v>290</v>
      </c>
      <c r="Q30" s="73" t="s">
        <v>296</v>
      </c>
      <c r="R30" s="73" t="s">
        <v>296</v>
      </c>
      <c r="S30" s="73" t="s">
        <v>296</v>
      </c>
      <c r="T30" s="73" t="s">
        <v>296</v>
      </c>
      <c r="U30" s="73" t="s">
        <v>296</v>
      </c>
      <c r="V30" s="73" t="s">
        <v>289</v>
      </c>
      <c r="W30" s="73" t="s">
        <v>289</v>
      </c>
      <c r="X30" s="73" t="s">
        <v>296</v>
      </c>
      <c r="Y30" s="73" t="s">
        <v>289</v>
      </c>
      <c r="Z30" s="73" t="s">
        <v>289</v>
      </c>
      <c r="AA30" s="73" t="s">
        <v>296</v>
      </c>
      <c r="AB30" s="73" t="s">
        <v>296</v>
      </c>
      <c r="AC30" s="73" t="s">
        <v>296</v>
      </c>
      <c r="AD30" s="73" t="s">
        <v>289</v>
      </c>
      <c r="AE30" s="73" t="s">
        <v>296</v>
      </c>
      <c r="AF30" s="73"/>
      <c r="AG30" s="73"/>
      <c r="AH30" s="73"/>
      <c r="AI30" s="73"/>
      <c r="AJ30" s="73"/>
      <c r="AK30" s="73"/>
      <c r="AL30" s="73"/>
      <c r="AM30" s="73"/>
      <c r="AN30" s="73"/>
      <c r="AO30" s="73"/>
    </row>
    <row r="31" spans="1:41" ht="21" customHeight="1" x14ac:dyDescent="0.25">
      <c r="A31">
        <v>31</v>
      </c>
      <c r="B31" s="73" t="s">
        <v>290</v>
      </c>
      <c r="C31" s="73" t="s">
        <v>290</v>
      </c>
      <c r="D31" s="73" t="s">
        <v>290</v>
      </c>
      <c r="E31" s="73" t="s">
        <v>290</v>
      </c>
      <c r="F31" s="73" t="s">
        <v>296</v>
      </c>
      <c r="G31" s="73" t="s">
        <v>296</v>
      </c>
      <c r="H31" s="73" t="s">
        <v>296</v>
      </c>
      <c r="I31" s="73" t="s">
        <v>290</v>
      </c>
      <c r="J31" s="73" t="s">
        <v>290</v>
      </c>
      <c r="K31" s="73" t="s">
        <v>290</v>
      </c>
      <c r="L31" s="73" t="s">
        <v>290</v>
      </c>
      <c r="M31" s="73" t="s">
        <v>296</v>
      </c>
      <c r="N31" s="73" t="s">
        <v>296</v>
      </c>
      <c r="O31" s="73" t="s">
        <v>296</v>
      </c>
      <c r="P31" s="73" t="s">
        <v>290</v>
      </c>
      <c r="Q31" s="73" t="s">
        <v>296</v>
      </c>
      <c r="R31" s="73" t="s">
        <v>296</v>
      </c>
      <c r="S31" s="73" t="s">
        <v>296</v>
      </c>
      <c r="T31" s="73" t="s">
        <v>296</v>
      </c>
      <c r="U31" s="73" t="s">
        <v>296</v>
      </c>
      <c r="V31" s="73" t="s">
        <v>289</v>
      </c>
      <c r="W31" s="73" t="s">
        <v>289</v>
      </c>
      <c r="X31" s="73" t="s">
        <v>296</v>
      </c>
      <c r="Y31" s="73" t="s">
        <v>289</v>
      </c>
      <c r="Z31" s="73" t="s">
        <v>289</v>
      </c>
      <c r="AA31" s="73" t="s">
        <v>296</v>
      </c>
      <c r="AB31" s="73" t="s">
        <v>296</v>
      </c>
      <c r="AC31" s="73" t="s">
        <v>296</v>
      </c>
      <c r="AD31" s="73" t="s">
        <v>289</v>
      </c>
      <c r="AE31" s="73" t="s">
        <v>289</v>
      </c>
      <c r="AF31" s="73" t="s">
        <v>296</v>
      </c>
      <c r="AG31" s="73"/>
      <c r="AH31" s="73"/>
      <c r="AI31" s="73"/>
      <c r="AJ31" s="73"/>
      <c r="AK31" s="73"/>
      <c r="AL31" s="73"/>
      <c r="AM31" s="73"/>
      <c r="AN31" s="73"/>
      <c r="AO31" s="73"/>
    </row>
    <row r="32" spans="1:41" ht="21" customHeight="1" x14ac:dyDescent="0.25">
      <c r="A32">
        <v>32</v>
      </c>
      <c r="B32" s="73" t="s">
        <v>290</v>
      </c>
      <c r="C32" s="73" t="s">
        <v>296</v>
      </c>
      <c r="D32" s="73" t="s">
        <v>296</v>
      </c>
      <c r="E32" s="73" t="s">
        <v>296</v>
      </c>
      <c r="F32" s="73" t="s">
        <v>289</v>
      </c>
      <c r="G32" s="73" t="s">
        <v>289</v>
      </c>
      <c r="H32" s="73" t="s">
        <v>296</v>
      </c>
      <c r="I32" s="73" t="s">
        <v>290</v>
      </c>
      <c r="J32" s="73" t="s">
        <v>290</v>
      </c>
      <c r="K32" s="73" t="s">
        <v>296</v>
      </c>
      <c r="L32" s="73" t="s">
        <v>290</v>
      </c>
      <c r="M32" s="73" t="s">
        <v>296</v>
      </c>
      <c r="N32" s="73" t="s">
        <v>296</v>
      </c>
      <c r="O32" s="73" t="s">
        <v>289</v>
      </c>
      <c r="P32" s="73" t="s">
        <v>289</v>
      </c>
      <c r="Q32" s="73" t="s">
        <v>296</v>
      </c>
      <c r="R32" s="73" t="s">
        <v>296</v>
      </c>
      <c r="S32" s="73" t="s">
        <v>290</v>
      </c>
      <c r="T32" s="73" t="s">
        <v>289</v>
      </c>
      <c r="U32" s="73" t="s">
        <v>289</v>
      </c>
      <c r="V32" s="73" t="s">
        <v>290</v>
      </c>
      <c r="W32" s="73" t="s">
        <v>296</v>
      </c>
      <c r="X32" s="73" t="s">
        <v>289</v>
      </c>
      <c r="Y32" s="73" t="s">
        <v>290</v>
      </c>
      <c r="Z32" s="73" t="s">
        <v>296</v>
      </c>
      <c r="AA32" s="73" t="s">
        <v>290</v>
      </c>
      <c r="AB32" s="73" t="s">
        <v>290</v>
      </c>
      <c r="AC32" s="73" t="s">
        <v>296</v>
      </c>
      <c r="AD32" s="73" t="s">
        <v>296</v>
      </c>
      <c r="AE32" s="73" t="s">
        <v>296</v>
      </c>
      <c r="AF32" s="73" t="s">
        <v>296</v>
      </c>
      <c r="AG32" s="73" t="s">
        <v>296</v>
      </c>
      <c r="AH32" s="73"/>
      <c r="AI32" s="73"/>
      <c r="AJ32" s="73"/>
      <c r="AK32" s="73"/>
      <c r="AL32" s="73"/>
      <c r="AM32" s="73"/>
      <c r="AN32" s="73"/>
      <c r="AO32" s="73"/>
    </row>
    <row r="33" spans="1:41" ht="21" customHeight="1" x14ac:dyDescent="0.25">
      <c r="A33">
        <v>33</v>
      </c>
      <c r="B33" s="73" t="s">
        <v>290</v>
      </c>
      <c r="C33" s="73" t="s">
        <v>290</v>
      </c>
      <c r="D33" s="73" t="s">
        <v>290</v>
      </c>
      <c r="E33" s="73" t="s">
        <v>290</v>
      </c>
      <c r="F33" s="73" t="s">
        <v>289</v>
      </c>
      <c r="G33" s="73" t="s">
        <v>289</v>
      </c>
      <c r="H33" s="73" t="s">
        <v>296</v>
      </c>
      <c r="I33" s="73" t="s">
        <v>290</v>
      </c>
      <c r="J33" s="73" t="s">
        <v>290</v>
      </c>
      <c r="K33" s="73" t="s">
        <v>290</v>
      </c>
      <c r="L33" s="73" t="s">
        <v>290</v>
      </c>
      <c r="M33" s="73" t="s">
        <v>296</v>
      </c>
      <c r="N33" s="73" t="s">
        <v>296</v>
      </c>
      <c r="O33" s="73" t="s">
        <v>289</v>
      </c>
      <c r="P33" s="73" t="s">
        <v>289</v>
      </c>
      <c r="Q33" s="73" t="s">
        <v>296</v>
      </c>
      <c r="R33" s="73" t="s">
        <v>296</v>
      </c>
      <c r="S33" s="73" t="s">
        <v>290</v>
      </c>
      <c r="T33" s="73" t="s">
        <v>289</v>
      </c>
      <c r="U33" s="73" t="s">
        <v>289</v>
      </c>
      <c r="V33" s="73" t="s">
        <v>290</v>
      </c>
      <c r="W33" s="73" t="s">
        <v>289</v>
      </c>
      <c r="X33" s="73" t="s">
        <v>289</v>
      </c>
      <c r="Y33" s="73" t="s">
        <v>289</v>
      </c>
      <c r="Z33" s="73" t="s">
        <v>289</v>
      </c>
      <c r="AA33" s="73" t="s">
        <v>290</v>
      </c>
      <c r="AB33" s="73" t="s">
        <v>290</v>
      </c>
      <c r="AC33" s="73" t="s">
        <v>296</v>
      </c>
      <c r="AD33" s="73" t="s">
        <v>296</v>
      </c>
      <c r="AE33" s="73" t="s">
        <v>289</v>
      </c>
      <c r="AF33" s="73" t="s">
        <v>289</v>
      </c>
      <c r="AG33" s="73" t="s">
        <v>289</v>
      </c>
      <c r="AH33" s="73" t="s">
        <v>296</v>
      </c>
      <c r="AI33" s="73"/>
      <c r="AJ33" s="73"/>
      <c r="AK33" s="73"/>
      <c r="AL33" s="73"/>
      <c r="AM33" s="73"/>
      <c r="AN33" s="73"/>
      <c r="AO33" s="73"/>
    </row>
    <row r="34" spans="1:41" ht="21" customHeight="1" x14ac:dyDescent="0.25">
      <c r="A34">
        <v>34</v>
      </c>
      <c r="B34" s="73" t="s">
        <v>290</v>
      </c>
      <c r="C34" s="73" t="s">
        <v>296</v>
      </c>
      <c r="D34" s="73" t="s">
        <v>296</v>
      </c>
      <c r="E34" s="73" t="s">
        <v>296</v>
      </c>
      <c r="F34" s="73" t="s">
        <v>289</v>
      </c>
      <c r="G34" s="73" t="s">
        <v>289</v>
      </c>
      <c r="H34" s="73" t="s">
        <v>296</v>
      </c>
      <c r="I34" s="73" t="s">
        <v>290</v>
      </c>
      <c r="J34" s="73" t="s">
        <v>290</v>
      </c>
      <c r="K34" s="73" t="s">
        <v>296</v>
      </c>
      <c r="L34" s="73" t="s">
        <v>290</v>
      </c>
      <c r="M34" s="73" t="s">
        <v>296</v>
      </c>
      <c r="N34" s="73" t="s">
        <v>296</v>
      </c>
      <c r="O34" s="73" t="s">
        <v>289</v>
      </c>
      <c r="P34" s="73" t="s">
        <v>289</v>
      </c>
      <c r="Q34" s="73" t="s">
        <v>296</v>
      </c>
      <c r="R34" s="73" t="s">
        <v>296</v>
      </c>
      <c r="S34" s="73" t="s">
        <v>290</v>
      </c>
      <c r="T34" s="73" t="s">
        <v>289</v>
      </c>
      <c r="U34" s="73" t="s">
        <v>289</v>
      </c>
      <c r="V34" s="73" t="s">
        <v>290</v>
      </c>
      <c r="W34" s="73" t="s">
        <v>296</v>
      </c>
      <c r="X34" s="73" t="s">
        <v>289</v>
      </c>
      <c r="Y34" s="73" t="s">
        <v>290</v>
      </c>
      <c r="Z34" s="73" t="s">
        <v>289</v>
      </c>
      <c r="AA34" s="73" t="s">
        <v>290</v>
      </c>
      <c r="AB34" s="73" t="s">
        <v>290</v>
      </c>
      <c r="AC34" s="73" t="s">
        <v>296</v>
      </c>
      <c r="AD34" s="73" t="s">
        <v>296</v>
      </c>
      <c r="AE34" s="73" t="s">
        <v>289</v>
      </c>
      <c r="AF34" s="73" t="s">
        <v>289</v>
      </c>
      <c r="AG34" s="73" t="s">
        <v>289</v>
      </c>
      <c r="AH34" s="73" t="s">
        <v>289</v>
      </c>
      <c r="AI34" s="73" t="s">
        <v>296</v>
      </c>
      <c r="AJ34" s="73"/>
      <c r="AK34" s="73"/>
      <c r="AL34" s="73"/>
      <c r="AM34" s="73"/>
      <c r="AN34" s="73"/>
      <c r="AO34" s="73"/>
    </row>
    <row r="35" spans="1:41" ht="21" customHeight="1" x14ac:dyDescent="0.25">
      <c r="A35">
        <v>35</v>
      </c>
      <c r="B35" s="73" t="s">
        <v>515</v>
      </c>
      <c r="C35" s="73" t="s">
        <v>289</v>
      </c>
      <c r="D35" s="73" t="s">
        <v>515</v>
      </c>
      <c r="E35" s="73" t="s">
        <v>515</v>
      </c>
      <c r="F35" s="73" t="s">
        <v>290</v>
      </c>
      <c r="G35" s="73" t="s">
        <v>290</v>
      </c>
      <c r="H35" s="73" t="s">
        <v>296</v>
      </c>
      <c r="I35" s="73" t="s">
        <v>289</v>
      </c>
      <c r="J35" s="73" t="s">
        <v>515</v>
      </c>
      <c r="K35" s="73" t="s">
        <v>515</v>
      </c>
      <c r="L35" s="73" t="s">
        <v>289</v>
      </c>
      <c r="M35" s="73" t="s">
        <v>296</v>
      </c>
      <c r="N35" s="73" t="s">
        <v>296</v>
      </c>
      <c r="O35" s="73" t="s">
        <v>290</v>
      </c>
      <c r="P35" s="73" t="s">
        <v>296</v>
      </c>
      <c r="Q35" s="73" t="s">
        <v>296</v>
      </c>
      <c r="R35" s="73" t="s">
        <v>296</v>
      </c>
      <c r="S35" s="73" t="s">
        <v>289</v>
      </c>
      <c r="T35" s="73" t="s">
        <v>296</v>
      </c>
      <c r="U35" s="73" t="s">
        <v>296</v>
      </c>
      <c r="V35" s="73" t="s">
        <v>296</v>
      </c>
      <c r="W35" s="73" t="s">
        <v>296</v>
      </c>
      <c r="X35" s="73" t="s">
        <v>290</v>
      </c>
      <c r="Y35" s="73" t="s">
        <v>289</v>
      </c>
      <c r="Z35" s="73" t="s">
        <v>296</v>
      </c>
      <c r="AA35" s="73" t="s">
        <v>515</v>
      </c>
      <c r="AB35" s="73" t="s">
        <v>515</v>
      </c>
      <c r="AC35" s="73" t="s">
        <v>289</v>
      </c>
      <c r="AD35" s="73" t="s">
        <v>296</v>
      </c>
      <c r="AE35" s="73" t="s">
        <v>296</v>
      </c>
      <c r="AF35" s="73" t="s">
        <v>296</v>
      </c>
      <c r="AG35" s="73" t="s">
        <v>290</v>
      </c>
      <c r="AH35" s="73" t="s">
        <v>290</v>
      </c>
      <c r="AI35" s="73" t="s">
        <v>290</v>
      </c>
      <c r="AJ35" s="73" t="s">
        <v>296</v>
      </c>
      <c r="AK35" s="73"/>
      <c r="AL35" s="73"/>
      <c r="AM35" s="73"/>
      <c r="AN35" s="73"/>
      <c r="AO35" s="73"/>
    </row>
    <row r="36" spans="1:41" ht="21" customHeight="1" x14ac:dyDescent="0.25">
      <c r="A36">
        <v>36</v>
      </c>
      <c r="B36" s="73" t="s">
        <v>289</v>
      </c>
      <c r="C36" s="73" t="s">
        <v>289</v>
      </c>
      <c r="D36" s="73" t="s">
        <v>289</v>
      </c>
      <c r="E36" s="73" t="s">
        <v>289</v>
      </c>
      <c r="F36" s="73" t="s">
        <v>296</v>
      </c>
      <c r="G36" s="73" t="s">
        <v>296</v>
      </c>
      <c r="H36" s="73" t="s">
        <v>296</v>
      </c>
      <c r="I36" s="73" t="s">
        <v>289</v>
      </c>
      <c r="J36" s="73" t="s">
        <v>289</v>
      </c>
      <c r="K36" s="73" t="s">
        <v>289</v>
      </c>
      <c r="L36" s="73" t="s">
        <v>289</v>
      </c>
      <c r="M36" s="73" t="s">
        <v>296</v>
      </c>
      <c r="N36" s="73" t="s">
        <v>296</v>
      </c>
      <c r="O36" s="73" t="s">
        <v>296</v>
      </c>
      <c r="P36" s="73" t="s">
        <v>296</v>
      </c>
      <c r="Q36" s="73" t="s">
        <v>296</v>
      </c>
      <c r="R36" s="73" t="s">
        <v>296</v>
      </c>
      <c r="S36" s="73" t="s">
        <v>296</v>
      </c>
      <c r="T36" s="73" t="s">
        <v>296</v>
      </c>
      <c r="U36" s="73" t="s">
        <v>296</v>
      </c>
      <c r="V36" s="73" t="s">
        <v>289</v>
      </c>
      <c r="W36" s="73" t="s">
        <v>289</v>
      </c>
      <c r="X36" s="73" t="s">
        <v>296</v>
      </c>
      <c r="Y36" s="73" t="s">
        <v>289</v>
      </c>
      <c r="Z36" s="73" t="s">
        <v>289</v>
      </c>
      <c r="AA36" s="73" t="s">
        <v>289</v>
      </c>
      <c r="AB36" s="73" t="s">
        <v>289</v>
      </c>
      <c r="AC36" s="73" t="s">
        <v>289</v>
      </c>
      <c r="AD36" s="73" t="s">
        <v>289</v>
      </c>
      <c r="AE36" s="73" t="s">
        <v>296</v>
      </c>
      <c r="AF36" s="73" t="s">
        <v>296</v>
      </c>
      <c r="AG36" s="73" t="s">
        <v>296</v>
      </c>
      <c r="AH36" s="73" t="s">
        <v>296</v>
      </c>
      <c r="AI36" s="73" t="s">
        <v>296</v>
      </c>
      <c r="AJ36" s="73" t="s">
        <v>289</v>
      </c>
      <c r="AK36" s="73" t="s">
        <v>296</v>
      </c>
      <c r="AL36" s="73"/>
      <c r="AM36" s="73"/>
      <c r="AN36" s="73"/>
      <c r="AO36" s="73"/>
    </row>
    <row r="37" spans="1:41" ht="21" customHeight="1" x14ac:dyDescent="0.25">
      <c r="A37">
        <v>37</v>
      </c>
      <c r="B37" s="73" t="s">
        <v>289</v>
      </c>
      <c r="C37" s="73" t="s">
        <v>289</v>
      </c>
      <c r="D37" s="73" t="s">
        <v>289</v>
      </c>
      <c r="E37" s="73" t="s">
        <v>289</v>
      </c>
      <c r="F37" s="73" t="s">
        <v>296</v>
      </c>
      <c r="G37" s="73" t="s">
        <v>296</v>
      </c>
      <c r="H37" s="73" t="s">
        <v>296</v>
      </c>
      <c r="I37" s="73" t="s">
        <v>289</v>
      </c>
      <c r="J37" s="73" t="s">
        <v>289</v>
      </c>
      <c r="K37" s="73" t="s">
        <v>289</v>
      </c>
      <c r="L37" s="73" t="s">
        <v>289</v>
      </c>
      <c r="M37" s="73" t="s">
        <v>296</v>
      </c>
      <c r="N37" s="73" t="s">
        <v>296</v>
      </c>
      <c r="O37" s="73" t="s">
        <v>296</v>
      </c>
      <c r="P37" s="73" t="s">
        <v>296</v>
      </c>
      <c r="Q37" s="73" t="s">
        <v>296</v>
      </c>
      <c r="R37" s="73" t="s">
        <v>296</v>
      </c>
      <c r="S37" s="73" t="s">
        <v>296</v>
      </c>
      <c r="T37" s="73" t="s">
        <v>296</v>
      </c>
      <c r="U37" s="73" t="s">
        <v>296</v>
      </c>
      <c r="V37" s="73" t="s">
        <v>289</v>
      </c>
      <c r="W37" s="73" t="s">
        <v>289</v>
      </c>
      <c r="X37" s="73" t="s">
        <v>296</v>
      </c>
      <c r="Y37" s="73" t="s">
        <v>289</v>
      </c>
      <c r="Z37" s="73" t="s">
        <v>289</v>
      </c>
      <c r="AA37" s="73" t="s">
        <v>289</v>
      </c>
      <c r="AB37" s="73" t="s">
        <v>289</v>
      </c>
      <c r="AC37" s="73" t="s">
        <v>289</v>
      </c>
      <c r="AD37" s="73" t="s">
        <v>289</v>
      </c>
      <c r="AE37" s="73" t="s">
        <v>296</v>
      </c>
      <c r="AF37" s="73" t="s">
        <v>296</v>
      </c>
      <c r="AG37" s="73" t="s">
        <v>296</v>
      </c>
      <c r="AH37" s="73" t="s">
        <v>296</v>
      </c>
      <c r="AI37" s="73" t="s">
        <v>296</v>
      </c>
      <c r="AJ37" s="73" t="s">
        <v>289</v>
      </c>
      <c r="AK37" s="73" t="s">
        <v>289</v>
      </c>
      <c r="AL37" s="73" t="s">
        <v>296</v>
      </c>
      <c r="AM37" s="73"/>
      <c r="AN37" s="73"/>
      <c r="AO37" s="73"/>
    </row>
    <row r="38" spans="1:41" ht="21" customHeight="1" x14ac:dyDescent="0.25">
      <c r="A38">
        <v>38</v>
      </c>
      <c r="B38" s="73" t="s">
        <v>289</v>
      </c>
      <c r="C38" s="73" t="s">
        <v>296</v>
      </c>
      <c r="D38" s="73" t="s">
        <v>296</v>
      </c>
      <c r="E38" s="73" t="s">
        <v>296</v>
      </c>
      <c r="F38" s="73" t="s">
        <v>289</v>
      </c>
      <c r="G38" s="73" t="s">
        <v>289</v>
      </c>
      <c r="H38" s="73" t="s">
        <v>296</v>
      </c>
      <c r="I38" s="73" t="s">
        <v>289</v>
      </c>
      <c r="J38" s="73" t="s">
        <v>289</v>
      </c>
      <c r="K38" s="73" t="s">
        <v>296</v>
      </c>
      <c r="L38" s="73" t="s">
        <v>289</v>
      </c>
      <c r="M38" s="73" t="s">
        <v>296</v>
      </c>
      <c r="N38" s="73" t="s">
        <v>296</v>
      </c>
      <c r="O38" s="73" t="s">
        <v>289</v>
      </c>
      <c r="P38" s="73" t="s">
        <v>289</v>
      </c>
      <c r="Q38" s="73" t="s">
        <v>296</v>
      </c>
      <c r="R38" s="73" t="s">
        <v>296</v>
      </c>
      <c r="S38" s="73" t="s">
        <v>290</v>
      </c>
      <c r="T38" s="73" t="s">
        <v>289</v>
      </c>
      <c r="U38" s="73" t="s">
        <v>289</v>
      </c>
      <c r="V38" s="73" t="s">
        <v>289</v>
      </c>
      <c r="W38" s="73" t="s">
        <v>296</v>
      </c>
      <c r="X38" s="73" t="s">
        <v>289</v>
      </c>
      <c r="Y38" s="73" t="s">
        <v>290</v>
      </c>
      <c r="Z38" s="73" t="s">
        <v>296</v>
      </c>
      <c r="AA38" s="73" t="s">
        <v>296</v>
      </c>
      <c r="AB38" s="73" t="s">
        <v>296</v>
      </c>
      <c r="AC38" s="73" t="s">
        <v>290</v>
      </c>
      <c r="AD38" s="73" t="s">
        <v>296</v>
      </c>
      <c r="AE38" s="73" t="s">
        <v>296</v>
      </c>
      <c r="AF38" s="73" t="s">
        <v>296</v>
      </c>
      <c r="AG38" s="73" t="s">
        <v>296</v>
      </c>
      <c r="AH38" s="73" t="s">
        <v>296</v>
      </c>
      <c r="AI38" s="73" t="s">
        <v>296</v>
      </c>
      <c r="AJ38" s="73" t="s">
        <v>290</v>
      </c>
      <c r="AK38" s="73" t="s">
        <v>290</v>
      </c>
      <c r="AL38" s="73" t="s">
        <v>290</v>
      </c>
      <c r="AM38" s="73" t="s">
        <v>296</v>
      </c>
      <c r="AN38" s="73"/>
      <c r="AO38" s="73"/>
    </row>
    <row r="39" spans="1:41" ht="21" customHeight="1" x14ac:dyDescent="0.25">
      <c r="A39">
        <v>39</v>
      </c>
      <c r="B39" s="73" t="s">
        <v>289</v>
      </c>
      <c r="C39" s="73" t="s">
        <v>296</v>
      </c>
      <c r="D39" s="73" t="s">
        <v>296</v>
      </c>
      <c r="E39" s="73" t="s">
        <v>296</v>
      </c>
      <c r="F39" s="73" t="s">
        <v>289</v>
      </c>
      <c r="G39" s="73" t="s">
        <v>289</v>
      </c>
      <c r="H39" s="73" t="s">
        <v>296</v>
      </c>
      <c r="I39" s="73" t="s">
        <v>289</v>
      </c>
      <c r="J39" s="73" t="s">
        <v>289</v>
      </c>
      <c r="K39" s="73" t="s">
        <v>296</v>
      </c>
      <c r="L39" s="73" t="s">
        <v>289</v>
      </c>
      <c r="M39" s="73" t="s">
        <v>296</v>
      </c>
      <c r="N39" s="73" t="s">
        <v>296</v>
      </c>
      <c r="O39" s="73" t="s">
        <v>289</v>
      </c>
      <c r="P39" s="73" t="s">
        <v>289</v>
      </c>
      <c r="Q39" s="73" t="s">
        <v>296</v>
      </c>
      <c r="R39" s="73" t="s">
        <v>296</v>
      </c>
      <c r="S39" s="73" t="s">
        <v>290</v>
      </c>
      <c r="T39" s="73" t="s">
        <v>289</v>
      </c>
      <c r="U39" s="73" t="s">
        <v>289</v>
      </c>
      <c r="V39" s="73" t="s">
        <v>289</v>
      </c>
      <c r="W39" s="73" t="s">
        <v>296</v>
      </c>
      <c r="X39" s="73" t="s">
        <v>289</v>
      </c>
      <c r="Y39" s="73" t="s">
        <v>290</v>
      </c>
      <c r="Z39" s="73" t="s">
        <v>296</v>
      </c>
      <c r="AA39" s="73" t="s">
        <v>296</v>
      </c>
      <c r="AB39" s="73" t="s">
        <v>296</v>
      </c>
      <c r="AC39" s="73" t="s">
        <v>290</v>
      </c>
      <c r="AD39" s="73" t="s">
        <v>296</v>
      </c>
      <c r="AE39" s="73" t="s">
        <v>296</v>
      </c>
      <c r="AF39" s="73" t="s">
        <v>296</v>
      </c>
      <c r="AG39" s="73" t="s">
        <v>296</v>
      </c>
      <c r="AH39" s="73" t="s">
        <v>296</v>
      </c>
      <c r="AI39" s="73" t="s">
        <v>296</v>
      </c>
      <c r="AJ39" s="73" t="s">
        <v>290</v>
      </c>
      <c r="AK39" s="73" t="s">
        <v>290</v>
      </c>
      <c r="AL39" s="73" t="s">
        <v>290</v>
      </c>
      <c r="AM39" s="73" t="s">
        <v>289</v>
      </c>
      <c r="AN39" s="73" t="s">
        <v>296</v>
      </c>
      <c r="AO39" s="73"/>
    </row>
    <row r="40" spans="1:41" ht="21" customHeight="1" x14ac:dyDescent="0.25">
      <c r="A40">
        <v>40</v>
      </c>
      <c r="B40" s="73" t="s">
        <v>296</v>
      </c>
      <c r="C40" s="73" t="s">
        <v>296</v>
      </c>
      <c r="D40" s="73" t="s">
        <v>296</v>
      </c>
      <c r="E40" s="73" t="s">
        <v>296</v>
      </c>
      <c r="F40" s="73" t="s">
        <v>296</v>
      </c>
      <c r="G40" s="73" t="s">
        <v>296</v>
      </c>
      <c r="H40" s="73" t="s">
        <v>296</v>
      </c>
      <c r="I40" s="73" t="s">
        <v>296</v>
      </c>
      <c r="J40" s="73" t="s">
        <v>296</v>
      </c>
      <c r="K40" s="73" t="s">
        <v>296</v>
      </c>
      <c r="L40" s="73" t="s">
        <v>296</v>
      </c>
      <c r="M40" s="73" t="s">
        <v>296</v>
      </c>
      <c r="N40" s="73" t="s">
        <v>296</v>
      </c>
      <c r="O40" s="73" t="s">
        <v>296</v>
      </c>
      <c r="P40" s="73" t="s">
        <v>296</v>
      </c>
      <c r="Q40" s="73" t="s">
        <v>296</v>
      </c>
      <c r="R40" s="73" t="s">
        <v>296</v>
      </c>
      <c r="S40" s="73" t="s">
        <v>296</v>
      </c>
      <c r="T40" s="73" t="s">
        <v>289</v>
      </c>
      <c r="U40" s="73" t="s">
        <v>289</v>
      </c>
      <c r="V40" s="73" t="s">
        <v>289</v>
      </c>
      <c r="W40" s="73" t="s">
        <v>296</v>
      </c>
      <c r="X40" s="73" t="s">
        <v>289</v>
      </c>
      <c r="Y40" s="73" t="s">
        <v>296</v>
      </c>
      <c r="Z40" s="73" t="s">
        <v>296</v>
      </c>
      <c r="AA40" s="73" t="s">
        <v>296</v>
      </c>
      <c r="AB40" s="73" t="s">
        <v>296</v>
      </c>
      <c r="AC40" s="73" t="s">
        <v>296</v>
      </c>
      <c r="AD40" s="73" t="s">
        <v>296</v>
      </c>
      <c r="AE40" s="73" t="s">
        <v>296</v>
      </c>
      <c r="AF40" s="73" t="s">
        <v>296</v>
      </c>
      <c r="AG40" s="73" t="s">
        <v>289</v>
      </c>
      <c r="AH40" s="73" t="s">
        <v>289</v>
      </c>
      <c r="AI40" s="73" t="s">
        <v>289</v>
      </c>
      <c r="AJ40" s="73" t="s">
        <v>296</v>
      </c>
      <c r="AK40" s="73" t="s">
        <v>289</v>
      </c>
      <c r="AL40" s="73" t="s">
        <v>289</v>
      </c>
      <c r="AM40" s="73" t="s">
        <v>289</v>
      </c>
      <c r="AN40" s="73" t="s">
        <v>289</v>
      </c>
      <c r="AO40" s="73" t="s">
        <v>296</v>
      </c>
    </row>
    <row r="41" spans="1:41" ht="21" customHeight="1" x14ac:dyDescent="0.25">
      <c r="A41" t="s">
        <v>514</v>
      </c>
      <c r="B41">
        <v>1</v>
      </c>
      <c r="C41">
        <v>2</v>
      </c>
      <c r="D41">
        <v>3</v>
      </c>
      <c r="E41">
        <v>4</v>
      </c>
      <c r="F41">
        <v>5</v>
      </c>
      <c r="G41">
        <v>6</v>
      </c>
      <c r="H41">
        <v>7</v>
      </c>
      <c r="I41">
        <v>8</v>
      </c>
      <c r="J41">
        <v>9</v>
      </c>
      <c r="K41">
        <v>10</v>
      </c>
      <c r="L41">
        <v>11</v>
      </c>
      <c r="M41">
        <v>12</v>
      </c>
      <c r="N41">
        <v>13</v>
      </c>
      <c r="O41">
        <v>14</v>
      </c>
      <c r="P41">
        <v>15</v>
      </c>
      <c r="Q41">
        <v>16</v>
      </c>
      <c r="R41">
        <v>17</v>
      </c>
      <c r="S41">
        <v>18</v>
      </c>
      <c r="T41">
        <v>19</v>
      </c>
      <c r="U41">
        <v>20</v>
      </c>
      <c r="V41">
        <v>21</v>
      </c>
      <c r="W41">
        <v>22</v>
      </c>
      <c r="X41">
        <v>23</v>
      </c>
      <c r="Y41">
        <v>24</v>
      </c>
      <c r="Z41">
        <v>25</v>
      </c>
      <c r="AA41">
        <v>26</v>
      </c>
      <c r="AB41">
        <v>27</v>
      </c>
      <c r="AC41">
        <v>28</v>
      </c>
      <c r="AD41">
        <v>29</v>
      </c>
      <c r="AE41">
        <v>30</v>
      </c>
      <c r="AF41">
        <v>31</v>
      </c>
      <c r="AG41">
        <v>32</v>
      </c>
      <c r="AH41">
        <v>33</v>
      </c>
      <c r="AI41">
        <v>34</v>
      </c>
      <c r="AJ41">
        <v>35</v>
      </c>
      <c r="AK41">
        <v>36</v>
      </c>
      <c r="AL41">
        <v>37</v>
      </c>
      <c r="AM41">
        <v>38</v>
      </c>
      <c r="AN41">
        <v>39</v>
      </c>
      <c r="AO41">
        <v>40</v>
      </c>
    </row>
  </sheetData>
  <conditionalFormatting sqref="A1:AO20 B21:AO39 A21:A40">
    <cfRule type="cellIs" dxfId="7" priority="4" operator="equal">
      <formula>"""-"""</formula>
    </cfRule>
  </conditionalFormatting>
  <conditionalFormatting sqref="A1:AO41 B42:AO42 A42:A43">
    <cfRule type="containsText" dxfId="6" priority="3" operator="containsText" text="&quot;-&quot;">
      <formula>NOT(ISERROR(SEARCH("""-""",A1)))</formula>
    </cfRule>
  </conditionalFormatting>
  <conditionalFormatting sqref="A41:AO41">
    <cfRule type="cellIs" dxfId="5" priority="2" operator="equal">
      <formula>"""-"""</formula>
    </cfRule>
  </conditionalFormatting>
  <conditionalFormatting sqref="A1:XFD1048576">
    <cfRule type="cellIs" dxfId="4" priority="1" operator="equal">
      <formula>"""-"""</formula>
    </cfRule>
  </conditionalFormatting>
  <conditionalFormatting sqref="B1:AO39">
    <cfRule type="cellIs" dxfId="3" priority="5" operator="equal">
      <formula>"'-'"</formula>
    </cfRule>
    <cfRule type="cellIs" dxfId="2" priority="6" operator="equal">
      <formula>"'--'"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39FAC-2A33-4ADF-950B-558DE189F078}">
  <dimension ref="A1:AO34"/>
  <sheetViews>
    <sheetView zoomScale="85" zoomScaleNormal="85" workbookViewId="0">
      <pane xSplit="3" ySplit="1" topLeftCell="D6" activePane="bottomRight" state="frozen"/>
      <selection pane="topRight" activeCell="C1" sqref="C1"/>
      <selection pane="bottomLeft" activeCell="A2" sqref="A2"/>
      <selection pane="bottomRight" sqref="A1:C29"/>
    </sheetView>
  </sheetViews>
  <sheetFormatPr defaultColWidth="9.140625" defaultRowHeight="15" x14ac:dyDescent="0.25"/>
  <cols>
    <col min="2" max="2" width="77.85546875" customWidth="1"/>
    <col min="3" max="3" width="8.7109375" customWidth="1"/>
    <col min="4" max="4" width="9.140625" customWidth="1"/>
    <col min="5" max="5" width="5.28515625" bestFit="1" customWidth="1"/>
    <col min="6" max="6" width="40" bestFit="1" customWidth="1"/>
    <col min="7" max="7" width="11.85546875" bestFit="1" customWidth="1"/>
    <col min="8" max="8" width="10" bestFit="1" customWidth="1"/>
    <col min="9" max="9" width="12" bestFit="1" customWidth="1"/>
    <col min="10" max="10" width="46.85546875" bestFit="1" customWidth="1"/>
    <col min="11" max="11" width="21.42578125" bestFit="1" customWidth="1"/>
    <col min="12" max="12" width="11.42578125" bestFit="1" customWidth="1"/>
    <col min="13" max="13" width="5.28515625" bestFit="1" customWidth="1"/>
    <col min="14" max="14" width="47.42578125" bestFit="1" customWidth="1"/>
    <col min="15" max="15" width="15.28515625" bestFit="1" customWidth="1"/>
    <col min="16" max="16" width="10.140625" bestFit="1" customWidth="1"/>
    <col min="17" max="17" width="5.28515625" bestFit="1" customWidth="1"/>
    <col min="18" max="18" width="46.42578125" bestFit="1" customWidth="1"/>
    <col min="19" max="19" width="24.42578125" bestFit="1" customWidth="1"/>
  </cols>
  <sheetData>
    <row r="1" spans="1:41" ht="15.75" thickBot="1" x14ac:dyDescent="0.3">
      <c r="A1" s="113" t="s">
        <v>178</v>
      </c>
      <c r="B1" s="113"/>
      <c r="C1" t="s">
        <v>179</v>
      </c>
      <c r="D1" s="2" t="s">
        <v>0</v>
      </c>
      <c r="E1" t="s">
        <v>45</v>
      </c>
      <c r="F1" t="s">
        <v>2</v>
      </c>
      <c r="G1" t="s">
        <v>3</v>
      </c>
      <c r="H1" s="8" t="s">
        <v>0</v>
      </c>
      <c r="I1" t="s">
        <v>45</v>
      </c>
      <c r="J1" t="s">
        <v>2</v>
      </c>
      <c r="K1" t="s">
        <v>3</v>
      </c>
      <c r="L1" s="9" t="s">
        <v>0</v>
      </c>
      <c r="M1" t="s">
        <v>45</v>
      </c>
      <c r="N1" t="s">
        <v>2</v>
      </c>
      <c r="O1" t="s">
        <v>3</v>
      </c>
      <c r="P1" s="10" t="s">
        <v>0</v>
      </c>
      <c r="Q1" t="s">
        <v>45</v>
      </c>
      <c r="R1" t="s">
        <v>2</v>
      </c>
      <c r="S1" t="s">
        <v>3</v>
      </c>
      <c r="AO1" s="3"/>
    </row>
    <row r="2" spans="1:41" s="4" customFormat="1" x14ac:dyDescent="0.25">
      <c r="A2" s="1" t="s">
        <v>4</v>
      </c>
      <c r="B2" s="1" t="s">
        <v>34</v>
      </c>
    </row>
    <row r="3" spans="1:41" ht="30" x14ac:dyDescent="0.25">
      <c r="A3">
        <v>1</v>
      </c>
      <c r="B3" s="5" t="s">
        <v>13</v>
      </c>
      <c r="C3" s="17">
        <f>AVERAGE(E3,I3,M3,Q3)</f>
        <v>4</v>
      </c>
      <c r="D3" s="2" t="s">
        <v>41</v>
      </c>
      <c r="E3">
        <v>5</v>
      </c>
      <c r="F3" t="s">
        <v>108</v>
      </c>
      <c r="G3" s="6" t="s">
        <v>48</v>
      </c>
      <c r="H3" s="8" t="s">
        <v>42</v>
      </c>
      <c r="I3">
        <v>5</v>
      </c>
      <c r="J3" t="s">
        <v>49</v>
      </c>
      <c r="K3" t="s">
        <v>50</v>
      </c>
      <c r="L3" s="9" t="s">
        <v>43</v>
      </c>
      <c r="M3">
        <v>3</v>
      </c>
      <c r="N3" t="s">
        <v>51</v>
      </c>
      <c r="O3" t="s">
        <v>52</v>
      </c>
      <c r="P3" s="10" t="s">
        <v>44</v>
      </c>
      <c r="Q3">
        <v>3</v>
      </c>
      <c r="R3" t="s">
        <v>53</v>
      </c>
      <c r="S3" t="s">
        <v>64</v>
      </c>
    </row>
    <row r="4" spans="1:41" ht="30" x14ac:dyDescent="0.25">
      <c r="A4">
        <v>2</v>
      </c>
      <c r="B4" s="5" t="s">
        <v>14</v>
      </c>
      <c r="C4" s="17">
        <f t="shared" ref="C4:C9" si="0">AVERAGE(E4,I4,M4,Q4)</f>
        <v>3.25</v>
      </c>
      <c r="D4" s="2" t="s">
        <v>41</v>
      </c>
      <c r="E4">
        <v>2</v>
      </c>
      <c r="F4" t="s">
        <v>54</v>
      </c>
      <c r="G4" s="6" t="s">
        <v>55</v>
      </c>
      <c r="H4" s="8" t="s">
        <v>42</v>
      </c>
      <c r="I4">
        <v>3</v>
      </c>
      <c r="J4" t="s">
        <v>58</v>
      </c>
      <c r="K4" t="s">
        <v>50</v>
      </c>
      <c r="L4" s="9" t="s">
        <v>43</v>
      </c>
      <c r="M4">
        <v>3</v>
      </c>
      <c r="N4" t="s">
        <v>61</v>
      </c>
      <c r="O4" t="s">
        <v>60</v>
      </c>
      <c r="P4" s="10" t="s">
        <v>44</v>
      </c>
      <c r="Q4">
        <v>5</v>
      </c>
      <c r="R4" t="s">
        <v>65</v>
      </c>
      <c r="S4" t="s">
        <v>55</v>
      </c>
    </row>
    <row r="5" spans="1:41" x14ac:dyDescent="0.25">
      <c r="A5">
        <v>3</v>
      </c>
      <c r="B5" s="5" t="s">
        <v>15</v>
      </c>
      <c r="C5" s="17">
        <f t="shared" si="0"/>
        <v>4</v>
      </c>
      <c r="D5" s="2" t="s">
        <v>41</v>
      </c>
      <c r="E5">
        <v>5</v>
      </c>
      <c r="F5" t="s">
        <v>56</v>
      </c>
      <c r="G5" s="6" t="s">
        <v>57</v>
      </c>
      <c r="H5" s="8" t="s">
        <v>42</v>
      </c>
      <c r="I5">
        <v>2</v>
      </c>
      <c r="J5" t="s">
        <v>59</v>
      </c>
      <c r="K5" t="s">
        <v>60</v>
      </c>
      <c r="L5" s="9" t="s">
        <v>43</v>
      </c>
      <c r="M5">
        <v>5</v>
      </c>
      <c r="N5" t="s">
        <v>62</v>
      </c>
      <c r="O5" t="s">
        <v>63</v>
      </c>
      <c r="P5" s="10" t="s">
        <v>44</v>
      </c>
      <c r="Q5">
        <v>4</v>
      </c>
      <c r="R5" t="s">
        <v>66</v>
      </c>
      <c r="S5" t="s">
        <v>67</v>
      </c>
    </row>
    <row r="6" spans="1:41" s="4" customFormat="1" x14ac:dyDescent="0.25">
      <c r="A6" s="1" t="s">
        <v>4</v>
      </c>
      <c r="B6" s="1" t="s">
        <v>35</v>
      </c>
      <c r="D6" s="4" t="s">
        <v>5</v>
      </c>
    </row>
    <row r="7" spans="1:41" x14ac:dyDescent="0.25">
      <c r="A7">
        <v>4</v>
      </c>
      <c r="B7" s="5" t="s">
        <v>16</v>
      </c>
      <c r="C7" s="17">
        <f t="shared" si="0"/>
        <v>3.75</v>
      </c>
      <c r="D7" s="2" t="s">
        <v>41</v>
      </c>
      <c r="E7">
        <v>5</v>
      </c>
      <c r="F7" t="s">
        <v>68</v>
      </c>
      <c r="G7" s="6" t="s">
        <v>71</v>
      </c>
      <c r="H7" s="8" t="s">
        <v>42</v>
      </c>
      <c r="I7">
        <v>3</v>
      </c>
      <c r="J7" t="s">
        <v>73</v>
      </c>
      <c r="K7" t="s">
        <v>71</v>
      </c>
      <c r="L7" s="9" t="s">
        <v>43</v>
      </c>
      <c r="M7">
        <v>4</v>
      </c>
      <c r="N7" t="s">
        <v>78</v>
      </c>
      <c r="O7" t="s">
        <v>71</v>
      </c>
      <c r="P7" s="10" t="s">
        <v>44</v>
      </c>
      <c r="Q7">
        <v>3</v>
      </c>
      <c r="R7" t="s">
        <v>83</v>
      </c>
      <c r="S7" t="s">
        <v>86</v>
      </c>
    </row>
    <row r="8" spans="1:41" x14ac:dyDescent="0.25">
      <c r="A8">
        <v>5</v>
      </c>
      <c r="B8" s="5" t="s">
        <v>17</v>
      </c>
      <c r="C8" s="17">
        <f t="shared" si="0"/>
        <v>3</v>
      </c>
      <c r="D8" s="2" t="s">
        <v>41</v>
      </c>
      <c r="E8">
        <v>5</v>
      </c>
      <c r="F8" t="s">
        <v>69</v>
      </c>
      <c r="G8" s="6" t="s">
        <v>64</v>
      </c>
      <c r="H8" s="8" t="s">
        <v>42</v>
      </c>
      <c r="I8">
        <v>1</v>
      </c>
      <c r="J8" t="s">
        <v>74</v>
      </c>
      <c r="K8" t="s">
        <v>76</v>
      </c>
      <c r="L8" s="9" t="s">
        <v>43</v>
      </c>
      <c r="M8">
        <v>2</v>
      </c>
      <c r="N8" t="s">
        <v>79</v>
      </c>
      <c r="O8" t="s">
        <v>81</v>
      </c>
      <c r="P8" s="10" t="s">
        <v>44</v>
      </c>
      <c r="Q8">
        <v>4</v>
      </c>
      <c r="R8" t="s">
        <v>84</v>
      </c>
      <c r="S8" t="s">
        <v>87</v>
      </c>
    </row>
    <row r="9" spans="1:41" x14ac:dyDescent="0.25">
      <c r="A9">
        <v>6</v>
      </c>
      <c r="B9" s="5" t="s">
        <v>18</v>
      </c>
      <c r="C9" s="17">
        <f t="shared" si="0"/>
        <v>3.25</v>
      </c>
      <c r="D9" s="2" t="s">
        <v>41</v>
      </c>
      <c r="E9">
        <v>2</v>
      </c>
      <c r="F9" t="s">
        <v>70</v>
      </c>
      <c r="G9" s="6" t="s">
        <v>72</v>
      </c>
      <c r="H9" s="8" t="s">
        <v>42</v>
      </c>
      <c r="I9">
        <v>4</v>
      </c>
      <c r="J9" t="s">
        <v>75</v>
      </c>
      <c r="K9" t="s">
        <v>77</v>
      </c>
      <c r="L9" s="9" t="s">
        <v>43</v>
      </c>
      <c r="M9">
        <v>3</v>
      </c>
      <c r="N9" t="s">
        <v>80</v>
      </c>
      <c r="O9" t="s">
        <v>82</v>
      </c>
      <c r="P9" s="10" t="s">
        <v>44</v>
      </c>
      <c r="Q9">
        <v>4</v>
      </c>
      <c r="R9" t="s">
        <v>85</v>
      </c>
      <c r="S9" t="s">
        <v>88</v>
      </c>
    </row>
    <row r="10" spans="1:41" s="4" customFormat="1" x14ac:dyDescent="0.25">
      <c r="A10" s="1" t="s">
        <v>4</v>
      </c>
      <c r="B10" s="1" t="s">
        <v>36</v>
      </c>
      <c r="D10" s="4" t="s">
        <v>6</v>
      </c>
    </row>
    <row r="11" spans="1:41" x14ac:dyDescent="0.25">
      <c r="A11">
        <v>7</v>
      </c>
      <c r="B11" s="5" t="s">
        <v>19</v>
      </c>
      <c r="C11" s="17">
        <f t="shared" ref="C11:C13" si="1">AVERAGE(E11,I11,M11,Q11)</f>
        <v>3.5</v>
      </c>
      <c r="D11" s="2" t="s">
        <v>41</v>
      </c>
      <c r="E11">
        <v>5</v>
      </c>
      <c r="F11" t="s">
        <v>89</v>
      </c>
      <c r="G11" s="6" t="s">
        <v>92</v>
      </c>
      <c r="H11" s="8" t="s">
        <v>42</v>
      </c>
      <c r="I11">
        <v>3</v>
      </c>
      <c r="J11" t="s">
        <v>95</v>
      </c>
      <c r="K11" t="s">
        <v>98</v>
      </c>
      <c r="L11" s="9" t="s">
        <v>43</v>
      </c>
      <c r="M11">
        <v>3</v>
      </c>
      <c r="N11" t="s">
        <v>100</v>
      </c>
      <c r="O11" t="s">
        <v>103</v>
      </c>
      <c r="P11" s="10" t="s">
        <v>44</v>
      </c>
      <c r="Q11">
        <v>3</v>
      </c>
      <c r="R11" t="s">
        <v>104</v>
      </c>
      <c r="S11" t="s">
        <v>60</v>
      </c>
    </row>
    <row r="12" spans="1:41" ht="30" x14ac:dyDescent="0.25">
      <c r="A12">
        <v>8</v>
      </c>
      <c r="B12" s="5" t="s">
        <v>20</v>
      </c>
      <c r="C12" s="17">
        <f t="shared" si="1"/>
        <v>1.5</v>
      </c>
      <c r="D12" s="2" t="s">
        <v>41</v>
      </c>
      <c r="E12">
        <v>1</v>
      </c>
      <c r="F12" t="s">
        <v>90</v>
      </c>
      <c r="G12" s="6" t="s">
        <v>93</v>
      </c>
      <c r="H12" s="8" t="s">
        <v>42</v>
      </c>
      <c r="I12">
        <v>2</v>
      </c>
      <c r="J12" t="s">
        <v>96</v>
      </c>
      <c r="K12" t="s">
        <v>48</v>
      </c>
      <c r="L12" s="9" t="s">
        <v>43</v>
      </c>
      <c r="M12">
        <v>1</v>
      </c>
      <c r="N12" t="s">
        <v>101</v>
      </c>
      <c r="O12" t="s">
        <v>103</v>
      </c>
      <c r="P12" s="10" t="s">
        <v>44</v>
      </c>
      <c r="Q12">
        <v>2</v>
      </c>
      <c r="R12" t="s">
        <v>105</v>
      </c>
      <c r="S12" t="s">
        <v>107</v>
      </c>
    </row>
    <row r="13" spans="1:41" x14ac:dyDescent="0.25">
      <c r="A13">
        <v>9</v>
      </c>
      <c r="B13" s="5" t="s">
        <v>21</v>
      </c>
      <c r="C13" s="17">
        <f t="shared" si="1"/>
        <v>2</v>
      </c>
      <c r="D13" s="2" t="s">
        <v>41</v>
      </c>
      <c r="E13">
        <v>1</v>
      </c>
      <c r="F13" t="s">
        <v>91</v>
      </c>
      <c r="G13" s="6" t="s">
        <v>94</v>
      </c>
      <c r="H13" s="8" t="s">
        <v>42</v>
      </c>
      <c r="I13">
        <v>2</v>
      </c>
      <c r="J13" t="s">
        <v>97</v>
      </c>
      <c r="K13" t="s">
        <v>99</v>
      </c>
      <c r="L13" s="9" t="s">
        <v>43</v>
      </c>
      <c r="M13">
        <v>2</v>
      </c>
      <c r="N13" t="s">
        <v>102</v>
      </c>
      <c r="O13" t="s">
        <v>93</v>
      </c>
      <c r="P13" s="10" t="s">
        <v>44</v>
      </c>
      <c r="Q13">
        <v>3</v>
      </c>
      <c r="R13" t="s">
        <v>106</v>
      </c>
      <c r="S13" t="s">
        <v>55</v>
      </c>
    </row>
    <row r="14" spans="1:41" s="4" customFormat="1" x14ac:dyDescent="0.25">
      <c r="A14" s="1" t="s">
        <v>4</v>
      </c>
      <c r="B14" s="1" t="s">
        <v>37</v>
      </c>
    </row>
    <row r="15" spans="1:41" x14ac:dyDescent="0.25">
      <c r="A15">
        <v>10</v>
      </c>
      <c r="B15" s="5" t="s">
        <v>22</v>
      </c>
      <c r="C15" s="17">
        <f t="shared" ref="C15:C17" si="2">AVERAGE(E15,I15,M15,Q15)</f>
        <v>3.75</v>
      </c>
      <c r="D15" s="2" t="s">
        <v>41</v>
      </c>
      <c r="E15">
        <v>3</v>
      </c>
      <c r="F15" t="s">
        <v>109</v>
      </c>
      <c r="G15" s="6" t="s">
        <v>112</v>
      </c>
      <c r="H15" s="8" t="s">
        <v>42</v>
      </c>
      <c r="I15">
        <v>3</v>
      </c>
      <c r="J15" t="s">
        <v>114</v>
      </c>
      <c r="K15" t="s">
        <v>117</v>
      </c>
      <c r="L15" s="9" t="s">
        <v>43</v>
      </c>
      <c r="M15">
        <v>4</v>
      </c>
      <c r="N15" t="s">
        <v>120</v>
      </c>
      <c r="O15" t="s">
        <v>123</v>
      </c>
      <c r="P15" s="10" t="s">
        <v>44</v>
      </c>
      <c r="Q15">
        <v>5</v>
      </c>
      <c r="R15" t="s">
        <v>124</v>
      </c>
      <c r="S15" t="s">
        <v>7</v>
      </c>
    </row>
    <row r="16" spans="1:41" ht="30" x14ac:dyDescent="0.25">
      <c r="A16">
        <v>11</v>
      </c>
      <c r="B16" s="5" t="s">
        <v>23</v>
      </c>
      <c r="C16" s="17">
        <f t="shared" si="2"/>
        <v>3.25</v>
      </c>
      <c r="D16" s="2" t="s">
        <v>41</v>
      </c>
      <c r="E16">
        <v>2</v>
      </c>
      <c r="F16" t="s">
        <v>110</v>
      </c>
      <c r="G16" s="6" t="s">
        <v>113</v>
      </c>
      <c r="H16" s="8" t="s">
        <v>42</v>
      </c>
      <c r="I16">
        <v>4</v>
      </c>
      <c r="J16" t="s">
        <v>115</v>
      </c>
      <c r="K16" t="s">
        <v>118</v>
      </c>
      <c r="L16" s="9" t="s">
        <v>43</v>
      </c>
      <c r="M16">
        <v>3</v>
      </c>
      <c r="N16" t="s">
        <v>121</v>
      </c>
      <c r="O16" t="s">
        <v>60</v>
      </c>
      <c r="P16" s="10" t="s">
        <v>44</v>
      </c>
      <c r="Q16">
        <v>4</v>
      </c>
      <c r="R16" t="s">
        <v>126</v>
      </c>
      <c r="S16" t="s">
        <v>8</v>
      </c>
    </row>
    <row r="17" spans="1:19" x14ac:dyDescent="0.25">
      <c r="A17">
        <v>12</v>
      </c>
      <c r="B17" s="5" t="s">
        <v>24</v>
      </c>
      <c r="C17" s="17">
        <f t="shared" si="2"/>
        <v>3.25</v>
      </c>
      <c r="D17" s="2" t="s">
        <v>41</v>
      </c>
      <c r="E17">
        <v>1</v>
      </c>
      <c r="F17" t="s">
        <v>111</v>
      </c>
      <c r="G17" s="6" t="s">
        <v>10</v>
      </c>
      <c r="H17" s="8" t="s">
        <v>42</v>
      </c>
      <c r="I17">
        <v>5</v>
      </c>
      <c r="J17" t="s">
        <v>116</v>
      </c>
      <c r="K17" t="s">
        <v>119</v>
      </c>
      <c r="L17" s="9" t="s">
        <v>43</v>
      </c>
      <c r="M17">
        <v>3</v>
      </c>
      <c r="N17" t="s">
        <v>122</v>
      </c>
      <c r="O17" t="s">
        <v>55</v>
      </c>
      <c r="P17" s="10" t="s">
        <v>44</v>
      </c>
      <c r="Q17">
        <v>4</v>
      </c>
      <c r="R17" t="s">
        <v>125</v>
      </c>
      <c r="S17" t="s">
        <v>60</v>
      </c>
    </row>
    <row r="18" spans="1:19" s="4" customFormat="1" x14ac:dyDescent="0.25">
      <c r="A18" s="1" t="s">
        <v>4</v>
      </c>
      <c r="B18" s="1" t="s">
        <v>40</v>
      </c>
    </row>
    <row r="19" spans="1:19" ht="30" x14ac:dyDescent="0.25">
      <c r="A19">
        <v>13</v>
      </c>
      <c r="B19" s="5" t="s">
        <v>25</v>
      </c>
      <c r="C19" s="17">
        <f t="shared" ref="C19:C21" si="3">AVERAGE(E19,I19,M19,Q19)</f>
        <v>3.25</v>
      </c>
      <c r="D19" s="2" t="s">
        <v>41</v>
      </c>
      <c r="E19">
        <v>1</v>
      </c>
      <c r="F19" t="s">
        <v>127</v>
      </c>
      <c r="G19" t="s">
        <v>148</v>
      </c>
      <c r="H19" s="8" t="s">
        <v>42</v>
      </c>
      <c r="I19">
        <v>3</v>
      </c>
      <c r="J19" t="s">
        <v>130</v>
      </c>
      <c r="K19" t="s">
        <v>55</v>
      </c>
      <c r="L19" s="9" t="s">
        <v>43</v>
      </c>
      <c r="M19">
        <v>4</v>
      </c>
      <c r="N19" t="s">
        <v>131</v>
      </c>
      <c r="O19" t="s">
        <v>138</v>
      </c>
      <c r="P19" s="10" t="s">
        <v>44</v>
      </c>
      <c r="Q19">
        <v>5</v>
      </c>
      <c r="R19" t="s">
        <v>140</v>
      </c>
      <c r="S19" t="s">
        <v>107</v>
      </c>
    </row>
    <row r="20" spans="1:19" x14ac:dyDescent="0.25">
      <c r="A20">
        <v>14</v>
      </c>
      <c r="B20" s="5" t="s">
        <v>26</v>
      </c>
      <c r="C20" s="17">
        <f t="shared" si="3"/>
        <v>2.75</v>
      </c>
      <c r="D20" s="2" t="s">
        <v>41</v>
      </c>
      <c r="E20">
        <v>3</v>
      </c>
      <c r="F20" t="s">
        <v>128</v>
      </c>
      <c r="G20" s="6" t="s">
        <v>107</v>
      </c>
      <c r="H20" s="8" t="s">
        <v>42</v>
      </c>
      <c r="I20">
        <v>1</v>
      </c>
      <c r="J20" t="s">
        <v>132</v>
      </c>
      <c r="K20" t="s">
        <v>134</v>
      </c>
      <c r="L20" s="9" t="s">
        <v>43</v>
      </c>
      <c r="M20">
        <v>3</v>
      </c>
      <c r="N20" t="s">
        <v>137</v>
      </c>
      <c r="O20" t="s">
        <v>55</v>
      </c>
      <c r="P20" s="10" t="s">
        <v>44</v>
      </c>
      <c r="Q20">
        <v>4</v>
      </c>
      <c r="R20" t="s">
        <v>141</v>
      </c>
      <c r="S20" t="s">
        <v>143</v>
      </c>
    </row>
    <row r="21" spans="1:19" x14ac:dyDescent="0.25">
      <c r="A21">
        <v>15</v>
      </c>
      <c r="B21" s="5" t="s">
        <v>27</v>
      </c>
      <c r="C21" s="17">
        <f t="shared" si="3"/>
        <v>3.5</v>
      </c>
      <c r="D21" s="2" t="s">
        <v>41</v>
      </c>
      <c r="E21">
        <v>5</v>
      </c>
      <c r="F21" t="s">
        <v>129</v>
      </c>
      <c r="G21" s="6" t="s">
        <v>149</v>
      </c>
      <c r="H21" s="8" t="s">
        <v>42</v>
      </c>
      <c r="I21">
        <v>2</v>
      </c>
      <c r="J21" t="s">
        <v>133</v>
      </c>
      <c r="K21" t="s">
        <v>135</v>
      </c>
      <c r="L21" s="9" t="s">
        <v>43</v>
      </c>
      <c r="M21">
        <v>3</v>
      </c>
      <c r="N21" t="s">
        <v>136</v>
      </c>
      <c r="O21" t="s">
        <v>139</v>
      </c>
      <c r="P21" s="10" t="s">
        <v>44</v>
      </c>
      <c r="Q21">
        <v>4</v>
      </c>
      <c r="R21" t="s">
        <v>142</v>
      </c>
      <c r="S21" t="s">
        <v>144</v>
      </c>
    </row>
    <row r="22" spans="1:19" s="4" customFormat="1" x14ac:dyDescent="0.25">
      <c r="A22" s="1" t="s">
        <v>4</v>
      </c>
      <c r="B22" s="1" t="s">
        <v>39</v>
      </c>
    </row>
    <row r="23" spans="1:19" x14ac:dyDescent="0.25">
      <c r="A23">
        <v>16</v>
      </c>
      <c r="B23" s="5" t="s">
        <v>28</v>
      </c>
      <c r="C23" s="17">
        <f t="shared" ref="C23:C25" si="4">AVERAGE(E23,I23,M23,Q23)</f>
        <v>3.75</v>
      </c>
      <c r="D23" s="2" t="s">
        <v>41</v>
      </c>
      <c r="E23">
        <v>3</v>
      </c>
      <c r="F23" t="s">
        <v>145</v>
      </c>
      <c r="G23" s="6" t="s">
        <v>7</v>
      </c>
      <c r="H23" s="8" t="s">
        <v>42</v>
      </c>
      <c r="I23">
        <v>2</v>
      </c>
      <c r="J23" t="s">
        <v>151</v>
      </c>
      <c r="K23" t="s">
        <v>55</v>
      </c>
      <c r="L23" s="9" t="s">
        <v>43</v>
      </c>
      <c r="M23">
        <v>5</v>
      </c>
      <c r="N23" t="s">
        <v>154</v>
      </c>
      <c r="O23" t="s">
        <v>7</v>
      </c>
      <c r="P23" s="10" t="s">
        <v>44</v>
      </c>
      <c r="Q23">
        <v>5</v>
      </c>
      <c r="R23" t="s">
        <v>155</v>
      </c>
      <c r="S23" t="s">
        <v>8</v>
      </c>
    </row>
    <row r="24" spans="1:19" x14ac:dyDescent="0.25">
      <c r="A24">
        <v>17</v>
      </c>
      <c r="B24" s="5" t="s">
        <v>29</v>
      </c>
      <c r="C24" s="17">
        <f t="shared" si="4"/>
        <v>3.75</v>
      </c>
      <c r="D24" s="2" t="s">
        <v>41</v>
      </c>
      <c r="E24">
        <v>2</v>
      </c>
      <c r="F24" t="s">
        <v>146</v>
      </c>
      <c r="G24" s="6" t="s">
        <v>150</v>
      </c>
      <c r="H24" s="8" t="s">
        <v>42</v>
      </c>
      <c r="I24">
        <v>4</v>
      </c>
      <c r="J24" t="s">
        <v>9</v>
      </c>
      <c r="K24" t="s">
        <v>153</v>
      </c>
      <c r="L24" s="9" t="s">
        <v>43</v>
      </c>
      <c r="M24">
        <v>4</v>
      </c>
      <c r="N24" t="s">
        <v>156</v>
      </c>
      <c r="O24" t="s">
        <v>7</v>
      </c>
      <c r="P24" s="10" t="s">
        <v>44</v>
      </c>
      <c r="Q24">
        <v>5</v>
      </c>
      <c r="R24" t="s">
        <v>158</v>
      </c>
      <c r="S24" t="s">
        <v>160</v>
      </c>
    </row>
    <row r="25" spans="1:19" x14ac:dyDescent="0.25">
      <c r="A25">
        <v>18</v>
      </c>
      <c r="B25" s="5" t="s">
        <v>30</v>
      </c>
      <c r="C25" s="17">
        <f t="shared" si="4"/>
        <v>2.75</v>
      </c>
      <c r="D25" s="2" t="s">
        <v>41</v>
      </c>
      <c r="E25">
        <v>1</v>
      </c>
      <c r="F25" t="s">
        <v>147</v>
      </c>
      <c r="G25" s="6" t="s">
        <v>150</v>
      </c>
      <c r="H25" s="8" t="s">
        <v>42</v>
      </c>
      <c r="I25">
        <v>3</v>
      </c>
      <c r="J25" t="s">
        <v>152</v>
      </c>
      <c r="K25" t="s">
        <v>55</v>
      </c>
      <c r="L25" s="9" t="s">
        <v>43</v>
      </c>
      <c r="M25">
        <v>3</v>
      </c>
      <c r="N25" t="s">
        <v>157</v>
      </c>
      <c r="O25" t="s">
        <v>153</v>
      </c>
      <c r="P25" s="10" t="s">
        <v>44</v>
      </c>
      <c r="Q25">
        <v>4</v>
      </c>
      <c r="R25" t="s">
        <v>159</v>
      </c>
      <c r="S25" t="s">
        <v>139</v>
      </c>
    </row>
    <row r="26" spans="1:19" s="4" customFormat="1" x14ac:dyDescent="0.25">
      <c r="A26" s="1" t="s">
        <v>4</v>
      </c>
      <c r="B26" s="1" t="s">
        <v>38</v>
      </c>
    </row>
    <row r="27" spans="1:19" x14ac:dyDescent="0.25">
      <c r="A27">
        <v>19</v>
      </c>
      <c r="B27" s="5" t="s">
        <v>31</v>
      </c>
      <c r="C27" s="17">
        <f t="shared" ref="C27:C29" si="5">AVERAGE(E27,I27,M27,Q27)</f>
        <v>3</v>
      </c>
      <c r="D27" s="2" t="s">
        <v>41</v>
      </c>
      <c r="E27">
        <v>2</v>
      </c>
      <c r="F27" t="s">
        <v>161</v>
      </c>
      <c r="G27" s="6" t="s">
        <v>60</v>
      </c>
      <c r="H27" s="8" t="s">
        <v>42</v>
      </c>
      <c r="I27">
        <v>3</v>
      </c>
      <c r="J27" t="s">
        <v>165</v>
      </c>
      <c r="K27" t="s">
        <v>107</v>
      </c>
      <c r="L27" s="9" t="s">
        <v>43</v>
      </c>
      <c r="M27">
        <v>3</v>
      </c>
      <c r="N27" t="s">
        <v>170</v>
      </c>
      <c r="O27" t="s">
        <v>60</v>
      </c>
      <c r="P27" s="10" t="s">
        <v>44</v>
      </c>
      <c r="Q27">
        <v>4</v>
      </c>
      <c r="R27" t="s">
        <v>174</v>
      </c>
      <c r="S27" t="s">
        <v>177</v>
      </c>
    </row>
    <row r="28" spans="1:19" x14ac:dyDescent="0.25">
      <c r="A28">
        <v>20</v>
      </c>
      <c r="B28" s="5" t="s">
        <v>32</v>
      </c>
      <c r="C28" s="17">
        <f t="shared" si="5"/>
        <v>2.75</v>
      </c>
      <c r="D28" s="2" t="s">
        <v>41</v>
      </c>
      <c r="E28">
        <v>3</v>
      </c>
      <c r="F28" t="s">
        <v>162</v>
      </c>
      <c r="G28" s="6" t="s">
        <v>60</v>
      </c>
      <c r="H28" s="8" t="s">
        <v>42</v>
      </c>
      <c r="I28">
        <v>3</v>
      </c>
      <c r="J28" t="s">
        <v>166</v>
      </c>
      <c r="K28" t="s">
        <v>168</v>
      </c>
      <c r="L28" s="9" t="s">
        <v>43</v>
      </c>
      <c r="M28">
        <v>2</v>
      </c>
      <c r="N28" t="s">
        <v>171</v>
      </c>
      <c r="O28" t="s">
        <v>119</v>
      </c>
      <c r="P28" s="10" t="s">
        <v>44</v>
      </c>
      <c r="Q28">
        <v>3</v>
      </c>
      <c r="R28" t="s">
        <v>175</v>
      </c>
      <c r="S28" t="s">
        <v>143</v>
      </c>
    </row>
    <row r="29" spans="1:19" x14ac:dyDescent="0.25">
      <c r="A29">
        <v>21</v>
      </c>
      <c r="B29" s="5" t="s">
        <v>33</v>
      </c>
      <c r="C29" s="17">
        <f t="shared" si="5"/>
        <v>3.75</v>
      </c>
      <c r="D29" s="2" t="s">
        <v>41</v>
      </c>
      <c r="E29">
        <v>4</v>
      </c>
      <c r="F29" t="s">
        <v>163</v>
      </c>
      <c r="G29" s="6" t="s">
        <v>164</v>
      </c>
      <c r="H29" s="8" t="s">
        <v>42</v>
      </c>
      <c r="I29">
        <v>3</v>
      </c>
      <c r="J29" t="s">
        <v>167</v>
      </c>
      <c r="K29" t="s">
        <v>169</v>
      </c>
      <c r="L29" s="9" t="s">
        <v>43</v>
      </c>
      <c r="M29">
        <v>4</v>
      </c>
      <c r="N29" t="s">
        <v>172</v>
      </c>
      <c r="O29" t="s">
        <v>173</v>
      </c>
      <c r="P29" s="10" t="s">
        <v>44</v>
      </c>
      <c r="Q29">
        <v>4</v>
      </c>
      <c r="R29" t="s">
        <v>176</v>
      </c>
      <c r="S29" t="s">
        <v>60</v>
      </c>
    </row>
    <row r="30" spans="1:19" x14ac:dyDescent="0.25">
      <c r="C30" s="7"/>
    </row>
    <row r="31" spans="1:19" x14ac:dyDescent="0.25">
      <c r="A31" s="114" t="s">
        <v>46</v>
      </c>
      <c r="B31" s="115"/>
    </row>
    <row r="32" spans="1:19" x14ac:dyDescent="0.25">
      <c r="A32" s="114" t="s">
        <v>11</v>
      </c>
      <c r="B32" s="115"/>
    </row>
    <row r="33" spans="1:2" x14ac:dyDescent="0.25">
      <c r="A33" s="114" t="s">
        <v>12</v>
      </c>
      <c r="B33" s="115"/>
    </row>
    <row r="34" spans="1:2" x14ac:dyDescent="0.25">
      <c r="A34" s="114" t="s">
        <v>47</v>
      </c>
      <c r="B34" s="115"/>
    </row>
  </sheetData>
  <mergeCells count="5">
    <mergeCell ref="A1:B1"/>
    <mergeCell ref="A31:B31"/>
    <mergeCell ref="A32:B32"/>
    <mergeCell ref="A33:B33"/>
    <mergeCell ref="A34:B3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B8B7F-F499-4005-8D10-093B1BD48FE3}">
  <dimension ref="A1:C22"/>
  <sheetViews>
    <sheetView workbookViewId="0">
      <selection activeCell="B2" sqref="B2:B22"/>
    </sheetView>
  </sheetViews>
  <sheetFormatPr defaultColWidth="8.85546875" defaultRowHeight="15" x14ac:dyDescent="0.25"/>
  <cols>
    <col min="1" max="1" width="18.140625" bestFit="1" customWidth="1"/>
    <col min="2" max="2" width="91" bestFit="1" customWidth="1"/>
    <col min="3" max="3" width="10.28515625" bestFit="1" customWidth="1"/>
  </cols>
  <sheetData>
    <row r="1" spans="1:3" x14ac:dyDescent="0.25">
      <c r="A1" t="s">
        <v>201</v>
      </c>
      <c r="B1" t="s">
        <v>202</v>
      </c>
      <c r="C1" t="s">
        <v>179</v>
      </c>
    </row>
    <row r="2" spans="1:3" x14ac:dyDescent="0.25">
      <c r="A2" t="s">
        <v>180</v>
      </c>
      <c r="B2" s="5" t="s">
        <v>13</v>
      </c>
      <c r="C2" s="17">
        <f>Metrics_Voting!C3</f>
        <v>4</v>
      </c>
    </row>
    <row r="3" spans="1:3" x14ac:dyDescent="0.25">
      <c r="A3" t="s">
        <v>181</v>
      </c>
      <c r="B3" s="5" t="s">
        <v>14</v>
      </c>
      <c r="C3" s="17">
        <f>Metrics_Voting!C4</f>
        <v>3.25</v>
      </c>
    </row>
    <row r="4" spans="1:3" x14ac:dyDescent="0.25">
      <c r="A4" t="s">
        <v>182</v>
      </c>
      <c r="B4" s="5" t="s">
        <v>15</v>
      </c>
      <c r="C4" s="17">
        <f>Metrics_Voting!C5</f>
        <v>4</v>
      </c>
    </row>
    <row r="5" spans="1:3" x14ac:dyDescent="0.25">
      <c r="A5" t="s">
        <v>183</v>
      </c>
      <c r="B5" s="5" t="s">
        <v>16</v>
      </c>
      <c r="C5" s="17">
        <f>Metrics_Voting!C7</f>
        <v>3.75</v>
      </c>
    </row>
    <row r="6" spans="1:3" x14ac:dyDescent="0.25">
      <c r="A6" t="s">
        <v>184</v>
      </c>
      <c r="B6" s="5" t="s">
        <v>17</v>
      </c>
      <c r="C6" s="17">
        <f>Metrics_Voting!C8</f>
        <v>3</v>
      </c>
    </row>
    <row r="7" spans="1:3" x14ac:dyDescent="0.25">
      <c r="A7" t="s">
        <v>185</v>
      </c>
      <c r="B7" s="5" t="s">
        <v>18</v>
      </c>
      <c r="C7" s="17">
        <f>Metrics_Voting!C9</f>
        <v>3.25</v>
      </c>
    </row>
    <row r="8" spans="1:3" x14ac:dyDescent="0.25">
      <c r="A8" t="s">
        <v>186</v>
      </c>
      <c r="B8" s="5" t="s">
        <v>19</v>
      </c>
      <c r="C8" s="17">
        <f>Metrics_Voting!C11</f>
        <v>3.5</v>
      </c>
    </row>
    <row r="9" spans="1:3" x14ac:dyDescent="0.25">
      <c r="A9" t="s">
        <v>187</v>
      </c>
      <c r="B9" s="5" t="s">
        <v>20</v>
      </c>
      <c r="C9" s="17">
        <f>Metrics_Voting!C12</f>
        <v>1.5</v>
      </c>
    </row>
    <row r="10" spans="1:3" x14ac:dyDescent="0.25">
      <c r="A10" t="s">
        <v>188</v>
      </c>
      <c r="B10" s="5" t="s">
        <v>21</v>
      </c>
      <c r="C10" s="17">
        <f>Metrics_Voting!C13</f>
        <v>2</v>
      </c>
    </row>
    <row r="11" spans="1:3" x14ac:dyDescent="0.25">
      <c r="A11" t="s">
        <v>189</v>
      </c>
      <c r="B11" s="5" t="s">
        <v>22</v>
      </c>
      <c r="C11" s="17">
        <f>Metrics_Voting!C15</f>
        <v>3.75</v>
      </c>
    </row>
    <row r="12" spans="1:3" x14ac:dyDescent="0.25">
      <c r="A12" t="s">
        <v>190</v>
      </c>
      <c r="B12" s="5" t="s">
        <v>23</v>
      </c>
      <c r="C12" s="17">
        <f>Metrics_Voting!C16</f>
        <v>3.25</v>
      </c>
    </row>
    <row r="13" spans="1:3" x14ac:dyDescent="0.25">
      <c r="A13" t="s">
        <v>191</v>
      </c>
      <c r="B13" s="5" t="s">
        <v>24</v>
      </c>
      <c r="C13" s="17">
        <f>Metrics_Voting!C17</f>
        <v>3.25</v>
      </c>
    </row>
    <row r="14" spans="1:3" x14ac:dyDescent="0.25">
      <c r="A14" t="s">
        <v>192</v>
      </c>
      <c r="B14" s="5" t="s">
        <v>25</v>
      </c>
      <c r="C14" s="17">
        <f>Metrics_Voting!C19</f>
        <v>3.25</v>
      </c>
    </row>
    <row r="15" spans="1:3" x14ac:dyDescent="0.25">
      <c r="A15" t="s">
        <v>193</v>
      </c>
      <c r="B15" s="5" t="s">
        <v>26</v>
      </c>
      <c r="C15" s="17">
        <f>Metrics_Voting!C20</f>
        <v>2.75</v>
      </c>
    </row>
    <row r="16" spans="1:3" x14ac:dyDescent="0.25">
      <c r="A16" t="s">
        <v>194</v>
      </c>
      <c r="B16" s="5" t="s">
        <v>27</v>
      </c>
      <c r="C16" s="17">
        <f>Metrics_Voting!C21</f>
        <v>3.5</v>
      </c>
    </row>
    <row r="17" spans="1:3" x14ac:dyDescent="0.25">
      <c r="A17" t="s">
        <v>195</v>
      </c>
      <c r="B17" s="5" t="s">
        <v>28</v>
      </c>
      <c r="C17" s="17">
        <f>Metrics_Voting!C23</f>
        <v>3.75</v>
      </c>
    </row>
    <row r="18" spans="1:3" x14ac:dyDescent="0.25">
      <c r="A18" t="s">
        <v>196</v>
      </c>
      <c r="B18" s="5" t="s">
        <v>29</v>
      </c>
      <c r="C18" s="17">
        <f>Metrics_Voting!C24</f>
        <v>3.75</v>
      </c>
    </row>
    <row r="19" spans="1:3" x14ac:dyDescent="0.25">
      <c r="A19" t="s">
        <v>197</v>
      </c>
      <c r="B19" s="5" t="s">
        <v>30</v>
      </c>
      <c r="C19" s="17">
        <f>Metrics_Voting!C25</f>
        <v>2.75</v>
      </c>
    </row>
    <row r="20" spans="1:3" x14ac:dyDescent="0.25">
      <c r="A20" t="s">
        <v>198</v>
      </c>
      <c r="B20" s="5" t="s">
        <v>31</v>
      </c>
      <c r="C20" s="17">
        <f>Metrics_Voting!C27</f>
        <v>3</v>
      </c>
    </row>
    <row r="21" spans="1:3" x14ac:dyDescent="0.25">
      <c r="A21" t="s">
        <v>199</v>
      </c>
      <c r="B21" s="5" t="s">
        <v>32</v>
      </c>
      <c r="C21" s="17">
        <f>Metrics_Voting!C28</f>
        <v>2.75</v>
      </c>
    </row>
    <row r="22" spans="1:3" x14ac:dyDescent="0.25">
      <c r="A22" t="s">
        <v>200</v>
      </c>
      <c r="B22" s="5" t="s">
        <v>33</v>
      </c>
      <c r="C22" s="17">
        <f>Metrics_Voting!C29</f>
        <v>3.75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1CA2-69FC-4B7B-9EE9-9BA183E5C24B}">
  <dimension ref="A1:G85"/>
  <sheetViews>
    <sheetView topLeftCell="A13" workbookViewId="0">
      <selection activeCell="L15" sqref="L15"/>
    </sheetView>
  </sheetViews>
  <sheetFormatPr defaultColWidth="8.85546875" defaultRowHeight="15" x14ac:dyDescent="0.25"/>
  <cols>
    <col min="1" max="1" width="31.42578125" customWidth="1"/>
    <col min="2" max="2" width="5.140625" customWidth="1"/>
    <col min="3" max="3" width="47.42578125" bestFit="1" customWidth="1"/>
    <col min="4" max="4" width="24.42578125" bestFit="1" customWidth="1"/>
  </cols>
  <sheetData>
    <row r="1" spans="1:7" ht="18" thickBot="1" x14ac:dyDescent="0.35">
      <c r="A1" s="33" t="s">
        <v>202</v>
      </c>
      <c r="B1" s="33" t="s">
        <v>292</v>
      </c>
      <c r="C1" s="33" t="s">
        <v>204</v>
      </c>
      <c r="D1" s="33" t="s">
        <v>3</v>
      </c>
    </row>
    <row r="2" spans="1:7" x14ac:dyDescent="0.25">
      <c r="A2" s="116" t="s">
        <v>13</v>
      </c>
      <c r="B2" s="53" t="s">
        <v>205</v>
      </c>
      <c r="C2" s="26" t="s">
        <v>108</v>
      </c>
      <c r="D2" s="27" t="s">
        <v>48</v>
      </c>
    </row>
    <row r="3" spans="1:7" x14ac:dyDescent="0.25">
      <c r="A3" s="117"/>
      <c r="B3" s="54" t="s">
        <v>206</v>
      </c>
      <c r="C3" s="24" t="s">
        <v>49</v>
      </c>
      <c r="D3" s="28" t="s">
        <v>50</v>
      </c>
    </row>
    <row r="4" spans="1:7" x14ac:dyDescent="0.25">
      <c r="A4" s="117"/>
      <c r="B4" s="54" t="s">
        <v>207</v>
      </c>
      <c r="C4" s="24" t="s">
        <v>51</v>
      </c>
      <c r="D4" s="28" t="s">
        <v>52</v>
      </c>
    </row>
    <row r="5" spans="1:7" ht="15.75" thickBot="1" x14ac:dyDescent="0.3">
      <c r="A5" s="118"/>
      <c r="B5" s="55" t="s">
        <v>208</v>
      </c>
      <c r="C5" s="29" t="s">
        <v>53</v>
      </c>
      <c r="D5" s="30" t="s">
        <v>64</v>
      </c>
    </row>
    <row r="6" spans="1:7" x14ac:dyDescent="0.25">
      <c r="A6" s="116" t="s">
        <v>14</v>
      </c>
      <c r="B6" s="53" t="s">
        <v>209</v>
      </c>
      <c r="C6" s="26" t="s">
        <v>54</v>
      </c>
      <c r="D6" s="27" t="s">
        <v>55</v>
      </c>
    </row>
    <row r="7" spans="1:7" x14ac:dyDescent="0.25">
      <c r="A7" s="117"/>
      <c r="B7" s="54" t="s">
        <v>210</v>
      </c>
      <c r="C7" s="24" t="s">
        <v>58</v>
      </c>
      <c r="D7" s="28" t="s">
        <v>50</v>
      </c>
    </row>
    <row r="8" spans="1:7" x14ac:dyDescent="0.25">
      <c r="A8" s="117"/>
      <c r="B8" s="54" t="s">
        <v>211</v>
      </c>
      <c r="C8" s="24" t="s">
        <v>61</v>
      </c>
      <c r="D8" s="28" t="s">
        <v>60</v>
      </c>
    </row>
    <row r="9" spans="1:7" ht="15.75" thickBot="1" x14ac:dyDescent="0.3">
      <c r="A9" s="118"/>
      <c r="B9" s="55" t="s">
        <v>212</v>
      </c>
      <c r="C9" s="29" t="s">
        <v>65</v>
      </c>
      <c r="D9" s="30" t="s">
        <v>55</v>
      </c>
    </row>
    <row r="10" spans="1:7" ht="15.75" thickBot="1" x14ac:dyDescent="0.3">
      <c r="A10" s="116" t="s">
        <v>15</v>
      </c>
      <c r="B10" s="53" t="s">
        <v>213</v>
      </c>
      <c r="C10" s="26" t="s">
        <v>56</v>
      </c>
      <c r="D10" s="27" t="s">
        <v>57</v>
      </c>
    </row>
    <row r="11" spans="1:7" ht="15.75" thickBot="1" x14ac:dyDescent="0.3">
      <c r="A11" s="117"/>
      <c r="B11" s="54" t="s">
        <v>214</v>
      </c>
      <c r="C11" s="24" t="s">
        <v>59</v>
      </c>
      <c r="D11" s="28" t="s">
        <v>60</v>
      </c>
      <c r="G11" s="32"/>
    </row>
    <row r="12" spans="1:7" x14ac:dyDescent="0.25">
      <c r="A12" s="117"/>
      <c r="B12" s="54" t="s">
        <v>215</v>
      </c>
      <c r="C12" s="24" t="s">
        <v>62</v>
      </c>
      <c r="D12" s="28" t="s">
        <v>63</v>
      </c>
    </row>
    <row r="13" spans="1:7" ht="15.75" thickBot="1" x14ac:dyDescent="0.3">
      <c r="A13" s="118"/>
      <c r="B13" s="55" t="s">
        <v>216</v>
      </c>
      <c r="C13" s="29" t="s">
        <v>66</v>
      </c>
      <c r="D13" s="30" t="s">
        <v>67</v>
      </c>
    </row>
    <row r="14" spans="1:7" x14ac:dyDescent="0.25">
      <c r="A14" s="116" t="s">
        <v>16</v>
      </c>
      <c r="B14" s="53" t="s">
        <v>217</v>
      </c>
      <c r="C14" s="26" t="s">
        <v>68</v>
      </c>
      <c r="D14" s="27" t="s">
        <v>71</v>
      </c>
    </row>
    <row r="15" spans="1:7" x14ac:dyDescent="0.25">
      <c r="A15" s="117"/>
      <c r="B15" s="54" t="s">
        <v>218</v>
      </c>
      <c r="C15" s="24" t="s">
        <v>73</v>
      </c>
      <c r="D15" s="28" t="s">
        <v>71</v>
      </c>
    </row>
    <row r="16" spans="1:7" x14ac:dyDescent="0.25">
      <c r="A16" s="117"/>
      <c r="B16" s="54" t="s">
        <v>219</v>
      </c>
      <c r="C16" s="24" t="s">
        <v>78</v>
      </c>
      <c r="D16" s="28" t="s">
        <v>71</v>
      </c>
    </row>
    <row r="17" spans="1:4" ht="15.75" thickBot="1" x14ac:dyDescent="0.3">
      <c r="A17" s="118"/>
      <c r="B17" s="55" t="s">
        <v>220</v>
      </c>
      <c r="C17" s="29" t="s">
        <v>83</v>
      </c>
      <c r="D17" s="30" t="s">
        <v>86</v>
      </c>
    </row>
    <row r="18" spans="1:4" x14ac:dyDescent="0.25">
      <c r="A18" s="116" t="s">
        <v>17</v>
      </c>
      <c r="B18" s="53" t="s">
        <v>221</v>
      </c>
      <c r="C18" s="26" t="s">
        <v>69</v>
      </c>
      <c r="D18" s="27" t="s">
        <v>64</v>
      </c>
    </row>
    <row r="19" spans="1:4" x14ac:dyDescent="0.25">
      <c r="A19" s="117"/>
      <c r="B19" s="54" t="s">
        <v>222</v>
      </c>
      <c r="C19" s="24" t="s">
        <v>74</v>
      </c>
      <c r="D19" s="28" t="s">
        <v>76</v>
      </c>
    </row>
    <row r="20" spans="1:4" x14ac:dyDescent="0.25">
      <c r="A20" s="117"/>
      <c r="B20" s="54" t="s">
        <v>223</v>
      </c>
      <c r="C20" s="24" t="s">
        <v>79</v>
      </c>
      <c r="D20" s="28" t="s">
        <v>81</v>
      </c>
    </row>
    <row r="21" spans="1:4" ht="15.75" thickBot="1" x14ac:dyDescent="0.3">
      <c r="A21" s="118"/>
      <c r="B21" s="55" t="s">
        <v>224</v>
      </c>
      <c r="C21" s="29" t="s">
        <v>84</v>
      </c>
      <c r="D21" s="30" t="s">
        <v>87</v>
      </c>
    </row>
    <row r="22" spans="1:4" x14ac:dyDescent="0.25">
      <c r="A22" s="116" t="s">
        <v>18</v>
      </c>
      <c r="B22" s="53" t="s">
        <v>225</v>
      </c>
      <c r="C22" s="26" t="s">
        <v>70</v>
      </c>
      <c r="D22" s="27" t="s">
        <v>72</v>
      </c>
    </row>
    <row r="23" spans="1:4" x14ac:dyDescent="0.25">
      <c r="A23" s="117"/>
      <c r="B23" s="54" t="s">
        <v>226</v>
      </c>
      <c r="C23" s="24" t="s">
        <v>75</v>
      </c>
      <c r="D23" s="28" t="s">
        <v>77</v>
      </c>
    </row>
    <row r="24" spans="1:4" x14ac:dyDescent="0.25">
      <c r="A24" s="117"/>
      <c r="B24" s="54" t="s">
        <v>227</v>
      </c>
      <c r="C24" s="24" t="s">
        <v>80</v>
      </c>
      <c r="D24" s="28" t="s">
        <v>82</v>
      </c>
    </row>
    <row r="25" spans="1:4" ht="15.75" thickBot="1" x14ac:dyDescent="0.3">
      <c r="A25" s="118"/>
      <c r="B25" s="55" t="s">
        <v>228</v>
      </c>
      <c r="C25" s="29" t="s">
        <v>85</v>
      </c>
      <c r="D25" s="30" t="s">
        <v>88</v>
      </c>
    </row>
    <row r="26" spans="1:4" x14ac:dyDescent="0.25">
      <c r="A26" s="116" t="s">
        <v>19</v>
      </c>
      <c r="B26" s="53" t="s">
        <v>229</v>
      </c>
      <c r="C26" s="26" t="s">
        <v>89</v>
      </c>
      <c r="D26" s="27" t="s">
        <v>92</v>
      </c>
    </row>
    <row r="27" spans="1:4" x14ac:dyDescent="0.25">
      <c r="A27" s="117"/>
      <c r="B27" s="54" t="s">
        <v>230</v>
      </c>
      <c r="C27" s="24" t="s">
        <v>95</v>
      </c>
      <c r="D27" s="28" t="s">
        <v>98</v>
      </c>
    </row>
    <row r="28" spans="1:4" x14ac:dyDescent="0.25">
      <c r="A28" s="117"/>
      <c r="B28" s="54" t="s">
        <v>231</v>
      </c>
      <c r="C28" s="24" t="s">
        <v>100</v>
      </c>
      <c r="D28" s="28" t="s">
        <v>103</v>
      </c>
    </row>
    <row r="29" spans="1:4" ht="15.75" thickBot="1" x14ac:dyDescent="0.3">
      <c r="A29" s="119"/>
      <c r="B29" s="55" t="s">
        <v>232</v>
      </c>
      <c r="C29" s="25" t="s">
        <v>104</v>
      </c>
      <c r="D29" s="31" t="s">
        <v>60</v>
      </c>
    </row>
    <row r="30" spans="1:4" x14ac:dyDescent="0.25">
      <c r="A30" s="116" t="s">
        <v>20</v>
      </c>
      <c r="B30" s="53" t="s">
        <v>233</v>
      </c>
      <c r="C30" s="26" t="s">
        <v>90</v>
      </c>
      <c r="D30" s="27" t="s">
        <v>93</v>
      </c>
    </row>
    <row r="31" spans="1:4" x14ac:dyDescent="0.25">
      <c r="A31" s="117"/>
      <c r="B31" s="54" t="s">
        <v>234</v>
      </c>
      <c r="C31" s="24" t="s">
        <v>96</v>
      </c>
      <c r="D31" s="28" t="s">
        <v>48</v>
      </c>
    </row>
    <row r="32" spans="1:4" x14ac:dyDescent="0.25">
      <c r="A32" s="117"/>
      <c r="B32" s="54" t="s">
        <v>235</v>
      </c>
      <c r="C32" s="24" t="s">
        <v>101</v>
      </c>
      <c r="D32" s="28" t="s">
        <v>103</v>
      </c>
    </row>
    <row r="33" spans="1:4" ht="15.75" thickBot="1" x14ac:dyDescent="0.3">
      <c r="A33" s="118"/>
      <c r="B33" s="55" t="s">
        <v>236</v>
      </c>
      <c r="C33" s="29" t="s">
        <v>105</v>
      </c>
      <c r="D33" s="30" t="s">
        <v>107</v>
      </c>
    </row>
    <row r="34" spans="1:4" x14ac:dyDescent="0.25">
      <c r="A34" s="116" t="s">
        <v>21</v>
      </c>
      <c r="B34" s="53" t="s">
        <v>237</v>
      </c>
      <c r="C34" s="26" t="s">
        <v>91</v>
      </c>
      <c r="D34" s="27" t="s">
        <v>94</v>
      </c>
    </row>
    <row r="35" spans="1:4" x14ac:dyDescent="0.25">
      <c r="A35" s="117"/>
      <c r="B35" s="54" t="s">
        <v>238</v>
      </c>
      <c r="C35" s="24" t="s">
        <v>97</v>
      </c>
      <c r="D35" s="28" t="s">
        <v>99</v>
      </c>
    </row>
    <row r="36" spans="1:4" x14ac:dyDescent="0.25">
      <c r="A36" s="117"/>
      <c r="B36" s="54" t="s">
        <v>239</v>
      </c>
      <c r="C36" s="24" t="s">
        <v>102</v>
      </c>
      <c r="D36" s="28" t="s">
        <v>93</v>
      </c>
    </row>
    <row r="37" spans="1:4" ht="15.75" thickBot="1" x14ac:dyDescent="0.3">
      <c r="A37" s="118"/>
      <c r="B37" s="55" t="s">
        <v>240</v>
      </c>
      <c r="C37" s="29" t="s">
        <v>106</v>
      </c>
      <c r="D37" s="30" t="s">
        <v>55</v>
      </c>
    </row>
    <row r="38" spans="1:4" x14ac:dyDescent="0.25">
      <c r="A38" s="116" t="s">
        <v>22</v>
      </c>
      <c r="B38" s="53" t="s">
        <v>241</v>
      </c>
      <c r="C38" s="26" t="s">
        <v>109</v>
      </c>
      <c r="D38" s="27" t="s">
        <v>112</v>
      </c>
    </row>
    <row r="39" spans="1:4" x14ac:dyDescent="0.25">
      <c r="A39" s="117"/>
      <c r="B39" s="54" t="s">
        <v>242</v>
      </c>
      <c r="C39" s="24" t="s">
        <v>114</v>
      </c>
      <c r="D39" s="28" t="s">
        <v>117</v>
      </c>
    </row>
    <row r="40" spans="1:4" x14ac:dyDescent="0.25">
      <c r="A40" s="117"/>
      <c r="B40" s="54" t="s">
        <v>243</v>
      </c>
      <c r="C40" s="24" t="s">
        <v>120</v>
      </c>
      <c r="D40" s="28" t="s">
        <v>123</v>
      </c>
    </row>
    <row r="41" spans="1:4" ht="15.75" thickBot="1" x14ac:dyDescent="0.3">
      <c r="A41" s="118"/>
      <c r="B41" s="55" t="s">
        <v>244</v>
      </c>
      <c r="C41" s="29" t="s">
        <v>124</v>
      </c>
      <c r="D41" s="30" t="s">
        <v>7</v>
      </c>
    </row>
    <row r="42" spans="1:4" x14ac:dyDescent="0.25">
      <c r="A42" s="116" t="s">
        <v>23</v>
      </c>
      <c r="B42" s="53" t="s">
        <v>245</v>
      </c>
      <c r="C42" s="26" t="s">
        <v>110</v>
      </c>
      <c r="D42" s="27" t="s">
        <v>113</v>
      </c>
    </row>
    <row r="43" spans="1:4" x14ac:dyDescent="0.25">
      <c r="A43" s="117"/>
      <c r="B43" s="54" t="s">
        <v>246</v>
      </c>
      <c r="C43" s="24" t="s">
        <v>115</v>
      </c>
      <c r="D43" s="28" t="s">
        <v>118</v>
      </c>
    </row>
    <row r="44" spans="1:4" x14ac:dyDescent="0.25">
      <c r="A44" s="117"/>
      <c r="B44" s="54" t="s">
        <v>247</v>
      </c>
      <c r="C44" s="24" t="s">
        <v>121</v>
      </c>
      <c r="D44" s="28" t="s">
        <v>60</v>
      </c>
    </row>
    <row r="45" spans="1:4" ht="15.75" thickBot="1" x14ac:dyDescent="0.3">
      <c r="A45" s="118"/>
      <c r="B45" s="55" t="s">
        <v>248</v>
      </c>
      <c r="C45" s="29" t="s">
        <v>126</v>
      </c>
      <c r="D45" s="30" t="s">
        <v>8</v>
      </c>
    </row>
    <row r="46" spans="1:4" x14ac:dyDescent="0.25">
      <c r="A46" s="116" t="s">
        <v>24</v>
      </c>
      <c r="B46" s="53" t="s">
        <v>249</v>
      </c>
      <c r="C46" s="26" t="s">
        <v>111</v>
      </c>
      <c r="D46" s="27" t="s">
        <v>10</v>
      </c>
    </row>
    <row r="47" spans="1:4" x14ac:dyDescent="0.25">
      <c r="A47" s="117"/>
      <c r="B47" s="54" t="s">
        <v>250</v>
      </c>
      <c r="C47" s="24" t="s">
        <v>116</v>
      </c>
      <c r="D47" s="28" t="s">
        <v>119</v>
      </c>
    </row>
    <row r="48" spans="1:4" x14ac:dyDescent="0.25">
      <c r="A48" s="117"/>
      <c r="B48" s="54" t="s">
        <v>251</v>
      </c>
      <c r="C48" s="24" t="s">
        <v>122</v>
      </c>
      <c r="D48" s="28" t="s">
        <v>55</v>
      </c>
    </row>
    <row r="49" spans="1:4" ht="15.75" thickBot="1" x14ac:dyDescent="0.3">
      <c r="A49" s="118"/>
      <c r="B49" s="55" t="s">
        <v>252</v>
      </c>
      <c r="C49" s="29" t="s">
        <v>125</v>
      </c>
      <c r="D49" s="30" t="s">
        <v>60</v>
      </c>
    </row>
    <row r="50" spans="1:4" x14ac:dyDescent="0.25">
      <c r="A50" s="116" t="s">
        <v>25</v>
      </c>
      <c r="B50" s="53" t="s">
        <v>253</v>
      </c>
      <c r="C50" s="26" t="s">
        <v>127</v>
      </c>
      <c r="D50" s="27" t="s">
        <v>148</v>
      </c>
    </row>
    <row r="51" spans="1:4" x14ac:dyDescent="0.25">
      <c r="A51" s="117"/>
      <c r="B51" s="54" t="s">
        <v>254</v>
      </c>
      <c r="C51" s="24" t="s">
        <v>130</v>
      </c>
      <c r="D51" s="28" t="s">
        <v>55</v>
      </c>
    </row>
    <row r="52" spans="1:4" x14ac:dyDescent="0.25">
      <c r="A52" s="117"/>
      <c r="B52" s="54" t="s">
        <v>255</v>
      </c>
      <c r="C52" s="24" t="s">
        <v>131</v>
      </c>
      <c r="D52" s="28" t="s">
        <v>138</v>
      </c>
    </row>
    <row r="53" spans="1:4" ht="15.75" thickBot="1" x14ac:dyDescent="0.3">
      <c r="A53" s="118"/>
      <c r="B53" s="55" t="s">
        <v>256</v>
      </c>
      <c r="C53" s="29" t="s">
        <v>140</v>
      </c>
      <c r="D53" s="30" t="s">
        <v>107</v>
      </c>
    </row>
    <row r="54" spans="1:4" x14ac:dyDescent="0.25">
      <c r="A54" s="116" t="s">
        <v>26</v>
      </c>
      <c r="B54" s="53" t="s">
        <v>257</v>
      </c>
      <c r="C54" s="26" t="s">
        <v>128</v>
      </c>
      <c r="D54" s="27" t="s">
        <v>107</v>
      </c>
    </row>
    <row r="55" spans="1:4" x14ac:dyDescent="0.25">
      <c r="A55" s="117"/>
      <c r="B55" s="54" t="s">
        <v>258</v>
      </c>
      <c r="C55" s="24" t="s">
        <v>132</v>
      </c>
      <c r="D55" s="28" t="s">
        <v>134</v>
      </c>
    </row>
    <row r="56" spans="1:4" x14ac:dyDescent="0.25">
      <c r="A56" s="117"/>
      <c r="B56" s="54" t="s">
        <v>259</v>
      </c>
      <c r="C56" s="24" t="s">
        <v>137</v>
      </c>
      <c r="D56" s="28" t="s">
        <v>55</v>
      </c>
    </row>
    <row r="57" spans="1:4" ht="15.75" thickBot="1" x14ac:dyDescent="0.3">
      <c r="A57" s="118"/>
      <c r="B57" s="55" t="s">
        <v>260</v>
      </c>
      <c r="C57" s="29" t="s">
        <v>141</v>
      </c>
      <c r="D57" s="30" t="s">
        <v>143</v>
      </c>
    </row>
    <row r="58" spans="1:4" x14ac:dyDescent="0.25">
      <c r="A58" s="116" t="s">
        <v>27</v>
      </c>
      <c r="B58" s="53" t="s">
        <v>261</v>
      </c>
      <c r="C58" s="26" t="s">
        <v>129</v>
      </c>
      <c r="D58" s="27" t="s">
        <v>149</v>
      </c>
    </row>
    <row r="59" spans="1:4" x14ac:dyDescent="0.25">
      <c r="A59" s="117"/>
      <c r="B59" s="54" t="s">
        <v>262</v>
      </c>
      <c r="C59" s="24" t="s">
        <v>133</v>
      </c>
      <c r="D59" s="28" t="s">
        <v>135</v>
      </c>
    </row>
    <row r="60" spans="1:4" x14ac:dyDescent="0.25">
      <c r="A60" s="117"/>
      <c r="B60" s="54" t="s">
        <v>263</v>
      </c>
      <c r="C60" s="24" t="s">
        <v>136</v>
      </c>
      <c r="D60" s="28" t="s">
        <v>139</v>
      </c>
    </row>
    <row r="61" spans="1:4" ht="15.75" thickBot="1" x14ac:dyDescent="0.3">
      <c r="A61" s="118"/>
      <c r="B61" s="55" t="s">
        <v>264</v>
      </c>
      <c r="C61" s="29" t="s">
        <v>142</v>
      </c>
      <c r="D61" s="30" t="s">
        <v>144</v>
      </c>
    </row>
    <row r="62" spans="1:4" x14ac:dyDescent="0.25">
      <c r="A62" s="116" t="s">
        <v>28</v>
      </c>
      <c r="B62" s="53" t="s">
        <v>265</v>
      </c>
      <c r="C62" s="26" t="s">
        <v>145</v>
      </c>
      <c r="D62" s="27" t="s">
        <v>7</v>
      </c>
    </row>
    <row r="63" spans="1:4" x14ac:dyDescent="0.25">
      <c r="A63" s="117"/>
      <c r="B63" s="54" t="s">
        <v>266</v>
      </c>
      <c r="C63" s="24" t="s">
        <v>151</v>
      </c>
      <c r="D63" s="28" t="s">
        <v>55</v>
      </c>
    </row>
    <row r="64" spans="1:4" x14ac:dyDescent="0.25">
      <c r="A64" s="117"/>
      <c r="B64" s="54" t="s">
        <v>267</v>
      </c>
      <c r="C64" s="24" t="s">
        <v>154</v>
      </c>
      <c r="D64" s="28" t="s">
        <v>7</v>
      </c>
    </row>
    <row r="65" spans="1:4" ht="15.75" thickBot="1" x14ac:dyDescent="0.3">
      <c r="A65" s="118"/>
      <c r="B65" s="55" t="s">
        <v>268</v>
      </c>
      <c r="C65" s="29" t="s">
        <v>155</v>
      </c>
      <c r="D65" s="30" t="s">
        <v>8</v>
      </c>
    </row>
    <row r="66" spans="1:4" x14ac:dyDescent="0.25">
      <c r="A66" s="116" t="s">
        <v>29</v>
      </c>
      <c r="B66" s="53" t="s">
        <v>269</v>
      </c>
      <c r="C66" s="26" t="s">
        <v>146</v>
      </c>
      <c r="D66" s="27" t="s">
        <v>150</v>
      </c>
    </row>
    <row r="67" spans="1:4" x14ac:dyDescent="0.25">
      <c r="A67" s="117"/>
      <c r="B67" s="54" t="s">
        <v>270</v>
      </c>
      <c r="C67" s="24" t="s">
        <v>9</v>
      </c>
      <c r="D67" s="28" t="s">
        <v>153</v>
      </c>
    </row>
    <row r="68" spans="1:4" x14ac:dyDescent="0.25">
      <c r="A68" s="117"/>
      <c r="B68" s="54" t="s">
        <v>271</v>
      </c>
      <c r="C68" s="24" t="s">
        <v>156</v>
      </c>
      <c r="D68" s="28" t="s">
        <v>7</v>
      </c>
    </row>
    <row r="69" spans="1:4" ht="15.75" thickBot="1" x14ac:dyDescent="0.3">
      <c r="A69" s="118"/>
      <c r="B69" s="55" t="s">
        <v>272</v>
      </c>
      <c r="C69" s="29" t="s">
        <v>158</v>
      </c>
      <c r="D69" s="30" t="s">
        <v>160</v>
      </c>
    </row>
    <row r="70" spans="1:4" x14ac:dyDescent="0.25">
      <c r="A70" s="116" t="s">
        <v>30</v>
      </c>
      <c r="B70" s="53" t="s">
        <v>273</v>
      </c>
      <c r="C70" s="26" t="s">
        <v>147</v>
      </c>
      <c r="D70" s="27" t="s">
        <v>150</v>
      </c>
    </row>
    <row r="71" spans="1:4" x14ac:dyDescent="0.25">
      <c r="A71" s="117"/>
      <c r="B71" s="54" t="s">
        <v>274</v>
      </c>
      <c r="C71" s="24" t="s">
        <v>152</v>
      </c>
      <c r="D71" s="28" t="s">
        <v>55</v>
      </c>
    </row>
    <row r="72" spans="1:4" x14ac:dyDescent="0.25">
      <c r="A72" s="117"/>
      <c r="B72" s="54" t="s">
        <v>275</v>
      </c>
      <c r="C72" s="24" t="s">
        <v>157</v>
      </c>
      <c r="D72" s="28" t="s">
        <v>153</v>
      </c>
    </row>
    <row r="73" spans="1:4" ht="15.75" thickBot="1" x14ac:dyDescent="0.3">
      <c r="A73" s="118"/>
      <c r="B73" s="55" t="s">
        <v>276</v>
      </c>
      <c r="C73" s="29" t="s">
        <v>159</v>
      </c>
      <c r="D73" s="30" t="s">
        <v>139</v>
      </c>
    </row>
    <row r="74" spans="1:4" x14ac:dyDescent="0.25">
      <c r="A74" s="116" t="s">
        <v>31</v>
      </c>
      <c r="B74" s="53" t="s">
        <v>277</v>
      </c>
      <c r="C74" s="26" t="s">
        <v>161</v>
      </c>
      <c r="D74" s="27" t="s">
        <v>60</v>
      </c>
    </row>
    <row r="75" spans="1:4" x14ac:dyDescent="0.25">
      <c r="A75" s="117"/>
      <c r="B75" s="54" t="s">
        <v>278</v>
      </c>
      <c r="C75" s="24" t="s">
        <v>165</v>
      </c>
      <c r="D75" s="28" t="s">
        <v>107</v>
      </c>
    </row>
    <row r="76" spans="1:4" x14ac:dyDescent="0.25">
      <c r="A76" s="117"/>
      <c r="B76" s="54" t="s">
        <v>279</v>
      </c>
      <c r="C76" s="24" t="s">
        <v>170</v>
      </c>
      <c r="D76" s="28" t="s">
        <v>60</v>
      </c>
    </row>
    <row r="77" spans="1:4" ht="15.75" thickBot="1" x14ac:dyDescent="0.3">
      <c r="A77" s="118"/>
      <c r="B77" s="55" t="s">
        <v>280</v>
      </c>
      <c r="C77" s="29" t="s">
        <v>174</v>
      </c>
      <c r="D77" s="30" t="s">
        <v>177</v>
      </c>
    </row>
    <row r="78" spans="1:4" x14ac:dyDescent="0.25">
      <c r="A78" s="116" t="s">
        <v>32</v>
      </c>
      <c r="B78" s="53" t="s">
        <v>281</v>
      </c>
      <c r="C78" s="26" t="s">
        <v>162</v>
      </c>
      <c r="D78" s="27" t="s">
        <v>60</v>
      </c>
    </row>
    <row r="79" spans="1:4" x14ac:dyDescent="0.25">
      <c r="A79" s="117"/>
      <c r="B79" s="54" t="s">
        <v>282</v>
      </c>
      <c r="C79" s="24" t="s">
        <v>166</v>
      </c>
      <c r="D79" s="28" t="s">
        <v>168</v>
      </c>
    </row>
    <row r="80" spans="1:4" x14ac:dyDescent="0.25">
      <c r="A80" s="117"/>
      <c r="B80" s="54" t="s">
        <v>283</v>
      </c>
      <c r="C80" s="24" t="s">
        <v>171</v>
      </c>
      <c r="D80" s="28" t="s">
        <v>119</v>
      </c>
    </row>
    <row r="81" spans="1:4" ht="15.75" thickBot="1" x14ac:dyDescent="0.3">
      <c r="A81" s="118"/>
      <c r="B81" s="55" t="s">
        <v>284</v>
      </c>
      <c r="C81" s="29" t="s">
        <v>175</v>
      </c>
      <c r="D81" s="30" t="s">
        <v>143</v>
      </c>
    </row>
    <row r="82" spans="1:4" x14ac:dyDescent="0.25">
      <c r="A82" s="116" t="s">
        <v>33</v>
      </c>
      <c r="B82" s="53" t="s">
        <v>285</v>
      </c>
      <c r="C82" s="26" t="s">
        <v>163</v>
      </c>
      <c r="D82" s="27" t="s">
        <v>164</v>
      </c>
    </row>
    <row r="83" spans="1:4" x14ac:dyDescent="0.25">
      <c r="A83" s="117"/>
      <c r="B83" s="54" t="s">
        <v>286</v>
      </c>
      <c r="C83" s="24" t="s">
        <v>167</v>
      </c>
      <c r="D83" s="28" t="s">
        <v>169</v>
      </c>
    </row>
    <row r="84" spans="1:4" x14ac:dyDescent="0.25">
      <c r="A84" s="117"/>
      <c r="B84" s="54" t="s">
        <v>287</v>
      </c>
      <c r="C84" s="24" t="s">
        <v>172</v>
      </c>
      <c r="D84" s="28" t="s">
        <v>173</v>
      </c>
    </row>
    <row r="85" spans="1:4" ht="15.75" thickBot="1" x14ac:dyDescent="0.3">
      <c r="A85" s="118"/>
      <c r="B85" s="55" t="s">
        <v>288</v>
      </c>
      <c r="C85" s="29" t="s">
        <v>176</v>
      </c>
      <c r="D85" s="30" t="s">
        <v>60</v>
      </c>
    </row>
  </sheetData>
  <mergeCells count="21">
    <mergeCell ref="A26:A29"/>
    <mergeCell ref="A22:A25"/>
    <mergeCell ref="A18:A21"/>
    <mergeCell ref="A14:A17"/>
    <mergeCell ref="A10:A13"/>
    <mergeCell ref="A30:A33"/>
    <mergeCell ref="A2:A5"/>
    <mergeCell ref="A6:A9"/>
    <mergeCell ref="A82:A85"/>
    <mergeCell ref="A78:A81"/>
    <mergeCell ref="A74:A77"/>
    <mergeCell ref="A70:A73"/>
    <mergeCell ref="A66:A69"/>
    <mergeCell ref="A62:A65"/>
    <mergeCell ref="A58:A61"/>
    <mergeCell ref="A54:A57"/>
    <mergeCell ref="A50:A53"/>
    <mergeCell ref="A46:A49"/>
    <mergeCell ref="A42:A45"/>
    <mergeCell ref="A38:A41"/>
    <mergeCell ref="A34:A37"/>
  </mergeCells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FB237-B56C-4529-8FF4-44839B99BA7F}">
  <dimension ref="A1:C85"/>
  <sheetViews>
    <sheetView workbookViewId="0">
      <selection sqref="A1:C85"/>
    </sheetView>
  </sheetViews>
  <sheetFormatPr defaultColWidth="8.85546875" defaultRowHeight="15" x14ac:dyDescent="0.25"/>
  <cols>
    <col min="1" max="1" width="21.7109375" customWidth="1"/>
    <col min="2" max="2" width="49.42578125" customWidth="1"/>
    <col min="3" max="3" width="12.28515625" customWidth="1"/>
  </cols>
  <sheetData>
    <row r="1" spans="1:3" x14ac:dyDescent="0.25">
      <c r="A1" t="s">
        <v>203</v>
      </c>
      <c r="B1" t="s">
        <v>204</v>
      </c>
      <c r="C1" t="s">
        <v>3</v>
      </c>
    </row>
    <row r="2" spans="1:3" x14ac:dyDescent="0.25">
      <c r="A2" t="s">
        <v>205</v>
      </c>
      <c r="B2" t="s">
        <v>108</v>
      </c>
      <c r="C2" s="6" t="s">
        <v>48</v>
      </c>
    </row>
    <row r="3" spans="1:3" x14ac:dyDescent="0.25">
      <c r="A3" t="s">
        <v>206</v>
      </c>
      <c r="B3" t="s">
        <v>49</v>
      </c>
      <c r="C3" t="s">
        <v>50</v>
      </c>
    </row>
    <row r="4" spans="1:3" x14ac:dyDescent="0.25">
      <c r="A4" t="s">
        <v>207</v>
      </c>
      <c r="B4" t="s">
        <v>51</v>
      </c>
      <c r="C4" t="s">
        <v>52</v>
      </c>
    </row>
    <row r="5" spans="1:3" x14ac:dyDescent="0.25">
      <c r="A5" t="s">
        <v>208</v>
      </c>
      <c r="B5" t="s">
        <v>53</v>
      </c>
      <c r="C5" t="s">
        <v>64</v>
      </c>
    </row>
    <row r="6" spans="1:3" x14ac:dyDescent="0.25">
      <c r="A6" t="s">
        <v>209</v>
      </c>
      <c r="B6" t="s">
        <v>54</v>
      </c>
      <c r="C6" s="6" t="s">
        <v>55</v>
      </c>
    </row>
    <row r="7" spans="1:3" x14ac:dyDescent="0.25">
      <c r="A7" t="s">
        <v>210</v>
      </c>
      <c r="B7" t="s">
        <v>58</v>
      </c>
      <c r="C7" t="s">
        <v>50</v>
      </c>
    </row>
    <row r="8" spans="1:3" x14ac:dyDescent="0.25">
      <c r="A8" t="s">
        <v>211</v>
      </c>
      <c r="B8" t="s">
        <v>61</v>
      </c>
      <c r="C8" t="s">
        <v>60</v>
      </c>
    </row>
    <row r="9" spans="1:3" x14ac:dyDescent="0.25">
      <c r="A9" t="s">
        <v>212</v>
      </c>
      <c r="B9" t="s">
        <v>65</v>
      </c>
      <c r="C9" t="s">
        <v>55</v>
      </c>
    </row>
    <row r="10" spans="1:3" x14ac:dyDescent="0.25">
      <c r="A10" t="s">
        <v>213</v>
      </c>
      <c r="B10" t="s">
        <v>56</v>
      </c>
      <c r="C10" s="6" t="s">
        <v>57</v>
      </c>
    </row>
    <row r="11" spans="1:3" x14ac:dyDescent="0.25">
      <c r="A11" t="s">
        <v>214</v>
      </c>
      <c r="B11" t="s">
        <v>59</v>
      </c>
      <c r="C11" t="s">
        <v>60</v>
      </c>
    </row>
    <row r="12" spans="1:3" x14ac:dyDescent="0.25">
      <c r="A12" t="s">
        <v>215</v>
      </c>
      <c r="B12" t="s">
        <v>62</v>
      </c>
      <c r="C12" t="s">
        <v>63</v>
      </c>
    </row>
    <row r="13" spans="1:3" x14ac:dyDescent="0.25">
      <c r="A13" t="s">
        <v>216</v>
      </c>
      <c r="B13" t="s">
        <v>66</v>
      </c>
      <c r="C13" t="s">
        <v>67</v>
      </c>
    </row>
    <row r="14" spans="1:3" x14ac:dyDescent="0.25">
      <c r="A14" t="s">
        <v>217</v>
      </c>
      <c r="B14" t="s">
        <v>68</v>
      </c>
      <c r="C14" s="6" t="s">
        <v>71</v>
      </c>
    </row>
    <row r="15" spans="1:3" x14ac:dyDescent="0.25">
      <c r="A15" t="s">
        <v>218</v>
      </c>
      <c r="B15" t="s">
        <v>73</v>
      </c>
      <c r="C15" t="s">
        <v>71</v>
      </c>
    </row>
    <row r="16" spans="1:3" x14ac:dyDescent="0.25">
      <c r="A16" t="s">
        <v>219</v>
      </c>
      <c r="B16" t="s">
        <v>78</v>
      </c>
      <c r="C16" t="s">
        <v>71</v>
      </c>
    </row>
    <row r="17" spans="1:3" x14ac:dyDescent="0.25">
      <c r="A17" t="s">
        <v>220</v>
      </c>
      <c r="B17" t="s">
        <v>83</v>
      </c>
      <c r="C17" t="s">
        <v>86</v>
      </c>
    </row>
    <row r="18" spans="1:3" x14ac:dyDescent="0.25">
      <c r="A18" t="s">
        <v>221</v>
      </c>
      <c r="B18" t="s">
        <v>69</v>
      </c>
      <c r="C18" s="6" t="s">
        <v>64</v>
      </c>
    </row>
    <row r="19" spans="1:3" x14ac:dyDescent="0.25">
      <c r="A19" t="s">
        <v>222</v>
      </c>
      <c r="B19" t="s">
        <v>74</v>
      </c>
      <c r="C19" t="s">
        <v>76</v>
      </c>
    </row>
    <row r="20" spans="1:3" x14ac:dyDescent="0.25">
      <c r="A20" t="s">
        <v>223</v>
      </c>
      <c r="B20" t="s">
        <v>79</v>
      </c>
      <c r="C20" t="s">
        <v>81</v>
      </c>
    </row>
    <row r="21" spans="1:3" x14ac:dyDescent="0.25">
      <c r="A21" t="s">
        <v>224</v>
      </c>
      <c r="B21" t="s">
        <v>84</v>
      </c>
      <c r="C21" t="s">
        <v>87</v>
      </c>
    </row>
    <row r="22" spans="1:3" x14ac:dyDescent="0.25">
      <c r="A22" t="s">
        <v>225</v>
      </c>
      <c r="B22" t="s">
        <v>70</v>
      </c>
      <c r="C22" s="6" t="s">
        <v>72</v>
      </c>
    </row>
    <row r="23" spans="1:3" x14ac:dyDescent="0.25">
      <c r="A23" t="s">
        <v>226</v>
      </c>
      <c r="B23" t="s">
        <v>75</v>
      </c>
      <c r="C23" t="s">
        <v>77</v>
      </c>
    </row>
    <row r="24" spans="1:3" x14ac:dyDescent="0.25">
      <c r="A24" t="s">
        <v>227</v>
      </c>
      <c r="B24" t="s">
        <v>80</v>
      </c>
      <c r="C24" t="s">
        <v>82</v>
      </c>
    </row>
    <row r="25" spans="1:3" x14ac:dyDescent="0.25">
      <c r="A25" t="s">
        <v>228</v>
      </c>
      <c r="B25" t="s">
        <v>85</v>
      </c>
      <c r="C25" t="s">
        <v>88</v>
      </c>
    </row>
    <row r="26" spans="1:3" x14ac:dyDescent="0.25">
      <c r="A26" t="s">
        <v>229</v>
      </c>
      <c r="B26" t="s">
        <v>89</v>
      </c>
      <c r="C26" s="6" t="s">
        <v>92</v>
      </c>
    </row>
    <row r="27" spans="1:3" x14ac:dyDescent="0.25">
      <c r="A27" t="s">
        <v>230</v>
      </c>
      <c r="B27" t="s">
        <v>95</v>
      </c>
      <c r="C27" t="s">
        <v>98</v>
      </c>
    </row>
    <row r="28" spans="1:3" x14ac:dyDescent="0.25">
      <c r="A28" t="s">
        <v>231</v>
      </c>
      <c r="B28" t="s">
        <v>100</v>
      </c>
      <c r="C28" t="s">
        <v>103</v>
      </c>
    </row>
    <row r="29" spans="1:3" x14ac:dyDescent="0.25">
      <c r="A29" t="s">
        <v>232</v>
      </c>
      <c r="B29" t="s">
        <v>104</v>
      </c>
      <c r="C29" t="s">
        <v>60</v>
      </c>
    </row>
    <row r="30" spans="1:3" x14ac:dyDescent="0.25">
      <c r="A30" t="s">
        <v>233</v>
      </c>
      <c r="B30" t="s">
        <v>90</v>
      </c>
      <c r="C30" s="6" t="s">
        <v>93</v>
      </c>
    </row>
    <row r="31" spans="1:3" x14ac:dyDescent="0.25">
      <c r="A31" t="s">
        <v>234</v>
      </c>
      <c r="B31" t="s">
        <v>96</v>
      </c>
      <c r="C31" t="s">
        <v>48</v>
      </c>
    </row>
    <row r="32" spans="1:3" x14ac:dyDescent="0.25">
      <c r="A32" t="s">
        <v>235</v>
      </c>
      <c r="B32" t="s">
        <v>101</v>
      </c>
      <c r="C32" t="s">
        <v>103</v>
      </c>
    </row>
    <row r="33" spans="1:3" x14ac:dyDescent="0.25">
      <c r="A33" t="s">
        <v>236</v>
      </c>
      <c r="B33" t="s">
        <v>105</v>
      </c>
      <c r="C33" t="s">
        <v>107</v>
      </c>
    </row>
    <row r="34" spans="1:3" x14ac:dyDescent="0.25">
      <c r="A34" t="s">
        <v>237</v>
      </c>
      <c r="B34" t="s">
        <v>91</v>
      </c>
      <c r="C34" s="6" t="s">
        <v>94</v>
      </c>
    </row>
    <row r="35" spans="1:3" x14ac:dyDescent="0.25">
      <c r="A35" t="s">
        <v>238</v>
      </c>
      <c r="B35" t="s">
        <v>97</v>
      </c>
      <c r="C35" t="s">
        <v>99</v>
      </c>
    </row>
    <row r="36" spans="1:3" x14ac:dyDescent="0.25">
      <c r="A36" t="s">
        <v>239</v>
      </c>
      <c r="B36" t="s">
        <v>102</v>
      </c>
      <c r="C36" t="s">
        <v>93</v>
      </c>
    </row>
    <row r="37" spans="1:3" x14ac:dyDescent="0.25">
      <c r="A37" t="s">
        <v>240</v>
      </c>
      <c r="B37" t="s">
        <v>106</v>
      </c>
      <c r="C37" t="s">
        <v>55</v>
      </c>
    </row>
    <row r="38" spans="1:3" x14ac:dyDescent="0.25">
      <c r="A38" t="s">
        <v>241</v>
      </c>
      <c r="B38" t="s">
        <v>109</v>
      </c>
      <c r="C38" s="6" t="s">
        <v>112</v>
      </c>
    </row>
    <row r="39" spans="1:3" x14ac:dyDescent="0.25">
      <c r="A39" t="s">
        <v>242</v>
      </c>
      <c r="B39" t="s">
        <v>114</v>
      </c>
      <c r="C39" t="s">
        <v>117</v>
      </c>
    </row>
    <row r="40" spans="1:3" x14ac:dyDescent="0.25">
      <c r="A40" t="s">
        <v>243</v>
      </c>
      <c r="B40" t="s">
        <v>120</v>
      </c>
      <c r="C40" t="s">
        <v>123</v>
      </c>
    </row>
    <row r="41" spans="1:3" x14ac:dyDescent="0.25">
      <c r="A41" t="s">
        <v>244</v>
      </c>
      <c r="B41" t="s">
        <v>124</v>
      </c>
      <c r="C41" t="s">
        <v>7</v>
      </c>
    </row>
    <row r="42" spans="1:3" x14ac:dyDescent="0.25">
      <c r="A42" t="s">
        <v>245</v>
      </c>
      <c r="B42" t="s">
        <v>110</v>
      </c>
      <c r="C42" s="6" t="s">
        <v>113</v>
      </c>
    </row>
    <row r="43" spans="1:3" x14ac:dyDescent="0.25">
      <c r="A43" t="s">
        <v>246</v>
      </c>
      <c r="B43" t="s">
        <v>115</v>
      </c>
      <c r="C43" t="s">
        <v>118</v>
      </c>
    </row>
    <row r="44" spans="1:3" x14ac:dyDescent="0.25">
      <c r="A44" t="s">
        <v>247</v>
      </c>
      <c r="B44" t="s">
        <v>121</v>
      </c>
      <c r="C44" t="s">
        <v>60</v>
      </c>
    </row>
    <row r="45" spans="1:3" x14ac:dyDescent="0.25">
      <c r="A45" t="s">
        <v>248</v>
      </c>
      <c r="B45" t="s">
        <v>126</v>
      </c>
      <c r="C45" t="s">
        <v>8</v>
      </c>
    </row>
    <row r="46" spans="1:3" x14ac:dyDescent="0.25">
      <c r="A46" t="s">
        <v>249</v>
      </c>
      <c r="B46" t="s">
        <v>111</v>
      </c>
      <c r="C46" s="6" t="s">
        <v>10</v>
      </c>
    </row>
    <row r="47" spans="1:3" x14ac:dyDescent="0.25">
      <c r="A47" t="s">
        <v>250</v>
      </c>
      <c r="B47" t="s">
        <v>116</v>
      </c>
      <c r="C47" t="s">
        <v>119</v>
      </c>
    </row>
    <row r="48" spans="1:3" x14ac:dyDescent="0.25">
      <c r="A48" t="s">
        <v>251</v>
      </c>
      <c r="B48" t="s">
        <v>122</v>
      </c>
      <c r="C48" t="s">
        <v>55</v>
      </c>
    </row>
    <row r="49" spans="1:3" x14ac:dyDescent="0.25">
      <c r="A49" t="s">
        <v>252</v>
      </c>
      <c r="B49" t="s">
        <v>125</v>
      </c>
      <c r="C49" t="s">
        <v>60</v>
      </c>
    </row>
    <row r="50" spans="1:3" x14ac:dyDescent="0.25">
      <c r="A50" t="s">
        <v>253</v>
      </c>
      <c r="B50" t="s">
        <v>127</v>
      </c>
      <c r="C50" t="s">
        <v>148</v>
      </c>
    </row>
    <row r="51" spans="1:3" x14ac:dyDescent="0.25">
      <c r="A51" t="s">
        <v>254</v>
      </c>
      <c r="B51" t="s">
        <v>130</v>
      </c>
      <c r="C51" t="s">
        <v>55</v>
      </c>
    </row>
    <row r="52" spans="1:3" x14ac:dyDescent="0.25">
      <c r="A52" t="s">
        <v>255</v>
      </c>
      <c r="B52" t="s">
        <v>131</v>
      </c>
      <c r="C52" t="s">
        <v>138</v>
      </c>
    </row>
    <row r="53" spans="1:3" x14ac:dyDescent="0.25">
      <c r="A53" t="s">
        <v>256</v>
      </c>
      <c r="B53" t="s">
        <v>140</v>
      </c>
      <c r="C53" t="s">
        <v>107</v>
      </c>
    </row>
    <row r="54" spans="1:3" x14ac:dyDescent="0.25">
      <c r="A54" t="s">
        <v>257</v>
      </c>
      <c r="B54" t="s">
        <v>128</v>
      </c>
      <c r="C54" s="6" t="s">
        <v>107</v>
      </c>
    </row>
    <row r="55" spans="1:3" x14ac:dyDescent="0.25">
      <c r="A55" t="s">
        <v>258</v>
      </c>
      <c r="B55" t="s">
        <v>132</v>
      </c>
      <c r="C55" t="s">
        <v>134</v>
      </c>
    </row>
    <row r="56" spans="1:3" x14ac:dyDescent="0.25">
      <c r="A56" t="s">
        <v>259</v>
      </c>
      <c r="B56" t="s">
        <v>137</v>
      </c>
      <c r="C56" t="s">
        <v>55</v>
      </c>
    </row>
    <row r="57" spans="1:3" x14ac:dyDescent="0.25">
      <c r="A57" t="s">
        <v>260</v>
      </c>
      <c r="B57" t="s">
        <v>141</v>
      </c>
      <c r="C57" t="s">
        <v>143</v>
      </c>
    </row>
    <row r="58" spans="1:3" x14ac:dyDescent="0.25">
      <c r="A58" t="s">
        <v>261</v>
      </c>
      <c r="B58" t="s">
        <v>129</v>
      </c>
      <c r="C58" s="6" t="s">
        <v>149</v>
      </c>
    </row>
    <row r="59" spans="1:3" x14ac:dyDescent="0.25">
      <c r="A59" t="s">
        <v>262</v>
      </c>
      <c r="B59" t="s">
        <v>133</v>
      </c>
      <c r="C59" t="s">
        <v>135</v>
      </c>
    </row>
    <row r="60" spans="1:3" x14ac:dyDescent="0.25">
      <c r="A60" t="s">
        <v>263</v>
      </c>
      <c r="B60" t="s">
        <v>136</v>
      </c>
      <c r="C60" t="s">
        <v>139</v>
      </c>
    </row>
    <row r="61" spans="1:3" x14ac:dyDescent="0.25">
      <c r="A61" t="s">
        <v>264</v>
      </c>
      <c r="B61" t="s">
        <v>142</v>
      </c>
      <c r="C61" t="s">
        <v>144</v>
      </c>
    </row>
    <row r="62" spans="1:3" x14ac:dyDescent="0.25">
      <c r="A62" t="s">
        <v>265</v>
      </c>
      <c r="B62" t="s">
        <v>145</v>
      </c>
      <c r="C62" s="6" t="s">
        <v>7</v>
      </c>
    </row>
    <row r="63" spans="1:3" x14ac:dyDescent="0.25">
      <c r="A63" t="s">
        <v>266</v>
      </c>
      <c r="B63" t="s">
        <v>151</v>
      </c>
      <c r="C63" t="s">
        <v>55</v>
      </c>
    </row>
    <row r="64" spans="1:3" x14ac:dyDescent="0.25">
      <c r="A64" t="s">
        <v>267</v>
      </c>
      <c r="B64" t="s">
        <v>154</v>
      </c>
      <c r="C64" t="s">
        <v>7</v>
      </c>
    </row>
    <row r="65" spans="1:3" x14ac:dyDescent="0.25">
      <c r="A65" t="s">
        <v>268</v>
      </c>
      <c r="B65" t="s">
        <v>155</v>
      </c>
      <c r="C65" t="s">
        <v>8</v>
      </c>
    </row>
    <row r="66" spans="1:3" x14ac:dyDescent="0.25">
      <c r="A66" t="s">
        <v>269</v>
      </c>
      <c r="B66" t="s">
        <v>146</v>
      </c>
      <c r="C66" s="6" t="s">
        <v>150</v>
      </c>
    </row>
    <row r="67" spans="1:3" x14ac:dyDescent="0.25">
      <c r="A67" t="s">
        <v>270</v>
      </c>
      <c r="B67" t="s">
        <v>9</v>
      </c>
      <c r="C67" t="s">
        <v>153</v>
      </c>
    </row>
    <row r="68" spans="1:3" x14ac:dyDescent="0.25">
      <c r="A68" t="s">
        <v>271</v>
      </c>
      <c r="B68" t="s">
        <v>156</v>
      </c>
      <c r="C68" t="s">
        <v>7</v>
      </c>
    </row>
    <row r="69" spans="1:3" x14ac:dyDescent="0.25">
      <c r="A69" t="s">
        <v>272</v>
      </c>
      <c r="B69" t="s">
        <v>158</v>
      </c>
      <c r="C69" t="s">
        <v>160</v>
      </c>
    </row>
    <row r="70" spans="1:3" x14ac:dyDescent="0.25">
      <c r="A70" t="s">
        <v>273</v>
      </c>
      <c r="B70" t="s">
        <v>147</v>
      </c>
      <c r="C70" s="6" t="s">
        <v>150</v>
      </c>
    </row>
    <row r="71" spans="1:3" x14ac:dyDescent="0.25">
      <c r="A71" t="s">
        <v>274</v>
      </c>
      <c r="B71" t="s">
        <v>152</v>
      </c>
      <c r="C71" t="s">
        <v>55</v>
      </c>
    </row>
    <row r="72" spans="1:3" x14ac:dyDescent="0.25">
      <c r="A72" t="s">
        <v>275</v>
      </c>
      <c r="B72" t="s">
        <v>157</v>
      </c>
      <c r="C72" t="s">
        <v>153</v>
      </c>
    </row>
    <row r="73" spans="1:3" x14ac:dyDescent="0.25">
      <c r="A73" t="s">
        <v>276</v>
      </c>
      <c r="B73" t="s">
        <v>159</v>
      </c>
      <c r="C73" t="s">
        <v>139</v>
      </c>
    </row>
    <row r="74" spans="1:3" x14ac:dyDescent="0.25">
      <c r="A74" t="s">
        <v>277</v>
      </c>
      <c r="B74" t="s">
        <v>161</v>
      </c>
      <c r="C74" s="6" t="s">
        <v>60</v>
      </c>
    </row>
    <row r="75" spans="1:3" x14ac:dyDescent="0.25">
      <c r="A75" t="s">
        <v>278</v>
      </c>
      <c r="B75" t="s">
        <v>165</v>
      </c>
      <c r="C75" t="s">
        <v>107</v>
      </c>
    </row>
    <row r="76" spans="1:3" x14ac:dyDescent="0.25">
      <c r="A76" t="s">
        <v>279</v>
      </c>
      <c r="B76" t="s">
        <v>170</v>
      </c>
      <c r="C76" t="s">
        <v>60</v>
      </c>
    </row>
    <row r="77" spans="1:3" x14ac:dyDescent="0.25">
      <c r="A77" t="s">
        <v>280</v>
      </c>
      <c r="B77" t="s">
        <v>174</v>
      </c>
      <c r="C77" t="s">
        <v>177</v>
      </c>
    </row>
    <row r="78" spans="1:3" x14ac:dyDescent="0.25">
      <c r="A78" t="s">
        <v>281</v>
      </c>
      <c r="B78" t="s">
        <v>162</v>
      </c>
      <c r="C78" s="6" t="s">
        <v>60</v>
      </c>
    </row>
    <row r="79" spans="1:3" x14ac:dyDescent="0.25">
      <c r="A79" t="s">
        <v>282</v>
      </c>
      <c r="B79" t="s">
        <v>166</v>
      </c>
      <c r="C79" t="s">
        <v>168</v>
      </c>
    </row>
    <row r="80" spans="1:3" x14ac:dyDescent="0.25">
      <c r="A80" t="s">
        <v>283</v>
      </c>
      <c r="B80" t="s">
        <v>171</v>
      </c>
      <c r="C80" t="s">
        <v>119</v>
      </c>
    </row>
    <row r="81" spans="1:3" x14ac:dyDescent="0.25">
      <c r="A81" t="s">
        <v>284</v>
      </c>
      <c r="B81" t="s">
        <v>175</v>
      </c>
      <c r="C81" t="s">
        <v>143</v>
      </c>
    </row>
    <row r="82" spans="1:3" x14ac:dyDescent="0.25">
      <c r="A82" t="s">
        <v>285</v>
      </c>
      <c r="B82" t="s">
        <v>163</v>
      </c>
      <c r="C82" s="6" t="s">
        <v>164</v>
      </c>
    </row>
    <row r="83" spans="1:3" x14ac:dyDescent="0.25">
      <c r="A83" t="s">
        <v>286</v>
      </c>
      <c r="B83" t="s">
        <v>167</v>
      </c>
      <c r="C83" t="s">
        <v>169</v>
      </c>
    </row>
    <row r="84" spans="1:3" x14ac:dyDescent="0.25">
      <c r="A84" t="s">
        <v>287</v>
      </c>
      <c r="B84" t="s">
        <v>172</v>
      </c>
      <c r="C84" t="s">
        <v>173</v>
      </c>
    </row>
    <row r="85" spans="1:3" x14ac:dyDescent="0.25">
      <c r="A85" t="s">
        <v>288</v>
      </c>
      <c r="B85" t="s">
        <v>176</v>
      </c>
      <c r="C85" t="s">
        <v>60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D72B2-4110-490B-A24C-C3D944D3CC0A}">
  <dimension ref="A1:Z85"/>
  <sheetViews>
    <sheetView zoomScaleNormal="100" workbookViewId="0">
      <selection activeCell="T22" sqref="T22"/>
    </sheetView>
  </sheetViews>
  <sheetFormatPr defaultColWidth="5.7109375" defaultRowHeight="15" x14ac:dyDescent="0.25"/>
  <cols>
    <col min="1" max="1" width="5.140625" style="16" bestFit="1" customWidth="1"/>
    <col min="2" max="10" width="3.140625" bestFit="1" customWidth="1"/>
    <col min="11" max="22" width="4.140625" bestFit="1" customWidth="1"/>
    <col min="23" max="23" width="7" bestFit="1" customWidth="1"/>
    <col min="24" max="24" width="7.42578125" style="23" bestFit="1" customWidth="1"/>
    <col min="25" max="25" width="5.28515625" bestFit="1" customWidth="1"/>
    <col min="26" max="26" width="15.28515625" customWidth="1"/>
  </cols>
  <sheetData>
    <row r="1" spans="1:26" ht="15.75" thickBot="1" x14ac:dyDescent="0.3">
      <c r="A1" s="37"/>
      <c r="B1" s="36" t="s">
        <v>427</v>
      </c>
      <c r="C1" s="35" t="s">
        <v>428</v>
      </c>
      <c r="D1" s="36" t="s">
        <v>429</v>
      </c>
      <c r="E1" s="35" t="s">
        <v>430</v>
      </c>
      <c r="F1" s="36" t="s">
        <v>431</v>
      </c>
      <c r="G1" s="35" t="s">
        <v>432</v>
      </c>
      <c r="H1" s="36" t="s">
        <v>433</v>
      </c>
      <c r="I1" s="35" t="s">
        <v>434</v>
      </c>
      <c r="J1" s="36" t="s">
        <v>435</v>
      </c>
      <c r="K1" s="35" t="s">
        <v>436</v>
      </c>
      <c r="L1" s="36" t="s">
        <v>437</v>
      </c>
      <c r="M1" s="35" t="s">
        <v>438</v>
      </c>
      <c r="N1" s="36" t="s">
        <v>439</v>
      </c>
      <c r="O1" s="35" t="s">
        <v>440</v>
      </c>
      <c r="P1" s="36" t="s">
        <v>441</v>
      </c>
      <c r="Q1" s="35" t="s">
        <v>442</v>
      </c>
      <c r="R1" s="36" t="s">
        <v>443</v>
      </c>
      <c r="S1" s="35" t="s">
        <v>444</v>
      </c>
      <c r="T1" s="36" t="s">
        <v>445</v>
      </c>
      <c r="U1" s="35" t="s">
        <v>446</v>
      </c>
      <c r="V1" s="34" t="s">
        <v>447</v>
      </c>
      <c r="W1" s="62" t="s">
        <v>291</v>
      </c>
      <c r="X1" s="36" t="s">
        <v>426</v>
      </c>
      <c r="Y1" s="63" t="s">
        <v>45</v>
      </c>
      <c r="Z1" t="s">
        <v>297</v>
      </c>
    </row>
    <row r="2" spans="1:26" x14ac:dyDescent="0.25">
      <c r="A2" s="38" t="s">
        <v>205</v>
      </c>
      <c r="B2" s="15">
        <v>9</v>
      </c>
      <c r="C2" s="15">
        <v>0</v>
      </c>
      <c r="D2" s="15">
        <v>0</v>
      </c>
      <c r="E2" s="15">
        <v>0</v>
      </c>
      <c r="F2" s="15">
        <v>9</v>
      </c>
      <c r="G2" s="15">
        <v>9</v>
      </c>
      <c r="H2" s="15">
        <v>1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  <c r="N2" s="15">
        <v>3</v>
      </c>
      <c r="O2" s="15">
        <v>1</v>
      </c>
      <c r="P2" s="15">
        <v>0</v>
      </c>
      <c r="Q2" s="15">
        <v>1</v>
      </c>
      <c r="R2" s="15">
        <v>3</v>
      </c>
      <c r="S2" s="15">
        <v>3</v>
      </c>
      <c r="T2" s="15">
        <v>0</v>
      </c>
      <c r="U2" s="15">
        <v>3</v>
      </c>
      <c r="V2" s="42">
        <v>0</v>
      </c>
      <c r="W2" s="56">
        <v>139.75</v>
      </c>
      <c r="X2" s="58">
        <v>1.3199216075181224E-2</v>
      </c>
      <c r="Y2" s="60">
        <v>31</v>
      </c>
      <c r="Z2" t="s">
        <v>299</v>
      </c>
    </row>
    <row r="3" spans="1:26" x14ac:dyDescent="0.25">
      <c r="A3" s="39" t="s">
        <v>206</v>
      </c>
      <c r="B3" s="15">
        <v>9</v>
      </c>
      <c r="C3" s="15">
        <v>1</v>
      </c>
      <c r="D3" s="15">
        <v>0</v>
      </c>
      <c r="E3" s="15">
        <v>3</v>
      </c>
      <c r="F3" s="15">
        <v>9</v>
      </c>
      <c r="G3" s="15">
        <v>9</v>
      </c>
      <c r="H3" s="15">
        <v>1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  <c r="N3" s="15">
        <v>3</v>
      </c>
      <c r="O3" s="15">
        <v>3</v>
      </c>
      <c r="P3" s="15">
        <v>3</v>
      </c>
      <c r="Q3" s="15">
        <v>3</v>
      </c>
      <c r="R3" s="15">
        <v>3</v>
      </c>
      <c r="S3" s="15">
        <v>3</v>
      </c>
      <c r="T3" s="15">
        <v>0</v>
      </c>
      <c r="U3" s="15">
        <v>3</v>
      </c>
      <c r="V3" s="42">
        <v>0</v>
      </c>
      <c r="W3" s="56">
        <v>177.75</v>
      </c>
      <c r="X3" s="58">
        <v>1.6788269462350357E-2</v>
      </c>
      <c r="Y3" s="60">
        <v>11</v>
      </c>
      <c r="Z3" t="s">
        <v>295</v>
      </c>
    </row>
    <row r="4" spans="1:26" x14ac:dyDescent="0.25">
      <c r="A4" s="40" t="s">
        <v>207</v>
      </c>
      <c r="B4" s="15">
        <v>3</v>
      </c>
      <c r="C4" s="15">
        <v>0</v>
      </c>
      <c r="D4" s="15">
        <v>0</v>
      </c>
      <c r="E4" s="15">
        <v>0</v>
      </c>
      <c r="F4" s="15">
        <v>3</v>
      </c>
      <c r="G4" s="15">
        <v>3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9</v>
      </c>
      <c r="O4" s="15">
        <v>1</v>
      </c>
      <c r="P4" s="15">
        <v>1</v>
      </c>
      <c r="Q4" s="15">
        <v>3</v>
      </c>
      <c r="R4" s="15">
        <v>9</v>
      </c>
      <c r="S4" s="15">
        <v>9</v>
      </c>
      <c r="T4" s="15">
        <v>0</v>
      </c>
      <c r="U4" s="15">
        <v>1</v>
      </c>
      <c r="V4" s="42">
        <v>0</v>
      </c>
      <c r="W4" s="56">
        <v>138.75</v>
      </c>
      <c r="X4" s="58">
        <v>1.3104767301834668E-2</v>
      </c>
      <c r="Y4" s="60">
        <v>32</v>
      </c>
      <c r="Z4" t="s">
        <v>298</v>
      </c>
    </row>
    <row r="5" spans="1:26" x14ac:dyDescent="0.25">
      <c r="A5" s="39" t="s">
        <v>208</v>
      </c>
      <c r="B5" s="15">
        <v>9</v>
      </c>
      <c r="C5" s="15">
        <v>3</v>
      </c>
      <c r="D5" s="15">
        <v>0</v>
      </c>
      <c r="E5" s="15">
        <v>3</v>
      </c>
      <c r="F5" s="15">
        <v>9</v>
      </c>
      <c r="G5" s="15">
        <v>3</v>
      </c>
      <c r="H5" s="15">
        <v>1</v>
      </c>
      <c r="I5" s="15">
        <v>0</v>
      </c>
      <c r="J5" s="15">
        <v>0</v>
      </c>
      <c r="K5" s="15">
        <v>0</v>
      </c>
      <c r="L5" s="15">
        <v>1</v>
      </c>
      <c r="M5" s="15">
        <v>0</v>
      </c>
      <c r="N5" s="15">
        <v>3</v>
      </c>
      <c r="O5" s="15">
        <v>3</v>
      </c>
      <c r="P5" s="15">
        <v>0</v>
      </c>
      <c r="Q5" s="15">
        <v>3</v>
      </c>
      <c r="R5" s="15">
        <v>3</v>
      </c>
      <c r="S5" s="15">
        <v>3</v>
      </c>
      <c r="T5" s="15">
        <v>0</v>
      </c>
      <c r="U5" s="15">
        <v>3</v>
      </c>
      <c r="V5" s="42">
        <v>1</v>
      </c>
      <c r="W5" s="56">
        <v>161.25</v>
      </c>
      <c r="X5" s="58">
        <v>1.5229864702132181E-2</v>
      </c>
      <c r="Y5" s="60">
        <v>19</v>
      </c>
      <c r="Z5" t="s">
        <v>300</v>
      </c>
    </row>
    <row r="6" spans="1:26" x14ac:dyDescent="0.25">
      <c r="A6" s="40" t="s">
        <v>209</v>
      </c>
      <c r="B6" s="15">
        <v>1</v>
      </c>
      <c r="C6" s="15">
        <v>9</v>
      </c>
      <c r="D6" s="15">
        <v>0</v>
      </c>
      <c r="E6" s="15">
        <v>3</v>
      </c>
      <c r="F6" s="15">
        <v>3</v>
      </c>
      <c r="G6" s="15">
        <v>1</v>
      </c>
      <c r="H6" s="15">
        <v>1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3</v>
      </c>
      <c r="O6" s="15">
        <v>3</v>
      </c>
      <c r="P6" s="15">
        <v>0</v>
      </c>
      <c r="Q6" s="15">
        <v>1</v>
      </c>
      <c r="R6" s="15">
        <v>3</v>
      </c>
      <c r="S6" s="15">
        <v>1</v>
      </c>
      <c r="T6" s="15">
        <v>0</v>
      </c>
      <c r="U6" s="15">
        <v>3</v>
      </c>
      <c r="V6" s="42">
        <v>0</v>
      </c>
      <c r="W6" s="56">
        <v>104.25</v>
      </c>
      <c r="X6" s="58">
        <v>9.8462846213784802E-3</v>
      </c>
      <c r="Y6" s="60">
        <v>53</v>
      </c>
    </row>
    <row r="7" spans="1:26" x14ac:dyDescent="0.25">
      <c r="A7" s="39" t="s">
        <v>210</v>
      </c>
      <c r="B7" s="15">
        <v>1</v>
      </c>
      <c r="C7" s="15">
        <v>9</v>
      </c>
      <c r="D7" s="15">
        <v>0</v>
      </c>
      <c r="E7" s="15">
        <v>3</v>
      </c>
      <c r="F7" s="15">
        <v>3</v>
      </c>
      <c r="G7" s="15">
        <v>1</v>
      </c>
      <c r="H7" s="15">
        <v>1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3</v>
      </c>
      <c r="O7" s="15">
        <v>1</v>
      </c>
      <c r="P7" s="15">
        <v>0</v>
      </c>
      <c r="Q7" s="15">
        <v>1</v>
      </c>
      <c r="R7" s="15">
        <v>3</v>
      </c>
      <c r="S7" s="15">
        <v>1</v>
      </c>
      <c r="T7" s="15">
        <v>0</v>
      </c>
      <c r="U7" s="15">
        <v>3</v>
      </c>
      <c r="V7" s="42">
        <v>0</v>
      </c>
      <c r="W7" s="56">
        <v>98.75</v>
      </c>
      <c r="X7" s="58">
        <v>9.3268163679724216E-3</v>
      </c>
      <c r="Y7" s="60">
        <v>60</v>
      </c>
    </row>
    <row r="8" spans="1:26" x14ac:dyDescent="0.25">
      <c r="A8" s="40" t="s">
        <v>211</v>
      </c>
      <c r="B8" s="15">
        <v>0</v>
      </c>
      <c r="C8" s="15">
        <v>9</v>
      </c>
      <c r="D8" s="15">
        <v>0</v>
      </c>
      <c r="E8" s="15">
        <v>3</v>
      </c>
      <c r="F8" s="15">
        <v>1</v>
      </c>
      <c r="G8" s="15">
        <v>1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3</v>
      </c>
      <c r="O8" s="15">
        <v>1</v>
      </c>
      <c r="P8" s="15">
        <v>0</v>
      </c>
      <c r="Q8" s="15">
        <v>3</v>
      </c>
      <c r="R8" s="15">
        <v>3</v>
      </c>
      <c r="S8" s="15">
        <v>1</v>
      </c>
      <c r="T8" s="15">
        <v>0</v>
      </c>
      <c r="U8" s="15">
        <v>1</v>
      </c>
      <c r="V8" s="42">
        <v>0</v>
      </c>
      <c r="W8" s="56">
        <v>87.25</v>
      </c>
      <c r="X8" s="58">
        <v>8.2406554744870256E-3</v>
      </c>
      <c r="Y8" s="60">
        <v>62</v>
      </c>
    </row>
    <row r="9" spans="1:26" x14ac:dyDescent="0.25">
      <c r="A9" s="39" t="s">
        <v>212</v>
      </c>
      <c r="B9" s="15">
        <v>3</v>
      </c>
      <c r="C9" s="15">
        <v>3</v>
      </c>
      <c r="D9" s="15">
        <v>3</v>
      </c>
      <c r="E9" s="15">
        <v>3</v>
      </c>
      <c r="F9" s="15">
        <v>1</v>
      </c>
      <c r="G9" s="15">
        <v>3</v>
      </c>
      <c r="H9" s="15">
        <v>3</v>
      </c>
      <c r="I9" s="15">
        <v>0</v>
      </c>
      <c r="J9" s="15">
        <v>0</v>
      </c>
      <c r="K9" s="15">
        <v>3</v>
      </c>
      <c r="L9" s="15">
        <v>3</v>
      </c>
      <c r="M9" s="15">
        <v>1</v>
      </c>
      <c r="N9" s="15">
        <v>3</v>
      </c>
      <c r="O9" s="15">
        <v>1</v>
      </c>
      <c r="P9" s="15">
        <v>0</v>
      </c>
      <c r="Q9" s="15">
        <v>3</v>
      </c>
      <c r="R9" s="15">
        <v>9</v>
      </c>
      <c r="S9" s="15">
        <v>9</v>
      </c>
      <c r="T9" s="15">
        <v>0</v>
      </c>
      <c r="U9" s="15">
        <v>3</v>
      </c>
      <c r="V9" s="42">
        <v>3</v>
      </c>
      <c r="W9" s="56">
        <v>194.25</v>
      </c>
      <c r="X9" s="58">
        <v>1.8346674222568533E-2</v>
      </c>
      <c r="Y9" s="60">
        <v>5</v>
      </c>
    </row>
    <row r="10" spans="1:26" x14ac:dyDescent="0.25">
      <c r="A10" s="40" t="s">
        <v>213</v>
      </c>
      <c r="B10" s="15">
        <v>1</v>
      </c>
      <c r="C10" s="15">
        <v>0</v>
      </c>
      <c r="D10" s="15">
        <v>9</v>
      </c>
      <c r="E10" s="15">
        <v>0</v>
      </c>
      <c r="F10" s="15">
        <v>0</v>
      </c>
      <c r="G10" s="15">
        <v>0</v>
      </c>
      <c r="H10" s="15">
        <v>9</v>
      </c>
      <c r="I10" s="15">
        <v>9</v>
      </c>
      <c r="J10" s="15">
        <v>1</v>
      </c>
      <c r="K10" s="15">
        <v>0</v>
      </c>
      <c r="L10" s="15">
        <v>0</v>
      </c>
      <c r="M10" s="15">
        <v>1</v>
      </c>
      <c r="N10" s="15">
        <v>1</v>
      </c>
      <c r="O10" s="15">
        <v>0</v>
      </c>
      <c r="P10" s="15">
        <v>0</v>
      </c>
      <c r="Q10" s="15">
        <v>1</v>
      </c>
      <c r="R10" s="15">
        <v>1</v>
      </c>
      <c r="S10" s="15">
        <v>1</v>
      </c>
      <c r="T10" s="15">
        <v>0</v>
      </c>
      <c r="U10" s="15">
        <v>3</v>
      </c>
      <c r="V10" s="42">
        <v>1</v>
      </c>
      <c r="W10" s="56">
        <v>115.75</v>
      </c>
      <c r="X10" s="58">
        <v>1.0932445514863876E-2</v>
      </c>
      <c r="Y10" s="60">
        <v>50</v>
      </c>
    </row>
    <row r="11" spans="1:26" x14ac:dyDescent="0.25">
      <c r="A11" s="39" t="s">
        <v>214</v>
      </c>
      <c r="B11" s="15">
        <v>1</v>
      </c>
      <c r="C11" s="15">
        <v>0</v>
      </c>
      <c r="D11" s="15">
        <v>9</v>
      </c>
      <c r="E11" s="15">
        <v>0</v>
      </c>
      <c r="F11" s="15">
        <v>1</v>
      </c>
      <c r="G11" s="15">
        <v>3</v>
      </c>
      <c r="H11" s="15">
        <v>9</v>
      </c>
      <c r="I11" s="15">
        <v>3</v>
      </c>
      <c r="J11" s="15">
        <v>3</v>
      </c>
      <c r="K11" s="15">
        <v>3</v>
      </c>
      <c r="L11" s="15">
        <v>0</v>
      </c>
      <c r="M11" s="15">
        <v>1</v>
      </c>
      <c r="N11" s="15">
        <v>3</v>
      </c>
      <c r="O11" s="15">
        <v>0</v>
      </c>
      <c r="P11" s="15">
        <v>0</v>
      </c>
      <c r="Q11" s="15">
        <v>3</v>
      </c>
      <c r="R11" s="15">
        <v>3</v>
      </c>
      <c r="S11" s="15">
        <v>3</v>
      </c>
      <c r="T11" s="15">
        <v>0</v>
      </c>
      <c r="U11" s="15">
        <v>3</v>
      </c>
      <c r="V11" s="42">
        <v>0</v>
      </c>
      <c r="W11" s="56">
        <v>158</v>
      </c>
      <c r="X11" s="58">
        <v>1.4922906188755873E-2</v>
      </c>
      <c r="Y11" s="60">
        <v>21</v>
      </c>
    </row>
    <row r="12" spans="1:26" x14ac:dyDescent="0.25">
      <c r="A12" s="40" t="s">
        <v>215</v>
      </c>
      <c r="B12" s="15">
        <v>3</v>
      </c>
      <c r="C12" s="15">
        <v>0</v>
      </c>
      <c r="D12" s="15">
        <v>9</v>
      </c>
      <c r="E12" s="15">
        <v>0</v>
      </c>
      <c r="F12" s="15">
        <v>1</v>
      </c>
      <c r="G12" s="15">
        <v>3</v>
      </c>
      <c r="H12" s="15">
        <v>3</v>
      </c>
      <c r="I12" s="15">
        <v>3</v>
      </c>
      <c r="J12" s="15">
        <v>3</v>
      </c>
      <c r="K12" s="15">
        <v>3</v>
      </c>
      <c r="L12" s="15">
        <v>0</v>
      </c>
      <c r="M12" s="15">
        <v>0</v>
      </c>
      <c r="N12" s="15">
        <v>3</v>
      </c>
      <c r="O12" s="15">
        <v>0</v>
      </c>
      <c r="P12" s="15">
        <v>0</v>
      </c>
      <c r="Q12" s="15">
        <v>3</v>
      </c>
      <c r="R12" s="15">
        <v>3</v>
      </c>
      <c r="S12" s="15">
        <v>3</v>
      </c>
      <c r="T12" s="15">
        <v>0</v>
      </c>
      <c r="U12" s="15">
        <v>3</v>
      </c>
      <c r="V12" s="42">
        <v>0</v>
      </c>
      <c r="W12" s="56">
        <v>141.75</v>
      </c>
      <c r="X12" s="58">
        <v>1.3388113621874335E-2</v>
      </c>
      <c r="Y12" s="60">
        <v>28</v>
      </c>
    </row>
    <row r="13" spans="1:26" x14ac:dyDescent="0.25">
      <c r="A13" s="39" t="s">
        <v>216</v>
      </c>
      <c r="B13" s="15">
        <v>1</v>
      </c>
      <c r="C13" s="15">
        <v>0</v>
      </c>
      <c r="D13" s="15">
        <v>9</v>
      </c>
      <c r="E13" s="15">
        <v>0</v>
      </c>
      <c r="F13" s="15">
        <v>0</v>
      </c>
      <c r="G13" s="15">
        <v>0</v>
      </c>
      <c r="H13" s="15">
        <v>9</v>
      </c>
      <c r="I13" s="15">
        <v>1</v>
      </c>
      <c r="J13" s="15">
        <v>1</v>
      </c>
      <c r="K13" s="15">
        <v>0</v>
      </c>
      <c r="L13" s="15">
        <v>0</v>
      </c>
      <c r="M13" s="15">
        <v>1</v>
      </c>
      <c r="N13" s="15">
        <v>1</v>
      </c>
      <c r="O13" s="15">
        <v>0</v>
      </c>
      <c r="P13" s="15">
        <v>0</v>
      </c>
      <c r="Q13" s="15">
        <v>1</v>
      </c>
      <c r="R13" s="15">
        <v>1</v>
      </c>
      <c r="S13" s="15">
        <v>1</v>
      </c>
      <c r="T13" s="15">
        <v>0</v>
      </c>
      <c r="U13" s="15">
        <v>1</v>
      </c>
      <c r="V13" s="42">
        <v>0</v>
      </c>
      <c r="W13" s="56">
        <v>94.5</v>
      </c>
      <c r="X13" s="58">
        <v>8.9254090812495579E-3</v>
      </c>
      <c r="Y13" s="60">
        <v>61</v>
      </c>
    </row>
    <row r="14" spans="1:26" x14ac:dyDescent="0.25">
      <c r="A14" s="40" t="s">
        <v>217</v>
      </c>
      <c r="B14" s="15">
        <v>9</v>
      </c>
      <c r="C14" s="15">
        <v>9</v>
      </c>
      <c r="D14" s="15">
        <v>0</v>
      </c>
      <c r="E14" s="15">
        <v>9</v>
      </c>
      <c r="F14" s="15">
        <v>9</v>
      </c>
      <c r="G14" s="15">
        <v>9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3</v>
      </c>
      <c r="O14" s="15">
        <v>1</v>
      </c>
      <c r="P14" s="15">
        <v>3</v>
      </c>
      <c r="Q14" s="15">
        <v>1</v>
      </c>
      <c r="R14" s="15">
        <v>3</v>
      </c>
      <c r="S14" s="15">
        <v>3</v>
      </c>
      <c r="T14" s="15">
        <v>0</v>
      </c>
      <c r="U14" s="15">
        <v>3</v>
      </c>
      <c r="V14" s="42">
        <v>3</v>
      </c>
      <c r="W14" s="56">
        <v>221</v>
      </c>
      <c r="X14" s="58">
        <v>2.087317890958891E-2</v>
      </c>
      <c r="Y14" s="60">
        <v>2</v>
      </c>
    </row>
    <row r="15" spans="1:26" x14ac:dyDescent="0.25">
      <c r="A15" s="39" t="s">
        <v>218</v>
      </c>
      <c r="B15" s="15">
        <v>9</v>
      </c>
      <c r="C15" s="15">
        <v>9</v>
      </c>
      <c r="D15" s="15">
        <v>0</v>
      </c>
      <c r="E15" s="15">
        <v>9</v>
      </c>
      <c r="F15" s="15">
        <v>9</v>
      </c>
      <c r="G15" s="15">
        <v>9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3</v>
      </c>
      <c r="O15" s="15">
        <v>1</v>
      </c>
      <c r="P15" s="15">
        <v>0</v>
      </c>
      <c r="Q15" s="15">
        <v>1</v>
      </c>
      <c r="R15" s="15">
        <v>3</v>
      </c>
      <c r="S15" s="15">
        <v>1</v>
      </c>
      <c r="T15" s="15">
        <v>0</v>
      </c>
      <c r="U15" s="15">
        <v>1</v>
      </c>
      <c r="V15" s="42">
        <v>1</v>
      </c>
      <c r="W15" s="56">
        <v>192</v>
      </c>
      <c r="X15" s="58">
        <v>1.8134164482538784E-2</v>
      </c>
      <c r="Y15" s="60">
        <v>6</v>
      </c>
    </row>
    <row r="16" spans="1:26" x14ac:dyDescent="0.25">
      <c r="A16" s="40" t="s">
        <v>219</v>
      </c>
      <c r="B16" s="15">
        <v>3</v>
      </c>
      <c r="C16" s="15">
        <v>9</v>
      </c>
      <c r="D16" s="15">
        <v>0</v>
      </c>
      <c r="E16" s="15">
        <v>9</v>
      </c>
      <c r="F16" s="15">
        <v>9</v>
      </c>
      <c r="G16" s="15">
        <v>9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3</v>
      </c>
      <c r="O16" s="15">
        <v>1</v>
      </c>
      <c r="P16" s="15">
        <v>3</v>
      </c>
      <c r="Q16" s="15">
        <v>1</v>
      </c>
      <c r="R16" s="15">
        <v>3</v>
      </c>
      <c r="S16" s="15">
        <v>3</v>
      </c>
      <c r="T16" s="15">
        <v>0</v>
      </c>
      <c r="U16" s="15">
        <v>1</v>
      </c>
      <c r="V16" s="42">
        <v>0</v>
      </c>
      <c r="W16" s="56">
        <v>180.25</v>
      </c>
      <c r="X16" s="58">
        <v>1.7024391395716747E-2</v>
      </c>
      <c r="Y16" s="60">
        <v>9</v>
      </c>
    </row>
    <row r="17" spans="1:25" x14ac:dyDescent="0.25">
      <c r="A17" s="39" t="s">
        <v>220</v>
      </c>
      <c r="B17" s="15">
        <v>3</v>
      </c>
      <c r="C17" s="15">
        <v>9</v>
      </c>
      <c r="D17" s="15">
        <v>0</v>
      </c>
      <c r="E17" s="15">
        <v>9</v>
      </c>
      <c r="F17" s="15">
        <v>9</v>
      </c>
      <c r="G17" s="15">
        <v>9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3</v>
      </c>
      <c r="O17" s="15">
        <v>1</v>
      </c>
      <c r="P17" s="15">
        <v>3</v>
      </c>
      <c r="Q17" s="15">
        <v>1</v>
      </c>
      <c r="R17" s="15">
        <v>1</v>
      </c>
      <c r="S17" s="15">
        <v>1</v>
      </c>
      <c r="T17" s="15">
        <v>0</v>
      </c>
      <c r="U17" s="15">
        <v>3</v>
      </c>
      <c r="V17" s="42">
        <v>3</v>
      </c>
      <c r="W17" s="56">
        <v>184</v>
      </c>
      <c r="X17" s="58">
        <v>1.7378574295766332E-2</v>
      </c>
      <c r="Y17" s="60">
        <v>8</v>
      </c>
    </row>
    <row r="18" spans="1:25" x14ac:dyDescent="0.25">
      <c r="A18" s="40" t="s">
        <v>221</v>
      </c>
      <c r="B18" s="15">
        <v>1</v>
      </c>
      <c r="C18" s="15">
        <v>3</v>
      </c>
      <c r="D18" s="15">
        <v>0</v>
      </c>
      <c r="E18" s="15">
        <v>3</v>
      </c>
      <c r="F18" s="15">
        <v>9</v>
      </c>
      <c r="G18" s="15">
        <v>3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9</v>
      </c>
      <c r="O18" s="15">
        <v>3</v>
      </c>
      <c r="P18" s="15">
        <v>0</v>
      </c>
      <c r="Q18" s="15">
        <v>3</v>
      </c>
      <c r="R18" s="15">
        <v>3</v>
      </c>
      <c r="S18" s="15">
        <v>3</v>
      </c>
      <c r="T18" s="15">
        <v>0</v>
      </c>
      <c r="U18" s="15">
        <v>1</v>
      </c>
      <c r="V18" s="42">
        <v>0</v>
      </c>
      <c r="W18" s="56">
        <v>132.75</v>
      </c>
      <c r="X18" s="58">
        <v>1.2538074661755331E-2</v>
      </c>
      <c r="Y18" s="60">
        <v>36</v>
      </c>
    </row>
    <row r="19" spans="1:25" x14ac:dyDescent="0.25">
      <c r="A19" s="39" t="s">
        <v>222</v>
      </c>
      <c r="B19" s="15">
        <v>3</v>
      </c>
      <c r="C19" s="15">
        <v>3</v>
      </c>
      <c r="D19" s="15">
        <v>0</v>
      </c>
      <c r="E19" s="15">
        <v>3</v>
      </c>
      <c r="F19" s="15">
        <v>9</v>
      </c>
      <c r="G19" s="15">
        <v>3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3</v>
      </c>
      <c r="O19" s="15">
        <v>3</v>
      </c>
      <c r="P19" s="15">
        <v>0</v>
      </c>
      <c r="Q19" s="15">
        <v>3</v>
      </c>
      <c r="R19" s="15">
        <v>3</v>
      </c>
      <c r="S19" s="15">
        <v>3</v>
      </c>
      <c r="T19" s="15">
        <v>0</v>
      </c>
      <c r="U19" s="15">
        <v>3</v>
      </c>
      <c r="V19" s="42">
        <v>0</v>
      </c>
      <c r="W19" s="56">
        <v>126.75</v>
      </c>
      <c r="X19" s="58">
        <v>1.1971382021675993E-2</v>
      </c>
      <c r="Y19" s="60">
        <v>44</v>
      </c>
    </row>
    <row r="20" spans="1:25" x14ac:dyDescent="0.25">
      <c r="A20" s="40" t="s">
        <v>223</v>
      </c>
      <c r="B20" s="15">
        <v>3</v>
      </c>
      <c r="C20" s="15">
        <v>3</v>
      </c>
      <c r="D20" s="15">
        <v>0</v>
      </c>
      <c r="E20" s="15">
        <v>3</v>
      </c>
      <c r="F20" s="15">
        <v>9</v>
      </c>
      <c r="G20" s="15">
        <v>9</v>
      </c>
      <c r="H20" s="15">
        <v>3</v>
      </c>
      <c r="I20" s="15">
        <v>1</v>
      </c>
      <c r="J20" s="15">
        <v>0</v>
      </c>
      <c r="K20" s="15">
        <v>0</v>
      </c>
      <c r="L20" s="15">
        <v>0</v>
      </c>
      <c r="M20" s="15">
        <v>0</v>
      </c>
      <c r="N20" s="15">
        <v>3</v>
      </c>
      <c r="O20" s="15">
        <v>3</v>
      </c>
      <c r="P20" s="15">
        <v>0</v>
      </c>
      <c r="Q20" s="15">
        <v>3</v>
      </c>
      <c r="R20" s="15">
        <v>3</v>
      </c>
      <c r="S20" s="15">
        <v>3</v>
      </c>
      <c r="T20" s="15">
        <v>0</v>
      </c>
      <c r="U20" s="15">
        <v>3</v>
      </c>
      <c r="V20" s="42">
        <v>1</v>
      </c>
      <c r="W20" s="56">
        <v>162</v>
      </c>
      <c r="X20" s="58">
        <v>1.5300701282142098E-2</v>
      </c>
      <c r="Y20" s="60">
        <v>18</v>
      </c>
    </row>
    <row r="21" spans="1:25" x14ac:dyDescent="0.25">
      <c r="A21" s="39" t="s">
        <v>224</v>
      </c>
      <c r="B21" s="15">
        <v>3</v>
      </c>
      <c r="C21" s="15">
        <v>9</v>
      </c>
      <c r="D21" s="15">
        <v>0</v>
      </c>
      <c r="E21" s="15">
        <v>3</v>
      </c>
      <c r="F21" s="15">
        <v>9</v>
      </c>
      <c r="G21" s="15">
        <v>9</v>
      </c>
      <c r="H21" s="15">
        <v>1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3</v>
      </c>
      <c r="O21" s="15">
        <v>3</v>
      </c>
      <c r="P21" s="15">
        <v>0</v>
      </c>
      <c r="Q21" s="15">
        <v>3</v>
      </c>
      <c r="R21" s="15">
        <v>3</v>
      </c>
      <c r="S21" s="15">
        <v>3</v>
      </c>
      <c r="T21" s="15">
        <v>0</v>
      </c>
      <c r="U21" s="15">
        <v>3</v>
      </c>
      <c r="V21" s="42">
        <v>1</v>
      </c>
      <c r="W21" s="56">
        <v>173</v>
      </c>
      <c r="X21" s="58">
        <v>1.6339637788954215E-2</v>
      </c>
      <c r="Y21" s="60">
        <v>14</v>
      </c>
    </row>
    <row r="22" spans="1:25" x14ac:dyDescent="0.25">
      <c r="A22" s="40" t="s">
        <v>225</v>
      </c>
      <c r="B22" s="15">
        <v>3</v>
      </c>
      <c r="C22" s="15">
        <v>1</v>
      </c>
      <c r="D22" s="15">
        <v>0</v>
      </c>
      <c r="E22" s="15">
        <v>3</v>
      </c>
      <c r="F22" s="15">
        <v>3</v>
      </c>
      <c r="G22" s="15">
        <v>9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3</v>
      </c>
      <c r="O22" s="15">
        <v>1</v>
      </c>
      <c r="P22" s="15">
        <v>0</v>
      </c>
      <c r="Q22" s="15">
        <v>3</v>
      </c>
      <c r="R22" s="15">
        <v>3</v>
      </c>
      <c r="S22" s="15">
        <v>9</v>
      </c>
      <c r="T22" s="15">
        <v>0</v>
      </c>
      <c r="U22" s="15">
        <v>1</v>
      </c>
      <c r="V22" s="42">
        <v>0</v>
      </c>
      <c r="W22" s="56">
        <v>127.25</v>
      </c>
      <c r="X22" s="58">
        <v>1.2018606408349272E-2</v>
      </c>
      <c r="Y22" s="60">
        <v>42</v>
      </c>
    </row>
    <row r="23" spans="1:25" x14ac:dyDescent="0.25">
      <c r="A23" s="39" t="s">
        <v>226</v>
      </c>
      <c r="B23" s="15">
        <v>3</v>
      </c>
      <c r="C23" s="15">
        <v>1</v>
      </c>
      <c r="D23" s="15">
        <v>0</v>
      </c>
      <c r="E23" s="15">
        <v>3</v>
      </c>
      <c r="F23" s="15">
        <v>3</v>
      </c>
      <c r="G23" s="15">
        <v>9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3</v>
      </c>
      <c r="O23" s="15">
        <v>1</v>
      </c>
      <c r="P23" s="15">
        <v>0</v>
      </c>
      <c r="Q23" s="15">
        <v>3</v>
      </c>
      <c r="R23" s="15">
        <v>3</v>
      </c>
      <c r="S23" s="15">
        <v>9</v>
      </c>
      <c r="T23" s="15">
        <v>0</v>
      </c>
      <c r="U23" s="15">
        <v>1</v>
      </c>
      <c r="V23" s="42">
        <v>0</v>
      </c>
      <c r="W23" s="56">
        <v>127.25</v>
      </c>
      <c r="X23" s="58">
        <v>1.2018606408349272E-2</v>
      </c>
      <c r="Y23" s="60">
        <v>42</v>
      </c>
    </row>
    <row r="24" spans="1:25" x14ac:dyDescent="0.25">
      <c r="A24" s="40" t="s">
        <v>227</v>
      </c>
      <c r="B24" s="15">
        <v>1</v>
      </c>
      <c r="C24" s="15">
        <v>3</v>
      </c>
      <c r="D24" s="15">
        <v>0</v>
      </c>
      <c r="E24" s="15">
        <v>3</v>
      </c>
      <c r="F24" s="15">
        <v>3</v>
      </c>
      <c r="G24" s="15">
        <v>9</v>
      </c>
      <c r="H24" s="15">
        <v>1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3</v>
      </c>
      <c r="O24" s="15">
        <v>1</v>
      </c>
      <c r="P24" s="15">
        <v>0</v>
      </c>
      <c r="Q24" s="15">
        <v>1</v>
      </c>
      <c r="R24" s="15">
        <v>3</v>
      </c>
      <c r="S24" s="15">
        <v>1</v>
      </c>
      <c r="T24" s="15">
        <v>0</v>
      </c>
      <c r="U24" s="15">
        <v>1</v>
      </c>
      <c r="V24" s="42">
        <v>0</v>
      </c>
      <c r="W24" s="56">
        <v>99.75</v>
      </c>
      <c r="X24" s="58">
        <v>9.4212651413189772E-3</v>
      </c>
      <c r="Y24" s="60">
        <v>58</v>
      </c>
    </row>
    <row r="25" spans="1:25" x14ac:dyDescent="0.25">
      <c r="A25" s="39" t="s">
        <v>228</v>
      </c>
      <c r="B25" s="15">
        <v>3</v>
      </c>
      <c r="C25" s="15">
        <v>9</v>
      </c>
      <c r="D25" s="15">
        <v>0</v>
      </c>
      <c r="E25" s="15">
        <v>3</v>
      </c>
      <c r="F25" s="15">
        <v>9</v>
      </c>
      <c r="G25" s="15">
        <v>9</v>
      </c>
      <c r="H25" s="15">
        <v>1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3</v>
      </c>
      <c r="O25" s="15">
        <v>1</v>
      </c>
      <c r="P25" s="15">
        <v>0</v>
      </c>
      <c r="Q25" s="15">
        <v>1</v>
      </c>
      <c r="R25" s="15">
        <v>3</v>
      </c>
      <c r="S25" s="15">
        <v>3</v>
      </c>
      <c r="T25" s="15">
        <v>0</v>
      </c>
      <c r="U25" s="15">
        <v>3</v>
      </c>
      <c r="V25" s="42">
        <v>1</v>
      </c>
      <c r="W25" s="56">
        <v>160</v>
      </c>
      <c r="X25" s="58">
        <v>1.5111803735448986E-2</v>
      </c>
      <c r="Y25" s="60">
        <v>20</v>
      </c>
    </row>
    <row r="26" spans="1:25" x14ac:dyDescent="0.25">
      <c r="A26" s="40" t="s">
        <v>229</v>
      </c>
      <c r="B26" s="15">
        <v>0</v>
      </c>
      <c r="C26" s="15">
        <v>0</v>
      </c>
      <c r="D26" s="15">
        <v>3</v>
      </c>
      <c r="E26" s="15">
        <v>0</v>
      </c>
      <c r="F26" s="15">
        <v>0</v>
      </c>
      <c r="G26" s="15">
        <v>0</v>
      </c>
      <c r="H26" s="15">
        <v>9</v>
      </c>
      <c r="I26" s="15">
        <v>3</v>
      </c>
      <c r="J26" s="15">
        <v>3</v>
      </c>
      <c r="K26" s="15">
        <v>0</v>
      </c>
      <c r="L26" s="15">
        <v>0</v>
      </c>
      <c r="M26" s="15">
        <v>3</v>
      </c>
      <c r="N26" s="15">
        <v>0</v>
      </c>
      <c r="O26" s="15">
        <v>0</v>
      </c>
      <c r="P26" s="15">
        <v>0</v>
      </c>
      <c r="Q26" s="15">
        <v>3</v>
      </c>
      <c r="R26" s="15">
        <v>1</v>
      </c>
      <c r="S26" s="15">
        <v>1</v>
      </c>
      <c r="T26" s="15">
        <v>0</v>
      </c>
      <c r="U26" s="15">
        <v>3</v>
      </c>
      <c r="V26" s="42">
        <v>3</v>
      </c>
      <c r="W26" s="56">
        <v>101</v>
      </c>
      <c r="X26" s="58">
        <v>9.5393261080021722E-3</v>
      </c>
      <c r="Y26" s="60">
        <v>55</v>
      </c>
    </row>
    <row r="27" spans="1:25" x14ac:dyDescent="0.25">
      <c r="A27" s="39" t="s">
        <v>230</v>
      </c>
      <c r="B27" s="15">
        <v>1</v>
      </c>
      <c r="C27" s="15">
        <v>3</v>
      </c>
      <c r="D27" s="15">
        <v>3</v>
      </c>
      <c r="E27" s="15">
        <v>0</v>
      </c>
      <c r="F27" s="15">
        <v>1</v>
      </c>
      <c r="G27" s="15">
        <v>0</v>
      </c>
      <c r="H27" s="15">
        <v>9</v>
      </c>
      <c r="I27" s="15">
        <v>9</v>
      </c>
      <c r="J27" s="15">
        <v>3</v>
      </c>
      <c r="K27" s="15">
        <v>0</v>
      </c>
      <c r="L27" s="15">
        <v>0</v>
      </c>
      <c r="M27" s="15">
        <v>1</v>
      </c>
      <c r="N27" s="15">
        <v>3</v>
      </c>
      <c r="O27" s="15">
        <v>0</v>
      </c>
      <c r="P27" s="15">
        <v>0</v>
      </c>
      <c r="Q27" s="15">
        <v>3</v>
      </c>
      <c r="R27" s="15">
        <v>3</v>
      </c>
      <c r="S27" s="15">
        <v>1</v>
      </c>
      <c r="T27" s="15">
        <v>0</v>
      </c>
      <c r="U27" s="15">
        <v>9</v>
      </c>
      <c r="V27" s="42">
        <v>9</v>
      </c>
      <c r="W27" s="56">
        <v>176.5</v>
      </c>
      <c r="X27" s="58">
        <v>1.6670208495667162E-2</v>
      </c>
      <c r="Y27" s="60">
        <v>12</v>
      </c>
    </row>
    <row r="28" spans="1:25" x14ac:dyDescent="0.25">
      <c r="A28" s="40" t="s">
        <v>231</v>
      </c>
      <c r="B28" s="15">
        <v>1</v>
      </c>
      <c r="C28" s="15">
        <v>0</v>
      </c>
      <c r="D28" s="15">
        <v>3</v>
      </c>
      <c r="E28" s="15">
        <v>0</v>
      </c>
      <c r="F28" s="15">
        <v>1</v>
      </c>
      <c r="G28" s="15">
        <v>0</v>
      </c>
      <c r="H28" s="15">
        <v>9</v>
      </c>
      <c r="I28" s="15">
        <v>9</v>
      </c>
      <c r="J28" s="15">
        <v>3</v>
      </c>
      <c r="K28" s="15">
        <v>0</v>
      </c>
      <c r="L28" s="15">
        <v>0</v>
      </c>
      <c r="M28" s="15">
        <v>1</v>
      </c>
      <c r="N28" s="15">
        <v>0</v>
      </c>
      <c r="O28" s="15">
        <v>0</v>
      </c>
      <c r="P28" s="15">
        <v>0</v>
      </c>
      <c r="Q28" s="15">
        <v>1</v>
      </c>
      <c r="R28" s="15">
        <v>1</v>
      </c>
      <c r="S28" s="15">
        <v>1</v>
      </c>
      <c r="T28" s="15">
        <v>0</v>
      </c>
      <c r="U28" s="15">
        <v>1</v>
      </c>
      <c r="V28" s="42">
        <v>0</v>
      </c>
      <c r="W28" s="56">
        <v>86.25</v>
      </c>
      <c r="X28" s="58">
        <v>8.1462067011404682E-3</v>
      </c>
      <c r="Y28" s="60">
        <v>64</v>
      </c>
    </row>
    <row r="29" spans="1:25" x14ac:dyDescent="0.25">
      <c r="A29" s="39" t="s">
        <v>232</v>
      </c>
      <c r="B29" s="15">
        <v>1</v>
      </c>
      <c r="C29" s="15">
        <v>0</v>
      </c>
      <c r="D29" s="15">
        <v>9</v>
      </c>
      <c r="E29" s="15">
        <v>0</v>
      </c>
      <c r="F29" s="15">
        <v>1</v>
      </c>
      <c r="G29" s="15">
        <v>0</v>
      </c>
      <c r="H29" s="15">
        <v>9</v>
      </c>
      <c r="I29" s="15">
        <v>9</v>
      </c>
      <c r="J29" s="15">
        <v>9</v>
      </c>
      <c r="K29" s="15">
        <v>0</v>
      </c>
      <c r="L29" s="15">
        <v>0</v>
      </c>
      <c r="M29" s="15">
        <v>1</v>
      </c>
      <c r="N29" s="15">
        <v>0</v>
      </c>
      <c r="O29" s="15">
        <v>0</v>
      </c>
      <c r="P29" s="15">
        <v>0</v>
      </c>
      <c r="Q29" s="15">
        <v>1</v>
      </c>
      <c r="R29" s="15">
        <v>1</v>
      </c>
      <c r="S29" s="15">
        <v>1</v>
      </c>
      <c r="T29" s="15">
        <v>0</v>
      </c>
      <c r="U29" s="15">
        <v>3</v>
      </c>
      <c r="V29" s="42">
        <v>1</v>
      </c>
      <c r="W29" s="56">
        <v>131.5</v>
      </c>
      <c r="X29" s="58">
        <v>1.2420013695072136E-2</v>
      </c>
      <c r="Y29" s="60">
        <v>38</v>
      </c>
    </row>
    <row r="30" spans="1:25" x14ac:dyDescent="0.25">
      <c r="A30" s="40" t="s">
        <v>233</v>
      </c>
      <c r="B30" s="15">
        <v>0</v>
      </c>
      <c r="C30" s="15">
        <v>0</v>
      </c>
      <c r="D30" s="15">
        <v>3</v>
      </c>
      <c r="E30" s="15">
        <v>0</v>
      </c>
      <c r="F30" s="15">
        <v>1</v>
      </c>
      <c r="G30" s="15">
        <v>0</v>
      </c>
      <c r="H30" s="15">
        <v>3</v>
      </c>
      <c r="I30" s="15">
        <v>9</v>
      </c>
      <c r="J30" s="15">
        <v>3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1</v>
      </c>
      <c r="R30" s="15">
        <v>1</v>
      </c>
      <c r="S30" s="15">
        <v>1</v>
      </c>
      <c r="T30" s="15">
        <v>0</v>
      </c>
      <c r="U30" s="15">
        <v>3</v>
      </c>
      <c r="V30" s="42">
        <v>0</v>
      </c>
      <c r="W30" s="56">
        <v>63.5</v>
      </c>
      <c r="X30" s="58">
        <v>5.9974971075063164E-3</v>
      </c>
      <c r="Y30" s="60">
        <v>81</v>
      </c>
    </row>
    <row r="31" spans="1:25" x14ac:dyDescent="0.25">
      <c r="A31" s="39" t="s">
        <v>234</v>
      </c>
      <c r="B31" s="15">
        <v>1</v>
      </c>
      <c r="C31" s="15">
        <v>0</v>
      </c>
      <c r="D31" s="15">
        <v>3</v>
      </c>
      <c r="E31" s="15">
        <v>0</v>
      </c>
      <c r="F31" s="15">
        <v>1</v>
      </c>
      <c r="G31" s="15">
        <v>0</v>
      </c>
      <c r="H31" s="15">
        <v>3</v>
      </c>
      <c r="I31" s="15">
        <v>9</v>
      </c>
      <c r="J31" s="15">
        <v>3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1</v>
      </c>
      <c r="R31" s="15">
        <v>3</v>
      </c>
      <c r="S31" s="15">
        <v>1</v>
      </c>
      <c r="T31" s="15">
        <v>0</v>
      </c>
      <c r="U31" s="15">
        <v>3</v>
      </c>
      <c r="V31" s="42">
        <v>3</v>
      </c>
      <c r="W31" s="56">
        <v>86.25</v>
      </c>
      <c r="X31" s="58">
        <v>8.1462067011404682E-3</v>
      </c>
      <c r="Y31" s="60">
        <v>64</v>
      </c>
    </row>
    <row r="32" spans="1:25" x14ac:dyDescent="0.25">
      <c r="A32" s="40" t="s">
        <v>235</v>
      </c>
      <c r="B32" s="15">
        <v>0</v>
      </c>
      <c r="C32" s="15">
        <v>0</v>
      </c>
      <c r="D32" s="15">
        <v>3</v>
      </c>
      <c r="E32" s="15">
        <v>0</v>
      </c>
      <c r="F32" s="15">
        <v>1</v>
      </c>
      <c r="G32" s="15">
        <v>0</v>
      </c>
      <c r="H32" s="15">
        <v>9</v>
      </c>
      <c r="I32" s="15">
        <v>9</v>
      </c>
      <c r="J32" s="15">
        <v>9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1</v>
      </c>
      <c r="R32" s="15">
        <v>1</v>
      </c>
      <c r="S32" s="15">
        <v>1</v>
      </c>
      <c r="T32" s="15">
        <v>0</v>
      </c>
      <c r="U32" s="15">
        <v>9</v>
      </c>
      <c r="V32" s="42">
        <v>9</v>
      </c>
      <c r="W32" s="56">
        <v>146.75</v>
      </c>
      <c r="X32" s="58">
        <v>1.3860357488607117E-2</v>
      </c>
      <c r="Y32" s="60">
        <v>25</v>
      </c>
    </row>
    <row r="33" spans="1:25" x14ac:dyDescent="0.25">
      <c r="A33" s="39" t="s">
        <v>236</v>
      </c>
      <c r="B33" s="15">
        <v>0</v>
      </c>
      <c r="C33" s="15">
        <v>0</v>
      </c>
      <c r="D33" s="15">
        <v>0</v>
      </c>
      <c r="E33" s="15">
        <v>0</v>
      </c>
      <c r="F33" s="15">
        <v>1</v>
      </c>
      <c r="G33" s="15">
        <v>0</v>
      </c>
      <c r="H33" s="15">
        <v>3</v>
      </c>
      <c r="I33" s="15">
        <v>3</v>
      </c>
      <c r="J33" s="15">
        <v>3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1</v>
      </c>
      <c r="R33" s="15">
        <v>0</v>
      </c>
      <c r="S33" s="15">
        <v>1</v>
      </c>
      <c r="T33" s="15">
        <v>0</v>
      </c>
      <c r="U33" s="15">
        <v>9</v>
      </c>
      <c r="V33" s="42">
        <v>3</v>
      </c>
      <c r="W33" s="56">
        <v>66.5</v>
      </c>
      <c r="X33" s="58">
        <v>6.2808434275459851E-3</v>
      </c>
      <c r="Y33" s="60">
        <v>77</v>
      </c>
    </row>
    <row r="34" spans="1:25" x14ac:dyDescent="0.25">
      <c r="A34" s="40" t="s">
        <v>237</v>
      </c>
      <c r="B34" s="15">
        <v>0</v>
      </c>
      <c r="C34" s="15">
        <v>0</v>
      </c>
      <c r="D34" s="15">
        <v>0</v>
      </c>
      <c r="E34" s="15">
        <v>0</v>
      </c>
      <c r="F34" s="15">
        <v>1</v>
      </c>
      <c r="G34" s="15">
        <v>0</v>
      </c>
      <c r="H34" s="15">
        <v>3</v>
      </c>
      <c r="I34" s="15">
        <v>1</v>
      </c>
      <c r="J34" s="15">
        <v>9</v>
      </c>
      <c r="K34" s="15">
        <v>0</v>
      </c>
      <c r="L34" s="15">
        <v>0</v>
      </c>
      <c r="M34" s="15">
        <v>1</v>
      </c>
      <c r="N34" s="15">
        <v>0</v>
      </c>
      <c r="O34" s="15">
        <v>0</v>
      </c>
      <c r="P34" s="15">
        <v>0</v>
      </c>
      <c r="Q34" s="15">
        <v>1</v>
      </c>
      <c r="R34" s="15">
        <v>0</v>
      </c>
      <c r="S34" s="15">
        <v>1</v>
      </c>
      <c r="T34" s="15">
        <v>0</v>
      </c>
      <c r="U34" s="15">
        <v>3</v>
      </c>
      <c r="V34" s="42">
        <v>1</v>
      </c>
      <c r="W34" s="56">
        <v>54.75</v>
      </c>
      <c r="X34" s="58">
        <v>5.1710703407239498E-3</v>
      </c>
      <c r="Y34" s="60">
        <v>83</v>
      </c>
    </row>
    <row r="35" spans="1:25" x14ac:dyDescent="0.25">
      <c r="A35" s="39" t="s">
        <v>238</v>
      </c>
      <c r="B35" s="15">
        <v>0</v>
      </c>
      <c r="C35" s="15">
        <v>0</v>
      </c>
      <c r="D35" s="15">
        <v>0</v>
      </c>
      <c r="E35" s="15">
        <v>0</v>
      </c>
      <c r="F35" s="15">
        <v>1</v>
      </c>
      <c r="G35" s="15">
        <v>0</v>
      </c>
      <c r="H35" s="15">
        <v>9</v>
      </c>
      <c r="I35" s="15">
        <v>1</v>
      </c>
      <c r="J35" s="15">
        <v>9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1</v>
      </c>
      <c r="R35" s="15">
        <v>0</v>
      </c>
      <c r="S35" s="15">
        <v>1</v>
      </c>
      <c r="T35" s="15">
        <v>0</v>
      </c>
      <c r="U35" s="15">
        <v>3</v>
      </c>
      <c r="V35" s="42">
        <v>3</v>
      </c>
      <c r="W35" s="56">
        <v>80</v>
      </c>
      <c r="X35" s="58">
        <v>7.5559018677244932E-3</v>
      </c>
      <c r="Y35" s="60">
        <v>71</v>
      </c>
    </row>
    <row r="36" spans="1:25" x14ac:dyDescent="0.25">
      <c r="A36" s="40" t="s">
        <v>239</v>
      </c>
      <c r="B36" s="15">
        <v>1</v>
      </c>
      <c r="C36" s="15">
        <v>0</v>
      </c>
      <c r="D36" s="15">
        <v>9</v>
      </c>
      <c r="E36" s="15">
        <v>0</v>
      </c>
      <c r="F36" s="15">
        <v>1</v>
      </c>
      <c r="G36" s="15">
        <v>0</v>
      </c>
      <c r="H36" s="15">
        <v>9</v>
      </c>
      <c r="I36" s="15">
        <v>9</v>
      </c>
      <c r="J36" s="15">
        <v>9</v>
      </c>
      <c r="K36" s="15">
        <v>0</v>
      </c>
      <c r="L36" s="15">
        <v>0</v>
      </c>
      <c r="M36" s="15">
        <v>1</v>
      </c>
      <c r="N36" s="15">
        <v>0</v>
      </c>
      <c r="O36" s="15">
        <v>0</v>
      </c>
      <c r="P36" s="15">
        <v>0</v>
      </c>
      <c r="Q36" s="15">
        <v>1</v>
      </c>
      <c r="R36" s="15">
        <v>1</v>
      </c>
      <c r="S36" s="15">
        <v>1</v>
      </c>
      <c r="T36" s="15">
        <v>0</v>
      </c>
      <c r="U36" s="15">
        <v>3</v>
      </c>
      <c r="V36" s="42">
        <v>1</v>
      </c>
      <c r="W36" s="56">
        <v>131.5</v>
      </c>
      <c r="X36" s="58">
        <v>1.2420013695072136E-2</v>
      </c>
      <c r="Y36" s="60">
        <v>38</v>
      </c>
    </row>
    <row r="37" spans="1:25" x14ac:dyDescent="0.25">
      <c r="A37" s="39" t="s">
        <v>240</v>
      </c>
      <c r="B37" s="15">
        <v>0</v>
      </c>
      <c r="C37" s="15">
        <v>0</v>
      </c>
      <c r="D37" s="15">
        <v>3</v>
      </c>
      <c r="E37" s="15">
        <v>0</v>
      </c>
      <c r="F37" s="15">
        <v>1</v>
      </c>
      <c r="G37" s="15">
        <v>0</v>
      </c>
      <c r="H37" s="15">
        <v>9</v>
      </c>
      <c r="I37" s="15">
        <v>3</v>
      </c>
      <c r="J37" s="15">
        <v>3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1</v>
      </c>
      <c r="R37" s="15">
        <v>1</v>
      </c>
      <c r="S37" s="15">
        <v>1</v>
      </c>
      <c r="T37" s="15">
        <v>0</v>
      </c>
      <c r="U37" s="15">
        <v>3</v>
      </c>
      <c r="V37" s="42">
        <v>9</v>
      </c>
      <c r="W37" s="56">
        <v>109.25</v>
      </c>
      <c r="X37" s="58">
        <v>1.031852848811126E-2</v>
      </c>
      <c r="Y37" s="60">
        <v>52</v>
      </c>
    </row>
    <row r="38" spans="1:25" x14ac:dyDescent="0.25">
      <c r="A38" s="40" t="s">
        <v>241</v>
      </c>
      <c r="B38" s="15">
        <v>1</v>
      </c>
      <c r="C38" s="15">
        <v>1</v>
      </c>
      <c r="D38" s="15">
        <v>0</v>
      </c>
      <c r="E38" s="15">
        <v>3</v>
      </c>
      <c r="F38" s="15">
        <v>1</v>
      </c>
      <c r="G38" s="15">
        <v>3</v>
      </c>
      <c r="H38" s="15">
        <v>0</v>
      </c>
      <c r="I38" s="15">
        <v>0</v>
      </c>
      <c r="J38" s="15">
        <v>0</v>
      </c>
      <c r="K38" s="15">
        <v>9</v>
      </c>
      <c r="L38" s="15">
        <v>3</v>
      </c>
      <c r="M38" s="15">
        <v>3</v>
      </c>
      <c r="N38" s="15">
        <v>3</v>
      </c>
      <c r="O38" s="15">
        <v>1</v>
      </c>
      <c r="P38" s="15">
        <v>0</v>
      </c>
      <c r="Q38" s="15">
        <v>3</v>
      </c>
      <c r="R38" s="15">
        <v>9</v>
      </c>
      <c r="S38" s="15">
        <v>9</v>
      </c>
      <c r="T38" s="15">
        <v>0</v>
      </c>
      <c r="U38" s="15">
        <v>3</v>
      </c>
      <c r="V38" s="42">
        <v>1</v>
      </c>
      <c r="W38" s="56">
        <v>178.75</v>
      </c>
      <c r="X38" s="58">
        <v>1.6882718235696915E-2</v>
      </c>
      <c r="Y38" s="60">
        <v>10</v>
      </c>
    </row>
    <row r="39" spans="1:25" x14ac:dyDescent="0.25">
      <c r="A39" s="39" t="s">
        <v>242</v>
      </c>
      <c r="B39" s="15">
        <v>3</v>
      </c>
      <c r="C39" s="15">
        <v>3</v>
      </c>
      <c r="D39" s="15">
        <v>0</v>
      </c>
      <c r="E39" s="15">
        <v>3</v>
      </c>
      <c r="F39" s="15">
        <v>1</v>
      </c>
      <c r="G39" s="15">
        <v>3</v>
      </c>
      <c r="H39" s="15">
        <v>3</v>
      </c>
      <c r="I39" s="15">
        <v>0</v>
      </c>
      <c r="J39" s="15">
        <v>0</v>
      </c>
      <c r="K39" s="15">
        <v>9</v>
      </c>
      <c r="L39" s="15">
        <v>9</v>
      </c>
      <c r="M39" s="15">
        <v>3</v>
      </c>
      <c r="N39" s="15">
        <v>3</v>
      </c>
      <c r="O39" s="15">
        <v>1</v>
      </c>
      <c r="P39" s="15">
        <v>0</v>
      </c>
      <c r="Q39" s="15">
        <v>3</v>
      </c>
      <c r="R39" s="15">
        <v>9</v>
      </c>
      <c r="S39" s="15">
        <v>9</v>
      </c>
      <c r="T39" s="15">
        <v>0</v>
      </c>
      <c r="U39" s="15">
        <v>3</v>
      </c>
      <c r="V39" s="42">
        <v>3</v>
      </c>
      <c r="W39" s="56">
        <v>230.75</v>
      </c>
      <c r="X39" s="58">
        <v>2.1794054449717833E-2</v>
      </c>
      <c r="Y39" s="60">
        <v>1</v>
      </c>
    </row>
    <row r="40" spans="1:25" x14ac:dyDescent="0.25">
      <c r="A40" s="40" t="s">
        <v>243</v>
      </c>
      <c r="B40" s="15">
        <v>1</v>
      </c>
      <c r="C40" s="15">
        <v>0</v>
      </c>
      <c r="D40" s="15">
        <v>0</v>
      </c>
      <c r="E40" s="15">
        <v>3</v>
      </c>
      <c r="F40" s="15">
        <v>1</v>
      </c>
      <c r="G40" s="15">
        <v>3</v>
      </c>
      <c r="H40" s="15">
        <v>0</v>
      </c>
      <c r="I40" s="15">
        <v>0</v>
      </c>
      <c r="J40" s="15">
        <v>0</v>
      </c>
      <c r="K40" s="15">
        <v>9</v>
      </c>
      <c r="L40" s="15">
        <v>1</v>
      </c>
      <c r="M40" s="15">
        <v>1</v>
      </c>
      <c r="N40" s="15">
        <v>3</v>
      </c>
      <c r="O40" s="15">
        <v>1</v>
      </c>
      <c r="P40" s="15">
        <v>0</v>
      </c>
      <c r="Q40" s="15">
        <v>3</v>
      </c>
      <c r="R40" s="15">
        <v>9</v>
      </c>
      <c r="S40" s="15">
        <v>3</v>
      </c>
      <c r="T40" s="15">
        <v>0</v>
      </c>
      <c r="U40" s="15">
        <v>1</v>
      </c>
      <c r="V40" s="42">
        <v>0</v>
      </c>
      <c r="W40" s="56">
        <v>136.75</v>
      </c>
      <c r="X40" s="58">
        <v>1.2915869755141555E-2</v>
      </c>
      <c r="Y40" s="60">
        <v>34</v>
      </c>
    </row>
    <row r="41" spans="1:25" x14ac:dyDescent="0.25">
      <c r="A41" s="39" t="s">
        <v>244</v>
      </c>
      <c r="B41" s="15">
        <v>0</v>
      </c>
      <c r="C41" s="15">
        <v>0</v>
      </c>
      <c r="D41" s="15">
        <v>0</v>
      </c>
      <c r="E41" s="15">
        <v>3</v>
      </c>
      <c r="F41" s="15">
        <v>1</v>
      </c>
      <c r="G41" s="15">
        <v>1</v>
      </c>
      <c r="H41" s="15">
        <v>0</v>
      </c>
      <c r="I41" s="15">
        <v>0</v>
      </c>
      <c r="J41" s="15">
        <v>0</v>
      </c>
      <c r="K41" s="15">
        <v>9</v>
      </c>
      <c r="L41" s="15">
        <v>1</v>
      </c>
      <c r="M41" s="15">
        <v>0</v>
      </c>
      <c r="N41" s="15">
        <v>1</v>
      </c>
      <c r="O41" s="15">
        <v>1</v>
      </c>
      <c r="P41" s="15">
        <v>0</v>
      </c>
      <c r="Q41" s="15">
        <v>9</v>
      </c>
      <c r="R41" s="15">
        <v>9</v>
      </c>
      <c r="S41" s="15">
        <v>9</v>
      </c>
      <c r="T41" s="15">
        <v>0</v>
      </c>
      <c r="U41" s="15">
        <v>1</v>
      </c>
      <c r="V41" s="42">
        <v>0</v>
      </c>
      <c r="W41" s="56">
        <v>155.5</v>
      </c>
      <c r="X41" s="58">
        <v>1.4686784255389483E-2</v>
      </c>
      <c r="Y41" s="60">
        <v>24</v>
      </c>
    </row>
    <row r="42" spans="1:25" x14ac:dyDescent="0.25">
      <c r="A42" s="40" t="s">
        <v>245</v>
      </c>
      <c r="B42" s="15">
        <v>1</v>
      </c>
      <c r="C42" s="15">
        <v>1</v>
      </c>
      <c r="D42" s="15">
        <v>0</v>
      </c>
      <c r="E42" s="15">
        <v>3</v>
      </c>
      <c r="F42" s="15">
        <v>1</v>
      </c>
      <c r="G42" s="15">
        <v>3</v>
      </c>
      <c r="H42" s="15">
        <v>0</v>
      </c>
      <c r="I42" s="15">
        <v>0</v>
      </c>
      <c r="J42" s="15">
        <v>0</v>
      </c>
      <c r="K42" s="15">
        <v>3</v>
      </c>
      <c r="L42" s="15">
        <v>9</v>
      </c>
      <c r="M42" s="15">
        <v>0</v>
      </c>
      <c r="N42" s="15">
        <v>9</v>
      </c>
      <c r="O42" s="15">
        <v>1</v>
      </c>
      <c r="P42" s="15">
        <v>0</v>
      </c>
      <c r="Q42" s="15">
        <v>3</v>
      </c>
      <c r="R42" s="15">
        <v>9</v>
      </c>
      <c r="S42" s="15">
        <v>9</v>
      </c>
      <c r="T42" s="15">
        <v>0</v>
      </c>
      <c r="U42" s="15">
        <v>3</v>
      </c>
      <c r="V42" s="42">
        <v>1</v>
      </c>
      <c r="W42" s="56">
        <v>185.5</v>
      </c>
      <c r="X42" s="58">
        <v>1.7520247455786168E-2</v>
      </c>
      <c r="Y42" s="60">
        <v>7</v>
      </c>
    </row>
    <row r="43" spans="1:25" x14ac:dyDescent="0.25">
      <c r="A43" s="39" t="s">
        <v>246</v>
      </c>
      <c r="B43" s="15">
        <v>1</v>
      </c>
      <c r="C43" s="15">
        <v>1</v>
      </c>
      <c r="D43" s="15">
        <v>0</v>
      </c>
      <c r="E43" s="15">
        <v>3</v>
      </c>
      <c r="F43" s="15">
        <v>1</v>
      </c>
      <c r="G43" s="15">
        <v>1</v>
      </c>
      <c r="H43" s="15">
        <v>0</v>
      </c>
      <c r="I43" s="15">
        <v>0</v>
      </c>
      <c r="J43" s="15">
        <v>0</v>
      </c>
      <c r="K43" s="15">
        <v>3</v>
      </c>
      <c r="L43" s="15">
        <v>9</v>
      </c>
      <c r="M43" s="15">
        <v>0</v>
      </c>
      <c r="N43" s="15">
        <v>9</v>
      </c>
      <c r="O43" s="15">
        <v>1</v>
      </c>
      <c r="P43" s="15">
        <v>0</v>
      </c>
      <c r="Q43" s="15">
        <v>3</v>
      </c>
      <c r="R43" s="15">
        <v>3</v>
      </c>
      <c r="S43" s="15">
        <v>9</v>
      </c>
      <c r="T43" s="15">
        <v>0</v>
      </c>
      <c r="U43" s="15">
        <v>3</v>
      </c>
      <c r="V43" s="42">
        <v>1</v>
      </c>
      <c r="W43" s="56">
        <v>156.5</v>
      </c>
      <c r="X43" s="58">
        <v>1.4781233028736039E-2</v>
      </c>
      <c r="Y43" s="60">
        <v>23</v>
      </c>
    </row>
    <row r="44" spans="1:25" x14ac:dyDescent="0.25">
      <c r="A44" s="40" t="s">
        <v>247</v>
      </c>
      <c r="B44" s="15">
        <v>1</v>
      </c>
      <c r="C44" s="15">
        <v>0</v>
      </c>
      <c r="D44" s="15">
        <v>0</v>
      </c>
      <c r="E44" s="15">
        <v>3</v>
      </c>
      <c r="F44" s="15">
        <v>1</v>
      </c>
      <c r="G44" s="15">
        <v>1</v>
      </c>
      <c r="H44" s="15">
        <v>0</v>
      </c>
      <c r="I44" s="15">
        <v>0</v>
      </c>
      <c r="J44" s="15">
        <v>0</v>
      </c>
      <c r="K44" s="15">
        <v>3</v>
      </c>
      <c r="L44" s="15">
        <v>9</v>
      </c>
      <c r="M44" s="15">
        <v>0</v>
      </c>
      <c r="N44" s="15">
        <v>9</v>
      </c>
      <c r="O44" s="15">
        <v>1</v>
      </c>
      <c r="P44" s="15">
        <v>0</v>
      </c>
      <c r="Q44" s="15">
        <v>9</v>
      </c>
      <c r="R44" s="15">
        <v>9</v>
      </c>
      <c r="S44" s="15">
        <v>9</v>
      </c>
      <c r="T44" s="15">
        <v>0</v>
      </c>
      <c r="U44" s="15">
        <v>3</v>
      </c>
      <c r="V44" s="42">
        <v>1</v>
      </c>
      <c r="W44" s="56">
        <v>198.25</v>
      </c>
      <c r="X44" s="58">
        <v>1.8724469315954759E-2</v>
      </c>
      <c r="Y44" s="60">
        <v>4</v>
      </c>
    </row>
    <row r="45" spans="1:25" x14ac:dyDescent="0.25">
      <c r="A45" s="39" t="s">
        <v>248</v>
      </c>
      <c r="B45" s="15">
        <v>0</v>
      </c>
      <c r="C45" s="15">
        <v>0</v>
      </c>
      <c r="D45" s="15">
        <v>0</v>
      </c>
      <c r="E45" s="15">
        <v>3</v>
      </c>
      <c r="F45" s="15">
        <v>1</v>
      </c>
      <c r="G45" s="15">
        <v>1</v>
      </c>
      <c r="H45" s="15">
        <v>0</v>
      </c>
      <c r="I45" s="15">
        <v>0</v>
      </c>
      <c r="J45" s="15">
        <v>0</v>
      </c>
      <c r="K45" s="15">
        <v>3</v>
      </c>
      <c r="L45" s="15">
        <v>9</v>
      </c>
      <c r="M45" s="15">
        <v>0</v>
      </c>
      <c r="N45" s="15">
        <v>0</v>
      </c>
      <c r="O45" s="15">
        <v>1</v>
      </c>
      <c r="P45" s="15">
        <v>0</v>
      </c>
      <c r="Q45" s="15">
        <v>3</v>
      </c>
      <c r="R45" s="15">
        <v>3</v>
      </c>
      <c r="S45" s="15">
        <v>3</v>
      </c>
      <c r="T45" s="15">
        <v>0</v>
      </c>
      <c r="U45" s="15">
        <v>3</v>
      </c>
      <c r="V45" s="42">
        <v>0</v>
      </c>
      <c r="W45" s="56">
        <v>99.75</v>
      </c>
      <c r="X45" s="58">
        <v>9.4212651413189772E-3</v>
      </c>
      <c r="Y45" s="60">
        <v>58</v>
      </c>
    </row>
    <row r="46" spans="1:25" x14ac:dyDescent="0.25">
      <c r="A46" s="40" t="s">
        <v>249</v>
      </c>
      <c r="B46" s="15">
        <v>1</v>
      </c>
      <c r="C46" s="15">
        <v>1</v>
      </c>
      <c r="D46" s="15">
        <v>3</v>
      </c>
      <c r="E46" s="15">
        <v>3</v>
      </c>
      <c r="F46" s="15">
        <v>1</v>
      </c>
      <c r="G46" s="15">
        <v>3</v>
      </c>
      <c r="H46" s="15">
        <v>3</v>
      </c>
      <c r="I46" s="15">
        <v>0</v>
      </c>
      <c r="J46" s="15">
        <v>1</v>
      </c>
      <c r="K46" s="15">
        <v>9</v>
      </c>
      <c r="L46" s="15">
        <v>1</v>
      </c>
      <c r="M46" s="15">
        <v>9</v>
      </c>
      <c r="N46" s="15">
        <v>0</v>
      </c>
      <c r="O46" s="15">
        <v>1</v>
      </c>
      <c r="P46" s="15">
        <v>0</v>
      </c>
      <c r="Q46" s="15">
        <v>3</v>
      </c>
      <c r="R46" s="15">
        <v>3</v>
      </c>
      <c r="S46" s="15">
        <v>3</v>
      </c>
      <c r="T46" s="15">
        <v>0</v>
      </c>
      <c r="U46" s="15">
        <v>3</v>
      </c>
      <c r="V46" s="42">
        <v>3</v>
      </c>
      <c r="W46" s="56">
        <v>175</v>
      </c>
      <c r="X46" s="58">
        <v>1.652853533564733E-2</v>
      </c>
      <c r="Y46" s="60">
        <v>13</v>
      </c>
    </row>
    <row r="47" spans="1:25" x14ac:dyDescent="0.25">
      <c r="A47" s="39" t="s">
        <v>250</v>
      </c>
      <c r="B47" s="15">
        <v>0</v>
      </c>
      <c r="C47" s="15">
        <v>0</v>
      </c>
      <c r="D47" s="15">
        <v>0</v>
      </c>
      <c r="E47" s="15">
        <v>3</v>
      </c>
      <c r="F47" s="15">
        <v>1</v>
      </c>
      <c r="G47" s="15">
        <v>3</v>
      </c>
      <c r="H47" s="15">
        <v>9</v>
      </c>
      <c r="I47" s="15">
        <v>3</v>
      </c>
      <c r="J47" s="15">
        <v>3</v>
      </c>
      <c r="K47" s="15">
        <v>3</v>
      </c>
      <c r="L47" s="15">
        <v>1</v>
      </c>
      <c r="M47" s="15">
        <v>9</v>
      </c>
      <c r="N47" s="15">
        <v>0</v>
      </c>
      <c r="O47" s="15">
        <v>1</v>
      </c>
      <c r="P47" s="15">
        <v>0</v>
      </c>
      <c r="Q47" s="15">
        <v>1</v>
      </c>
      <c r="R47" s="15">
        <v>3</v>
      </c>
      <c r="S47" s="15">
        <v>1</v>
      </c>
      <c r="T47" s="15">
        <v>0</v>
      </c>
      <c r="U47" s="15">
        <v>3</v>
      </c>
      <c r="V47" s="42">
        <v>9</v>
      </c>
      <c r="W47" s="56">
        <v>172.25</v>
      </c>
      <c r="X47" s="58">
        <v>1.6268801208944299E-2</v>
      </c>
      <c r="Y47" s="60">
        <v>15</v>
      </c>
    </row>
    <row r="48" spans="1:25" x14ac:dyDescent="0.25">
      <c r="A48" s="40" t="s">
        <v>251</v>
      </c>
      <c r="B48" s="15">
        <v>1</v>
      </c>
      <c r="C48" s="15">
        <v>0</v>
      </c>
      <c r="D48" s="15">
        <v>3</v>
      </c>
      <c r="E48" s="15">
        <v>3</v>
      </c>
      <c r="F48" s="15">
        <v>1</v>
      </c>
      <c r="G48" s="15">
        <v>3</v>
      </c>
      <c r="H48" s="15">
        <v>9</v>
      </c>
      <c r="I48" s="15">
        <v>3</v>
      </c>
      <c r="J48" s="15">
        <v>3</v>
      </c>
      <c r="K48" s="15">
        <v>3</v>
      </c>
      <c r="L48" s="15">
        <v>1</v>
      </c>
      <c r="M48" s="15">
        <v>9</v>
      </c>
      <c r="N48" s="15">
        <v>0</v>
      </c>
      <c r="O48" s="15">
        <v>1</v>
      </c>
      <c r="P48" s="15">
        <v>0</v>
      </c>
      <c r="Q48" s="15">
        <v>3</v>
      </c>
      <c r="R48" s="15">
        <v>3</v>
      </c>
      <c r="S48" s="15">
        <v>3</v>
      </c>
      <c r="T48" s="15">
        <v>0</v>
      </c>
      <c r="U48" s="15">
        <v>9</v>
      </c>
      <c r="V48" s="42">
        <v>9</v>
      </c>
      <c r="W48" s="56">
        <v>217.75</v>
      </c>
      <c r="X48" s="58">
        <v>2.0566220396212604E-2</v>
      </c>
      <c r="Y48" s="60">
        <v>3</v>
      </c>
    </row>
    <row r="49" spans="1:25" x14ac:dyDescent="0.25">
      <c r="A49" s="39" t="s">
        <v>252</v>
      </c>
      <c r="B49" s="15">
        <v>0</v>
      </c>
      <c r="C49" s="15">
        <v>0</v>
      </c>
      <c r="D49" s="15">
        <v>0</v>
      </c>
      <c r="E49" s="15">
        <v>3</v>
      </c>
      <c r="F49" s="15">
        <v>1</v>
      </c>
      <c r="G49" s="15">
        <v>3</v>
      </c>
      <c r="H49" s="15">
        <v>9</v>
      </c>
      <c r="I49" s="15">
        <v>1</v>
      </c>
      <c r="J49" s="15">
        <v>3</v>
      </c>
      <c r="K49" s="15">
        <v>3</v>
      </c>
      <c r="L49" s="15">
        <v>1</v>
      </c>
      <c r="M49" s="15">
        <v>9</v>
      </c>
      <c r="N49" s="15">
        <v>0</v>
      </c>
      <c r="O49" s="15">
        <v>1</v>
      </c>
      <c r="P49" s="15">
        <v>0</v>
      </c>
      <c r="Q49" s="15">
        <v>1</v>
      </c>
      <c r="R49" s="15">
        <v>3</v>
      </c>
      <c r="S49" s="15">
        <v>1</v>
      </c>
      <c r="T49" s="15">
        <v>0</v>
      </c>
      <c r="U49" s="15">
        <v>3</v>
      </c>
      <c r="V49" s="42">
        <v>9</v>
      </c>
      <c r="W49" s="56">
        <v>169.25</v>
      </c>
      <c r="X49" s="58">
        <v>1.598545488890463E-2</v>
      </c>
      <c r="Y49" s="60">
        <v>17</v>
      </c>
    </row>
    <row r="50" spans="1:25" x14ac:dyDescent="0.25">
      <c r="A50" s="40" t="s">
        <v>253</v>
      </c>
      <c r="B50" s="15">
        <v>0</v>
      </c>
      <c r="C50" s="15">
        <v>0</v>
      </c>
      <c r="D50" s="15">
        <v>0</v>
      </c>
      <c r="E50" s="15">
        <v>0</v>
      </c>
      <c r="F50" s="15">
        <v>1</v>
      </c>
      <c r="G50" s="15">
        <v>1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9</v>
      </c>
      <c r="O50" s="15">
        <v>3</v>
      </c>
      <c r="P50" s="15">
        <v>3</v>
      </c>
      <c r="Q50" s="15">
        <v>1</v>
      </c>
      <c r="R50" s="15">
        <v>0</v>
      </c>
      <c r="S50" s="15">
        <v>9</v>
      </c>
      <c r="T50" s="15">
        <v>0</v>
      </c>
      <c r="U50" s="15">
        <v>1</v>
      </c>
      <c r="V50" s="42">
        <v>0</v>
      </c>
      <c r="W50" s="56">
        <v>85.5</v>
      </c>
      <c r="X50" s="58">
        <v>8.0753701211305519E-3</v>
      </c>
      <c r="Y50" s="60">
        <v>66</v>
      </c>
    </row>
    <row r="51" spans="1:25" x14ac:dyDescent="0.25">
      <c r="A51" s="39" t="s">
        <v>254</v>
      </c>
      <c r="B51" s="15">
        <v>0</v>
      </c>
      <c r="C51" s="15">
        <v>0</v>
      </c>
      <c r="D51" s="15">
        <v>0</v>
      </c>
      <c r="E51" s="15">
        <v>0</v>
      </c>
      <c r="F51" s="15">
        <v>1</v>
      </c>
      <c r="G51" s="15">
        <v>1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9</v>
      </c>
      <c r="O51" s="15">
        <v>3</v>
      </c>
      <c r="P51" s="15">
        <v>0</v>
      </c>
      <c r="Q51" s="15">
        <v>1</v>
      </c>
      <c r="R51" s="15">
        <v>1</v>
      </c>
      <c r="S51" s="15">
        <v>9</v>
      </c>
      <c r="T51" s="15">
        <v>0</v>
      </c>
      <c r="U51" s="15">
        <v>1</v>
      </c>
      <c r="V51" s="42">
        <v>0</v>
      </c>
      <c r="W51" s="56">
        <v>78.75</v>
      </c>
      <c r="X51" s="58">
        <v>7.4378409010412974E-3</v>
      </c>
      <c r="Y51" s="60">
        <v>72</v>
      </c>
    </row>
    <row r="52" spans="1:25" x14ac:dyDescent="0.25">
      <c r="A52" s="40" t="s">
        <v>255</v>
      </c>
      <c r="B52" s="15">
        <v>3</v>
      </c>
      <c r="C52" s="15">
        <v>0</v>
      </c>
      <c r="D52" s="15">
        <v>0</v>
      </c>
      <c r="E52" s="15">
        <v>0</v>
      </c>
      <c r="F52" s="15">
        <v>3</v>
      </c>
      <c r="G52" s="15">
        <v>3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9</v>
      </c>
      <c r="O52" s="15">
        <v>1</v>
      </c>
      <c r="P52" s="15">
        <v>3</v>
      </c>
      <c r="Q52" s="15">
        <v>3</v>
      </c>
      <c r="R52" s="15">
        <v>9</v>
      </c>
      <c r="S52" s="15">
        <v>9</v>
      </c>
      <c r="T52" s="15">
        <v>0</v>
      </c>
      <c r="U52" s="15">
        <v>1</v>
      </c>
      <c r="V52" s="42">
        <v>0</v>
      </c>
      <c r="W52" s="56">
        <v>145.75</v>
      </c>
      <c r="X52" s="58">
        <v>1.3765908715260561E-2</v>
      </c>
      <c r="Y52" s="60">
        <v>27</v>
      </c>
    </row>
    <row r="53" spans="1:25" x14ac:dyDescent="0.25">
      <c r="A53" s="39" t="s">
        <v>256</v>
      </c>
      <c r="B53" s="15">
        <v>0</v>
      </c>
      <c r="C53" s="15">
        <v>0</v>
      </c>
      <c r="D53" s="15">
        <v>0</v>
      </c>
      <c r="E53" s="15">
        <v>0</v>
      </c>
      <c r="F53" s="15">
        <v>1</v>
      </c>
      <c r="G53" s="15">
        <v>1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9</v>
      </c>
      <c r="O53" s="15">
        <v>3</v>
      </c>
      <c r="P53" s="15">
        <v>3</v>
      </c>
      <c r="Q53" s="15">
        <v>1</v>
      </c>
      <c r="R53" s="15">
        <v>0</v>
      </c>
      <c r="S53" s="15">
        <v>9</v>
      </c>
      <c r="T53" s="15">
        <v>0</v>
      </c>
      <c r="U53" s="15">
        <v>1</v>
      </c>
      <c r="V53" s="42">
        <v>0</v>
      </c>
      <c r="W53" s="56">
        <v>85.5</v>
      </c>
      <c r="X53" s="58">
        <v>8.0753701211305519E-3</v>
      </c>
      <c r="Y53" s="60">
        <v>66</v>
      </c>
    </row>
    <row r="54" spans="1:25" x14ac:dyDescent="0.25">
      <c r="A54" s="40" t="s">
        <v>257</v>
      </c>
      <c r="B54" s="15">
        <v>3</v>
      </c>
      <c r="C54" s="15">
        <v>0</v>
      </c>
      <c r="D54" s="15">
        <v>0</v>
      </c>
      <c r="E54" s="15">
        <v>0</v>
      </c>
      <c r="F54" s="15">
        <v>1</v>
      </c>
      <c r="G54" s="15">
        <v>3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3</v>
      </c>
      <c r="O54" s="15">
        <v>9</v>
      </c>
      <c r="P54" s="15">
        <v>0</v>
      </c>
      <c r="Q54" s="15">
        <v>3</v>
      </c>
      <c r="R54" s="15">
        <v>1</v>
      </c>
      <c r="S54" s="15">
        <v>3</v>
      </c>
      <c r="T54" s="15">
        <v>0</v>
      </c>
      <c r="U54" s="15">
        <v>1</v>
      </c>
      <c r="V54" s="42">
        <v>0</v>
      </c>
      <c r="W54" s="56">
        <v>85.25</v>
      </c>
      <c r="X54" s="58">
        <v>8.0517579277939125E-3</v>
      </c>
      <c r="Y54" s="60">
        <v>68</v>
      </c>
    </row>
    <row r="55" spans="1:25" x14ac:dyDescent="0.25">
      <c r="A55" s="39" t="s">
        <v>258</v>
      </c>
      <c r="B55" s="15">
        <v>1</v>
      </c>
      <c r="C55" s="15">
        <v>0</v>
      </c>
      <c r="D55" s="15">
        <v>0</v>
      </c>
      <c r="E55" s="15">
        <v>0</v>
      </c>
      <c r="F55" s="15">
        <v>1</v>
      </c>
      <c r="G55" s="15">
        <v>3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3</v>
      </c>
      <c r="O55" s="15">
        <v>9</v>
      </c>
      <c r="P55" s="15">
        <v>0</v>
      </c>
      <c r="Q55" s="15">
        <v>1</v>
      </c>
      <c r="R55" s="15">
        <v>3</v>
      </c>
      <c r="S55" s="15">
        <v>3</v>
      </c>
      <c r="T55" s="15">
        <v>0</v>
      </c>
      <c r="U55" s="15">
        <v>1</v>
      </c>
      <c r="V55" s="42">
        <v>0</v>
      </c>
      <c r="W55" s="56">
        <v>77.25</v>
      </c>
      <c r="X55" s="58">
        <v>7.2961677410214639E-3</v>
      </c>
      <c r="Y55" s="60">
        <v>74</v>
      </c>
    </row>
    <row r="56" spans="1:25" x14ac:dyDescent="0.25">
      <c r="A56" s="40" t="s">
        <v>259</v>
      </c>
      <c r="B56" s="15">
        <v>0</v>
      </c>
      <c r="C56" s="15">
        <v>0</v>
      </c>
      <c r="D56" s="15">
        <v>0</v>
      </c>
      <c r="E56" s="15">
        <v>0</v>
      </c>
      <c r="F56" s="15">
        <v>1</v>
      </c>
      <c r="G56" s="15">
        <v>3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9</v>
      </c>
      <c r="O56" s="15">
        <v>9</v>
      </c>
      <c r="P56" s="15">
        <v>0</v>
      </c>
      <c r="Q56" s="15">
        <v>3</v>
      </c>
      <c r="R56" s="15">
        <v>3</v>
      </c>
      <c r="S56" s="15">
        <v>3</v>
      </c>
      <c r="T56" s="15">
        <v>0</v>
      </c>
      <c r="U56" s="15">
        <v>1</v>
      </c>
      <c r="V56" s="42">
        <v>0</v>
      </c>
      <c r="W56" s="56">
        <v>100.25</v>
      </c>
      <c r="X56" s="58">
        <v>9.4684895279922559E-3</v>
      </c>
      <c r="Y56" s="60">
        <v>57</v>
      </c>
    </row>
    <row r="57" spans="1:25" x14ac:dyDescent="0.25">
      <c r="A57" s="39" t="s">
        <v>260</v>
      </c>
      <c r="B57" s="15">
        <v>1</v>
      </c>
      <c r="C57" s="15">
        <v>0</v>
      </c>
      <c r="D57" s="15">
        <v>0</v>
      </c>
      <c r="E57" s="15">
        <v>0</v>
      </c>
      <c r="F57" s="15">
        <v>1</v>
      </c>
      <c r="G57" s="15">
        <v>3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9</v>
      </c>
      <c r="O57" s="15">
        <v>9</v>
      </c>
      <c r="P57" s="15">
        <v>0</v>
      </c>
      <c r="Q57" s="15">
        <v>3</v>
      </c>
      <c r="R57" s="15">
        <v>3</v>
      </c>
      <c r="S57" s="15">
        <v>3</v>
      </c>
      <c r="T57" s="15">
        <v>0</v>
      </c>
      <c r="U57" s="15">
        <v>1</v>
      </c>
      <c r="V57" s="42">
        <v>0</v>
      </c>
      <c r="W57" s="56">
        <v>104.25</v>
      </c>
      <c r="X57" s="58">
        <v>9.8462846213784802E-3</v>
      </c>
      <c r="Y57" s="60">
        <v>53</v>
      </c>
    </row>
    <row r="58" spans="1:25" x14ac:dyDescent="0.25">
      <c r="A58" s="40" t="s">
        <v>261</v>
      </c>
      <c r="B58" s="15">
        <v>0</v>
      </c>
      <c r="C58" s="15">
        <v>0</v>
      </c>
      <c r="D58" s="15">
        <v>0</v>
      </c>
      <c r="E58" s="15">
        <v>0</v>
      </c>
      <c r="F58" s="15">
        <v>1</v>
      </c>
      <c r="G58" s="15">
        <v>1</v>
      </c>
      <c r="H58" s="15">
        <v>0</v>
      </c>
      <c r="I58" s="15">
        <v>1</v>
      </c>
      <c r="J58" s="15">
        <v>0</v>
      </c>
      <c r="K58" s="15">
        <v>0</v>
      </c>
      <c r="L58" s="15">
        <v>0</v>
      </c>
      <c r="M58" s="15">
        <v>0</v>
      </c>
      <c r="N58" s="15">
        <v>3</v>
      </c>
      <c r="O58" s="15">
        <v>1</v>
      </c>
      <c r="P58" s="15">
        <v>9</v>
      </c>
      <c r="Q58" s="15">
        <v>1</v>
      </c>
      <c r="R58" s="15">
        <v>0</v>
      </c>
      <c r="S58" s="15">
        <v>1</v>
      </c>
      <c r="T58" s="15">
        <v>0</v>
      </c>
      <c r="U58" s="15">
        <v>3</v>
      </c>
      <c r="V58" s="42">
        <v>0</v>
      </c>
      <c r="W58" s="56">
        <v>66.5</v>
      </c>
      <c r="X58" s="58">
        <v>6.2808434275459851E-3</v>
      </c>
      <c r="Y58" s="60">
        <v>77</v>
      </c>
    </row>
    <row r="59" spans="1:25" x14ac:dyDescent="0.25">
      <c r="A59" s="39" t="s">
        <v>262</v>
      </c>
      <c r="B59" s="15">
        <v>0</v>
      </c>
      <c r="C59" s="15">
        <v>0</v>
      </c>
      <c r="D59" s="15">
        <v>0</v>
      </c>
      <c r="E59" s="15">
        <v>0</v>
      </c>
      <c r="F59" s="15">
        <v>1</v>
      </c>
      <c r="G59" s="15">
        <v>1</v>
      </c>
      <c r="H59" s="15">
        <v>0</v>
      </c>
      <c r="I59" s="15">
        <v>1</v>
      </c>
      <c r="J59" s="15">
        <v>0</v>
      </c>
      <c r="K59" s="15">
        <v>0</v>
      </c>
      <c r="L59" s="15">
        <v>0</v>
      </c>
      <c r="M59" s="15">
        <v>0</v>
      </c>
      <c r="N59" s="15">
        <v>3</v>
      </c>
      <c r="O59" s="15">
        <v>1</v>
      </c>
      <c r="P59" s="15">
        <v>9</v>
      </c>
      <c r="Q59" s="15">
        <v>1</v>
      </c>
      <c r="R59" s="15">
        <v>0</v>
      </c>
      <c r="S59" s="15">
        <v>1</v>
      </c>
      <c r="T59" s="15">
        <v>0</v>
      </c>
      <c r="U59" s="15">
        <v>3</v>
      </c>
      <c r="V59" s="42">
        <v>0</v>
      </c>
      <c r="W59" s="56">
        <v>66.5</v>
      </c>
      <c r="X59" s="58">
        <v>6.2808434275459851E-3</v>
      </c>
      <c r="Y59" s="60">
        <v>77</v>
      </c>
    </row>
    <row r="60" spans="1:25" x14ac:dyDescent="0.25">
      <c r="A60" s="40" t="s">
        <v>263</v>
      </c>
      <c r="B60" s="15">
        <v>0</v>
      </c>
      <c r="C60" s="15">
        <v>0</v>
      </c>
      <c r="D60" s="15">
        <v>0</v>
      </c>
      <c r="E60" s="15">
        <v>0</v>
      </c>
      <c r="F60" s="15">
        <v>1</v>
      </c>
      <c r="G60" s="15">
        <v>1</v>
      </c>
      <c r="H60" s="15">
        <v>0</v>
      </c>
      <c r="I60" s="15">
        <v>1</v>
      </c>
      <c r="J60" s="15">
        <v>0</v>
      </c>
      <c r="K60" s="15">
        <v>0</v>
      </c>
      <c r="L60" s="15">
        <v>0</v>
      </c>
      <c r="M60" s="15">
        <v>0</v>
      </c>
      <c r="N60" s="15">
        <v>3</v>
      </c>
      <c r="O60" s="15">
        <v>1</v>
      </c>
      <c r="P60" s="15">
        <v>9</v>
      </c>
      <c r="Q60" s="15">
        <v>1</v>
      </c>
      <c r="R60" s="15">
        <v>0</v>
      </c>
      <c r="S60" s="15">
        <v>1</v>
      </c>
      <c r="T60" s="15">
        <v>0</v>
      </c>
      <c r="U60" s="15">
        <v>1</v>
      </c>
      <c r="V60" s="42">
        <v>0</v>
      </c>
      <c r="W60" s="56">
        <v>61</v>
      </c>
      <c r="X60" s="58">
        <v>5.7613751741399256E-3</v>
      </c>
      <c r="Y60" s="60">
        <v>82</v>
      </c>
    </row>
    <row r="61" spans="1:25" x14ac:dyDescent="0.25">
      <c r="A61" s="39" t="s">
        <v>264</v>
      </c>
      <c r="B61" s="15">
        <v>0</v>
      </c>
      <c r="C61" s="15">
        <v>0</v>
      </c>
      <c r="D61" s="15">
        <v>0</v>
      </c>
      <c r="E61" s="15">
        <v>0</v>
      </c>
      <c r="F61" s="15">
        <v>1</v>
      </c>
      <c r="G61" s="15">
        <v>1</v>
      </c>
      <c r="H61" s="15">
        <v>0</v>
      </c>
      <c r="I61" s="15">
        <v>1</v>
      </c>
      <c r="J61" s="15">
        <v>0</v>
      </c>
      <c r="K61" s="15">
        <v>0</v>
      </c>
      <c r="L61" s="15">
        <v>0</v>
      </c>
      <c r="M61" s="15">
        <v>0</v>
      </c>
      <c r="N61" s="15">
        <v>3</v>
      </c>
      <c r="O61" s="15">
        <v>1</v>
      </c>
      <c r="P61" s="15">
        <v>9</v>
      </c>
      <c r="Q61" s="15">
        <v>1</v>
      </c>
      <c r="R61" s="15">
        <v>0</v>
      </c>
      <c r="S61" s="15">
        <v>1</v>
      </c>
      <c r="T61" s="15">
        <v>0</v>
      </c>
      <c r="U61" s="15">
        <v>3</v>
      </c>
      <c r="V61" s="42">
        <v>0</v>
      </c>
      <c r="W61" s="56">
        <v>66.5</v>
      </c>
      <c r="X61" s="58">
        <v>6.2808434275459851E-3</v>
      </c>
      <c r="Y61" s="60">
        <v>77</v>
      </c>
    </row>
    <row r="62" spans="1:25" x14ac:dyDescent="0.25">
      <c r="A62" s="40" t="s">
        <v>265</v>
      </c>
      <c r="B62" s="15">
        <v>0</v>
      </c>
      <c r="C62" s="15">
        <v>0</v>
      </c>
      <c r="D62" s="15">
        <v>0</v>
      </c>
      <c r="E62" s="15">
        <v>0</v>
      </c>
      <c r="F62" s="15">
        <v>1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1</v>
      </c>
      <c r="P62" s="15">
        <v>0</v>
      </c>
      <c r="Q62" s="15">
        <v>9</v>
      </c>
      <c r="R62" s="15">
        <v>0</v>
      </c>
      <c r="S62" s="15">
        <v>9</v>
      </c>
      <c r="T62" s="15">
        <v>0</v>
      </c>
      <c r="U62" s="15">
        <v>1</v>
      </c>
      <c r="V62" s="42">
        <v>0</v>
      </c>
      <c r="W62" s="56">
        <v>67</v>
      </c>
      <c r="X62" s="58">
        <v>6.3280678142192629E-3</v>
      </c>
      <c r="Y62" s="60">
        <v>75</v>
      </c>
    </row>
    <row r="63" spans="1:25" x14ac:dyDescent="0.25">
      <c r="A63" s="39" t="s">
        <v>266</v>
      </c>
      <c r="B63" s="15">
        <v>0</v>
      </c>
      <c r="C63" s="15">
        <v>0</v>
      </c>
      <c r="D63" s="15">
        <v>0</v>
      </c>
      <c r="E63" s="15">
        <v>0</v>
      </c>
      <c r="F63" s="15">
        <v>1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1</v>
      </c>
      <c r="P63" s="15">
        <v>0</v>
      </c>
      <c r="Q63" s="15">
        <v>9</v>
      </c>
      <c r="R63" s="15">
        <v>0</v>
      </c>
      <c r="S63" s="15">
        <v>9</v>
      </c>
      <c r="T63" s="15">
        <v>0</v>
      </c>
      <c r="U63" s="15">
        <v>1</v>
      </c>
      <c r="V63" s="42">
        <v>0</v>
      </c>
      <c r="W63" s="56">
        <v>67</v>
      </c>
      <c r="X63" s="58">
        <v>6.3280678142192629E-3</v>
      </c>
      <c r="Y63" s="60">
        <v>75</v>
      </c>
    </row>
    <row r="64" spans="1:25" x14ac:dyDescent="0.25">
      <c r="A64" s="40" t="s">
        <v>267</v>
      </c>
      <c r="B64" s="15">
        <v>0</v>
      </c>
      <c r="C64" s="15">
        <v>0</v>
      </c>
      <c r="D64" s="15">
        <v>0</v>
      </c>
      <c r="E64" s="15">
        <v>0</v>
      </c>
      <c r="F64" s="15">
        <v>1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1</v>
      </c>
      <c r="P64" s="15">
        <v>0</v>
      </c>
      <c r="Q64" s="15">
        <v>9</v>
      </c>
      <c r="R64" s="15">
        <v>9</v>
      </c>
      <c r="S64" s="15">
        <v>9</v>
      </c>
      <c r="T64" s="15">
        <v>0</v>
      </c>
      <c r="U64" s="15">
        <v>1</v>
      </c>
      <c r="V64" s="42">
        <v>0</v>
      </c>
      <c r="W64" s="56">
        <v>100.75</v>
      </c>
      <c r="X64" s="58">
        <v>9.5157139146655328E-3</v>
      </c>
      <c r="Y64" s="60">
        <v>56</v>
      </c>
    </row>
    <row r="65" spans="1:25" x14ac:dyDescent="0.25">
      <c r="A65" s="39" t="s">
        <v>268</v>
      </c>
      <c r="B65" s="15">
        <v>0</v>
      </c>
      <c r="C65" s="15">
        <v>0</v>
      </c>
      <c r="D65" s="15">
        <v>0</v>
      </c>
      <c r="E65" s="15">
        <v>0</v>
      </c>
      <c r="F65" s="15">
        <v>1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1</v>
      </c>
      <c r="P65" s="15">
        <v>0</v>
      </c>
      <c r="Q65" s="15">
        <v>9</v>
      </c>
      <c r="R65" s="15">
        <v>3</v>
      </c>
      <c r="S65" s="15">
        <v>9</v>
      </c>
      <c r="T65" s="15">
        <v>0</v>
      </c>
      <c r="U65" s="15">
        <v>1</v>
      </c>
      <c r="V65" s="42">
        <v>0</v>
      </c>
      <c r="W65" s="56">
        <v>78.25</v>
      </c>
      <c r="X65" s="58">
        <v>7.3906165143680196E-3</v>
      </c>
      <c r="Y65" s="60">
        <v>73</v>
      </c>
    </row>
    <row r="66" spans="1:25" x14ac:dyDescent="0.25">
      <c r="A66" s="40" t="s">
        <v>269</v>
      </c>
      <c r="B66" s="15">
        <v>0</v>
      </c>
      <c r="C66" s="15">
        <v>0</v>
      </c>
      <c r="D66" s="15">
        <v>0</v>
      </c>
      <c r="E66" s="15">
        <v>0</v>
      </c>
      <c r="F66" s="15">
        <v>1</v>
      </c>
      <c r="G66" s="15">
        <v>3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3</v>
      </c>
      <c r="O66" s="15">
        <v>1</v>
      </c>
      <c r="P66" s="15">
        <v>0</v>
      </c>
      <c r="Q66" s="15">
        <v>9</v>
      </c>
      <c r="R66" s="15">
        <v>9</v>
      </c>
      <c r="S66" s="15">
        <v>9</v>
      </c>
      <c r="T66" s="15">
        <v>0</v>
      </c>
      <c r="U66" s="15">
        <v>1</v>
      </c>
      <c r="V66" s="42">
        <v>0</v>
      </c>
      <c r="W66" s="56">
        <v>120.25</v>
      </c>
      <c r="X66" s="58">
        <v>1.1357464994923379E-2</v>
      </c>
      <c r="Y66" s="60">
        <v>48</v>
      </c>
    </row>
    <row r="67" spans="1:25" x14ac:dyDescent="0.25">
      <c r="A67" s="39" t="s">
        <v>270</v>
      </c>
      <c r="B67" s="15">
        <v>0</v>
      </c>
      <c r="C67" s="15">
        <v>0</v>
      </c>
      <c r="D67" s="15">
        <v>0</v>
      </c>
      <c r="E67" s="15">
        <v>0</v>
      </c>
      <c r="F67" s="15">
        <v>1</v>
      </c>
      <c r="G67" s="15">
        <v>3</v>
      </c>
      <c r="H67" s="15">
        <v>0</v>
      </c>
      <c r="I67" s="15">
        <v>0</v>
      </c>
      <c r="J67" s="15">
        <v>0</v>
      </c>
      <c r="K67" s="15">
        <v>9</v>
      </c>
      <c r="L67" s="15">
        <v>1</v>
      </c>
      <c r="M67" s="15">
        <v>0</v>
      </c>
      <c r="N67" s="15">
        <v>3</v>
      </c>
      <c r="O67" s="15">
        <v>1</v>
      </c>
      <c r="P67" s="15">
        <v>0</v>
      </c>
      <c r="Q67" s="15">
        <v>9</v>
      </c>
      <c r="R67" s="15">
        <v>9</v>
      </c>
      <c r="S67" s="15">
        <v>9</v>
      </c>
      <c r="T67" s="15">
        <v>0</v>
      </c>
      <c r="U67" s="15">
        <v>1</v>
      </c>
      <c r="V67" s="42">
        <v>0</v>
      </c>
      <c r="W67" s="56">
        <v>157.25</v>
      </c>
      <c r="X67" s="58">
        <v>1.4852069608745957E-2</v>
      </c>
      <c r="Y67" s="60">
        <v>22</v>
      </c>
    </row>
    <row r="68" spans="1:25" x14ac:dyDescent="0.25">
      <c r="A68" s="40" t="s">
        <v>271</v>
      </c>
      <c r="B68" s="15">
        <v>0</v>
      </c>
      <c r="C68" s="15">
        <v>0</v>
      </c>
      <c r="D68" s="15">
        <v>0</v>
      </c>
      <c r="E68" s="15">
        <v>0</v>
      </c>
      <c r="F68" s="15">
        <v>1</v>
      </c>
      <c r="G68" s="15">
        <v>3</v>
      </c>
      <c r="H68" s="15">
        <v>0</v>
      </c>
      <c r="I68" s="15">
        <v>0</v>
      </c>
      <c r="J68" s="15">
        <v>0</v>
      </c>
      <c r="K68" s="15">
        <v>3</v>
      </c>
      <c r="L68" s="15">
        <v>0</v>
      </c>
      <c r="M68" s="15">
        <v>0</v>
      </c>
      <c r="N68" s="15">
        <v>0</v>
      </c>
      <c r="O68" s="15">
        <v>1</v>
      </c>
      <c r="P68" s="15">
        <v>0</v>
      </c>
      <c r="Q68" s="15">
        <v>9</v>
      </c>
      <c r="R68" s="15">
        <v>9</v>
      </c>
      <c r="S68" s="15">
        <v>9</v>
      </c>
      <c r="T68" s="15">
        <v>0</v>
      </c>
      <c r="U68" s="15">
        <v>1</v>
      </c>
      <c r="V68" s="42">
        <v>0</v>
      </c>
      <c r="W68" s="56">
        <v>121.75</v>
      </c>
      <c r="X68" s="58">
        <v>1.1499138154943214E-2</v>
      </c>
      <c r="Y68" s="60">
        <v>47</v>
      </c>
    </row>
    <row r="69" spans="1:25" x14ac:dyDescent="0.25">
      <c r="A69" s="39" t="s">
        <v>272</v>
      </c>
      <c r="B69" s="15">
        <v>3</v>
      </c>
      <c r="C69" s="15">
        <v>0</v>
      </c>
      <c r="D69" s="15">
        <v>0</v>
      </c>
      <c r="E69" s="15">
        <v>0</v>
      </c>
      <c r="F69" s="15">
        <v>3</v>
      </c>
      <c r="G69" s="15">
        <v>1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3</v>
      </c>
      <c r="O69" s="15">
        <v>1</v>
      </c>
      <c r="P69" s="15">
        <v>0</v>
      </c>
      <c r="Q69" s="15">
        <v>9</v>
      </c>
      <c r="R69" s="15">
        <v>9</v>
      </c>
      <c r="S69" s="15">
        <v>9</v>
      </c>
      <c r="T69" s="15">
        <v>0</v>
      </c>
      <c r="U69" s="15">
        <v>1</v>
      </c>
      <c r="V69" s="42">
        <v>0</v>
      </c>
      <c r="W69" s="56">
        <v>131.75</v>
      </c>
      <c r="X69" s="58">
        <v>1.2443625888408773E-2</v>
      </c>
      <c r="Y69" s="60">
        <v>37</v>
      </c>
    </row>
    <row r="70" spans="1:25" x14ac:dyDescent="0.25">
      <c r="A70" s="40" t="s">
        <v>273</v>
      </c>
      <c r="B70" s="15">
        <v>0</v>
      </c>
      <c r="C70" s="15">
        <v>0</v>
      </c>
      <c r="D70" s="15">
        <v>0</v>
      </c>
      <c r="E70" s="15">
        <v>0</v>
      </c>
      <c r="F70" s="15">
        <v>1</v>
      </c>
      <c r="G70" s="15">
        <v>3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1</v>
      </c>
      <c r="P70" s="15">
        <v>0</v>
      </c>
      <c r="Q70" s="15">
        <v>9</v>
      </c>
      <c r="R70" s="15">
        <v>9</v>
      </c>
      <c r="S70" s="15">
        <v>9</v>
      </c>
      <c r="T70" s="15">
        <v>0</v>
      </c>
      <c r="U70" s="15">
        <v>1</v>
      </c>
      <c r="V70" s="42">
        <v>0</v>
      </c>
      <c r="W70" s="56">
        <v>110.5</v>
      </c>
      <c r="X70" s="58">
        <v>1.0436589454794455E-2</v>
      </c>
      <c r="Y70" s="60">
        <v>51</v>
      </c>
    </row>
    <row r="71" spans="1:25" x14ac:dyDescent="0.25">
      <c r="A71" s="39" t="s">
        <v>274</v>
      </c>
      <c r="B71" s="15">
        <v>3</v>
      </c>
      <c r="C71" s="15">
        <v>1</v>
      </c>
      <c r="D71" s="15">
        <v>0</v>
      </c>
      <c r="E71" s="15">
        <v>3</v>
      </c>
      <c r="F71" s="15">
        <v>3</v>
      </c>
      <c r="G71" s="15">
        <v>9</v>
      </c>
      <c r="H71" s="15">
        <v>0</v>
      </c>
      <c r="I71" s="15">
        <v>0</v>
      </c>
      <c r="J71" s="15">
        <v>0</v>
      </c>
      <c r="K71" s="15">
        <v>0</v>
      </c>
      <c r="L71" s="15">
        <v>1</v>
      </c>
      <c r="M71" s="15">
        <v>0</v>
      </c>
      <c r="N71" s="15">
        <v>9</v>
      </c>
      <c r="O71" s="15">
        <v>1</v>
      </c>
      <c r="P71" s="15">
        <v>3</v>
      </c>
      <c r="Q71" s="15">
        <v>3</v>
      </c>
      <c r="R71" s="15">
        <v>3</v>
      </c>
      <c r="S71" s="15">
        <v>9</v>
      </c>
      <c r="T71" s="15">
        <v>0</v>
      </c>
      <c r="U71" s="15">
        <v>1</v>
      </c>
      <c r="V71" s="42">
        <v>3</v>
      </c>
      <c r="W71" s="56">
        <v>171.75</v>
      </c>
      <c r="X71" s="58">
        <v>1.622157682227102E-2</v>
      </c>
      <c r="Y71" s="60">
        <v>16</v>
      </c>
    </row>
    <row r="72" spans="1:25" x14ac:dyDescent="0.25">
      <c r="A72" s="40" t="s">
        <v>275</v>
      </c>
      <c r="B72" s="15">
        <v>0</v>
      </c>
      <c r="C72" s="15">
        <v>0</v>
      </c>
      <c r="D72" s="15">
        <v>0</v>
      </c>
      <c r="E72" s="15">
        <v>3</v>
      </c>
      <c r="F72" s="15">
        <v>1</v>
      </c>
      <c r="G72" s="15">
        <v>3</v>
      </c>
      <c r="H72" s="15">
        <v>0</v>
      </c>
      <c r="I72" s="15">
        <v>0</v>
      </c>
      <c r="J72" s="15">
        <v>0</v>
      </c>
      <c r="K72" s="15">
        <v>3</v>
      </c>
      <c r="L72" s="15">
        <v>1</v>
      </c>
      <c r="M72" s="15">
        <v>0</v>
      </c>
      <c r="N72" s="15">
        <v>3</v>
      </c>
      <c r="O72" s="15">
        <v>1</v>
      </c>
      <c r="P72" s="15">
        <v>0</v>
      </c>
      <c r="Q72" s="15">
        <v>9</v>
      </c>
      <c r="R72" s="15">
        <v>9</v>
      </c>
      <c r="S72" s="15">
        <v>9</v>
      </c>
      <c r="T72" s="15">
        <v>0</v>
      </c>
      <c r="U72" s="15">
        <v>1</v>
      </c>
      <c r="V72" s="42">
        <v>0</v>
      </c>
      <c r="W72" s="56">
        <v>146</v>
      </c>
      <c r="X72" s="58">
        <v>1.3789520908597199E-2</v>
      </c>
      <c r="Y72" s="60">
        <v>26</v>
      </c>
    </row>
    <row r="73" spans="1:25" x14ac:dyDescent="0.25">
      <c r="A73" s="39" t="s">
        <v>276</v>
      </c>
      <c r="B73" s="15">
        <v>1</v>
      </c>
      <c r="C73" s="15">
        <v>0</v>
      </c>
      <c r="D73" s="15">
        <v>0</v>
      </c>
      <c r="E73" s="15">
        <v>0</v>
      </c>
      <c r="F73" s="15">
        <v>1</v>
      </c>
      <c r="G73" s="15">
        <v>1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1</v>
      </c>
      <c r="P73" s="15">
        <v>0</v>
      </c>
      <c r="Q73" s="15">
        <v>1</v>
      </c>
      <c r="R73" s="15">
        <v>1</v>
      </c>
      <c r="S73" s="15">
        <v>9</v>
      </c>
      <c r="T73" s="15">
        <v>0</v>
      </c>
      <c r="U73" s="15">
        <v>1</v>
      </c>
      <c r="V73" s="42">
        <v>0</v>
      </c>
      <c r="W73" s="56">
        <v>48</v>
      </c>
      <c r="X73" s="58">
        <v>4.5335411206346961E-3</v>
      </c>
      <c r="Y73" s="60">
        <v>84</v>
      </c>
    </row>
    <row r="74" spans="1:25" x14ac:dyDescent="0.25">
      <c r="A74" s="40" t="s">
        <v>277</v>
      </c>
      <c r="B74" s="15">
        <v>0</v>
      </c>
      <c r="C74" s="15">
        <v>0</v>
      </c>
      <c r="D74" s="15">
        <v>0</v>
      </c>
      <c r="E74" s="15">
        <v>3</v>
      </c>
      <c r="F74" s="15">
        <v>1</v>
      </c>
      <c r="G74" s="15">
        <v>1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3</v>
      </c>
      <c r="O74" s="15">
        <v>1</v>
      </c>
      <c r="P74" s="15">
        <v>3</v>
      </c>
      <c r="Q74" s="15">
        <v>1</v>
      </c>
      <c r="R74" s="15">
        <v>1</v>
      </c>
      <c r="S74" s="15">
        <v>3</v>
      </c>
      <c r="T74" s="15">
        <v>9</v>
      </c>
      <c r="U74" s="15">
        <v>3</v>
      </c>
      <c r="V74" s="42">
        <v>9</v>
      </c>
      <c r="W74" s="56">
        <v>125.25</v>
      </c>
      <c r="X74" s="58">
        <v>1.1829708861656159E-2</v>
      </c>
      <c r="Y74" s="60">
        <v>45</v>
      </c>
    </row>
    <row r="75" spans="1:25" x14ac:dyDescent="0.25">
      <c r="A75" s="39" t="s">
        <v>278</v>
      </c>
      <c r="B75" s="15">
        <v>0</v>
      </c>
      <c r="C75" s="15">
        <v>0</v>
      </c>
      <c r="D75" s="15">
        <v>0</v>
      </c>
      <c r="E75" s="15">
        <v>3</v>
      </c>
      <c r="F75" s="15">
        <v>1</v>
      </c>
      <c r="G75" s="15">
        <v>1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3</v>
      </c>
      <c r="O75" s="15">
        <v>1</v>
      </c>
      <c r="P75" s="15">
        <v>3</v>
      </c>
      <c r="Q75" s="15">
        <v>1</v>
      </c>
      <c r="R75" s="15">
        <v>1</v>
      </c>
      <c r="S75" s="15">
        <v>3</v>
      </c>
      <c r="T75" s="15">
        <v>9</v>
      </c>
      <c r="U75" s="15">
        <v>9</v>
      </c>
      <c r="V75" s="42">
        <v>9</v>
      </c>
      <c r="W75" s="56">
        <v>141.75</v>
      </c>
      <c r="X75" s="58">
        <v>1.3388113621874335E-2</v>
      </c>
      <c r="Y75" s="60">
        <v>28</v>
      </c>
    </row>
    <row r="76" spans="1:25" x14ac:dyDescent="0.25">
      <c r="A76" s="40" t="s">
        <v>279</v>
      </c>
      <c r="B76" s="15">
        <v>0</v>
      </c>
      <c r="C76" s="15">
        <v>0</v>
      </c>
      <c r="D76" s="15">
        <v>0</v>
      </c>
      <c r="E76" s="15">
        <v>3</v>
      </c>
      <c r="F76" s="15">
        <v>1</v>
      </c>
      <c r="G76" s="15">
        <v>1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3</v>
      </c>
      <c r="O76" s="15">
        <v>1</v>
      </c>
      <c r="P76" s="15">
        <v>0</v>
      </c>
      <c r="Q76" s="15">
        <v>3</v>
      </c>
      <c r="R76" s="15">
        <v>3</v>
      </c>
      <c r="S76" s="15">
        <v>1</v>
      </c>
      <c r="T76" s="15">
        <v>9</v>
      </c>
      <c r="U76" s="15">
        <v>9</v>
      </c>
      <c r="V76" s="42">
        <v>9</v>
      </c>
      <c r="W76" s="56">
        <v>140.75</v>
      </c>
      <c r="X76" s="58">
        <v>1.3293664848527779E-2</v>
      </c>
      <c r="Y76" s="60">
        <v>30</v>
      </c>
    </row>
    <row r="77" spans="1:25" x14ac:dyDescent="0.25">
      <c r="A77" s="39" t="s">
        <v>280</v>
      </c>
      <c r="B77" s="15">
        <v>0</v>
      </c>
      <c r="C77" s="15">
        <v>0</v>
      </c>
      <c r="D77" s="15">
        <v>0</v>
      </c>
      <c r="E77" s="15">
        <v>3</v>
      </c>
      <c r="F77" s="15">
        <v>1</v>
      </c>
      <c r="G77" s="15">
        <v>1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3</v>
      </c>
      <c r="O77" s="15">
        <v>1</v>
      </c>
      <c r="P77" s="15">
        <v>0</v>
      </c>
      <c r="Q77" s="15">
        <v>1</v>
      </c>
      <c r="R77" s="15">
        <v>1</v>
      </c>
      <c r="S77" s="15">
        <v>3</v>
      </c>
      <c r="T77" s="15">
        <v>9</v>
      </c>
      <c r="U77" s="15">
        <v>3</v>
      </c>
      <c r="V77" s="42">
        <v>0</v>
      </c>
      <c r="W77" s="56">
        <v>81</v>
      </c>
      <c r="X77" s="58">
        <v>7.6503506410710489E-3</v>
      </c>
      <c r="Y77" s="60">
        <v>70</v>
      </c>
    </row>
    <row r="78" spans="1:25" x14ac:dyDescent="0.25">
      <c r="A78" s="40" t="s">
        <v>281</v>
      </c>
      <c r="B78" s="15">
        <v>0</v>
      </c>
      <c r="C78" s="15">
        <v>0</v>
      </c>
      <c r="D78" s="15">
        <v>0</v>
      </c>
      <c r="E78" s="15">
        <v>3</v>
      </c>
      <c r="F78" s="15">
        <v>1</v>
      </c>
      <c r="G78" s="15">
        <v>1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1</v>
      </c>
      <c r="P78" s="15">
        <v>0</v>
      </c>
      <c r="Q78" s="15">
        <v>1</v>
      </c>
      <c r="R78" s="15">
        <v>3</v>
      </c>
      <c r="S78" s="15">
        <v>1</v>
      </c>
      <c r="T78" s="15">
        <v>9</v>
      </c>
      <c r="U78" s="15">
        <v>9</v>
      </c>
      <c r="V78" s="42">
        <v>9</v>
      </c>
      <c r="W78" s="56">
        <v>123.5</v>
      </c>
      <c r="X78" s="58">
        <v>1.1664423508299685E-2</v>
      </c>
      <c r="Y78" s="60">
        <v>46</v>
      </c>
    </row>
    <row r="79" spans="1:25" x14ac:dyDescent="0.25">
      <c r="A79" s="39" t="s">
        <v>282</v>
      </c>
      <c r="B79" s="15">
        <v>0</v>
      </c>
      <c r="C79" s="15">
        <v>0</v>
      </c>
      <c r="D79" s="15">
        <v>0</v>
      </c>
      <c r="E79" s="15">
        <v>3</v>
      </c>
      <c r="F79" s="15">
        <v>1</v>
      </c>
      <c r="G79" s="15">
        <v>1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1</v>
      </c>
      <c r="P79" s="15">
        <v>0</v>
      </c>
      <c r="Q79" s="15">
        <v>3</v>
      </c>
      <c r="R79" s="15">
        <v>3</v>
      </c>
      <c r="S79" s="15">
        <v>1</v>
      </c>
      <c r="T79" s="15">
        <v>9</v>
      </c>
      <c r="U79" s="15">
        <v>9</v>
      </c>
      <c r="V79" s="42">
        <v>9</v>
      </c>
      <c r="W79" s="56">
        <v>131</v>
      </c>
      <c r="X79" s="58">
        <v>1.2372789308398857E-2</v>
      </c>
      <c r="Y79" s="60">
        <v>40</v>
      </c>
    </row>
    <row r="80" spans="1:25" x14ac:dyDescent="0.25">
      <c r="A80" s="40" t="s">
        <v>283</v>
      </c>
      <c r="B80" s="15">
        <v>0</v>
      </c>
      <c r="C80" s="15">
        <v>0</v>
      </c>
      <c r="D80" s="15">
        <v>0</v>
      </c>
      <c r="E80" s="15">
        <v>3</v>
      </c>
      <c r="F80" s="15">
        <v>1</v>
      </c>
      <c r="G80" s="15">
        <v>1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3</v>
      </c>
      <c r="O80" s="15">
        <v>1</v>
      </c>
      <c r="P80" s="15">
        <v>0</v>
      </c>
      <c r="Q80" s="15">
        <v>1</v>
      </c>
      <c r="R80" s="15">
        <v>3</v>
      </c>
      <c r="S80" s="15">
        <v>3</v>
      </c>
      <c r="T80" s="15">
        <v>9</v>
      </c>
      <c r="U80" s="15">
        <v>9</v>
      </c>
      <c r="V80" s="42">
        <v>9</v>
      </c>
      <c r="W80" s="56">
        <v>138.75</v>
      </c>
      <c r="X80" s="58">
        <v>1.3104767301834668E-2</v>
      </c>
      <c r="Y80" s="60">
        <v>32</v>
      </c>
    </row>
    <row r="81" spans="1:25" x14ac:dyDescent="0.25">
      <c r="A81" s="39" t="s">
        <v>284</v>
      </c>
      <c r="B81" s="15">
        <v>0</v>
      </c>
      <c r="C81" s="15">
        <v>0</v>
      </c>
      <c r="D81" s="15">
        <v>0</v>
      </c>
      <c r="E81" s="15">
        <v>0</v>
      </c>
      <c r="F81" s="15">
        <v>1</v>
      </c>
      <c r="G81" s="15">
        <v>1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1</v>
      </c>
      <c r="P81" s="15">
        <v>0</v>
      </c>
      <c r="Q81" s="15">
        <v>1</v>
      </c>
      <c r="R81" s="15">
        <v>1</v>
      </c>
      <c r="S81" s="15">
        <v>1</v>
      </c>
      <c r="T81" s="15">
        <v>3</v>
      </c>
      <c r="U81" s="15">
        <v>9</v>
      </c>
      <c r="V81" s="42">
        <v>9</v>
      </c>
      <c r="W81" s="56">
        <v>86.75</v>
      </c>
      <c r="X81" s="58">
        <v>8.1934310878137469E-3</v>
      </c>
      <c r="Y81" s="60">
        <v>63</v>
      </c>
    </row>
    <row r="82" spans="1:25" x14ac:dyDescent="0.25">
      <c r="A82" s="40" t="s">
        <v>285</v>
      </c>
      <c r="B82" s="15">
        <v>1</v>
      </c>
      <c r="C82" s="15">
        <v>3</v>
      </c>
      <c r="D82" s="15">
        <v>0</v>
      </c>
      <c r="E82" s="15">
        <v>0</v>
      </c>
      <c r="F82" s="15">
        <v>1</v>
      </c>
      <c r="G82" s="15">
        <v>3</v>
      </c>
      <c r="H82" s="15">
        <v>0</v>
      </c>
      <c r="I82" s="15">
        <v>0</v>
      </c>
      <c r="J82" s="15">
        <v>0</v>
      </c>
      <c r="K82" s="15">
        <v>0</v>
      </c>
      <c r="L82" s="15">
        <v>1</v>
      </c>
      <c r="M82" s="15">
        <v>0</v>
      </c>
      <c r="N82" s="15">
        <v>0</v>
      </c>
      <c r="O82" s="15">
        <v>1</v>
      </c>
      <c r="P82" s="15">
        <v>0</v>
      </c>
      <c r="Q82" s="15">
        <v>3</v>
      </c>
      <c r="R82" s="15">
        <v>3</v>
      </c>
      <c r="S82" s="15">
        <v>9</v>
      </c>
      <c r="T82" s="15">
        <v>3</v>
      </c>
      <c r="U82" s="15">
        <v>3</v>
      </c>
      <c r="V82" s="42">
        <v>9</v>
      </c>
      <c r="W82" s="56">
        <v>130.75</v>
      </c>
      <c r="X82" s="58">
        <v>1.2349177115062218E-2</v>
      </c>
      <c r="Y82" s="60">
        <v>41</v>
      </c>
    </row>
    <row r="83" spans="1:25" x14ac:dyDescent="0.25">
      <c r="A83" s="39" t="s">
        <v>286</v>
      </c>
      <c r="B83" s="15">
        <v>0</v>
      </c>
      <c r="C83" s="15">
        <v>0</v>
      </c>
      <c r="D83" s="15">
        <v>0</v>
      </c>
      <c r="E83" s="15">
        <v>0</v>
      </c>
      <c r="F83" s="15">
        <v>1</v>
      </c>
      <c r="G83" s="15">
        <v>3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1</v>
      </c>
      <c r="P83" s="15">
        <v>0</v>
      </c>
      <c r="Q83" s="15">
        <v>1</v>
      </c>
      <c r="R83" s="15">
        <v>1</v>
      </c>
      <c r="S83" s="15">
        <v>3</v>
      </c>
      <c r="T83" s="15">
        <v>3</v>
      </c>
      <c r="U83" s="15">
        <v>3</v>
      </c>
      <c r="V83" s="42">
        <v>9</v>
      </c>
      <c r="W83" s="56">
        <v>82.25</v>
      </c>
      <c r="X83" s="58">
        <v>7.7684116077542439E-3</v>
      </c>
      <c r="Y83" s="60">
        <v>69</v>
      </c>
    </row>
    <row r="84" spans="1:25" x14ac:dyDescent="0.25">
      <c r="A84" s="40" t="s">
        <v>287</v>
      </c>
      <c r="B84" s="15">
        <v>0</v>
      </c>
      <c r="C84" s="15">
        <v>3</v>
      </c>
      <c r="D84" s="15">
        <v>0</v>
      </c>
      <c r="E84" s="15">
        <v>0</v>
      </c>
      <c r="F84" s="15">
        <v>1</v>
      </c>
      <c r="G84" s="15">
        <v>3</v>
      </c>
      <c r="H84" s="15">
        <v>0</v>
      </c>
      <c r="I84" s="15">
        <v>0</v>
      </c>
      <c r="J84" s="15">
        <v>0</v>
      </c>
      <c r="K84" s="15">
        <v>0</v>
      </c>
      <c r="L84" s="15">
        <v>1</v>
      </c>
      <c r="M84" s="15">
        <v>0</v>
      </c>
      <c r="N84" s="15">
        <v>3</v>
      </c>
      <c r="O84" s="15">
        <v>1</v>
      </c>
      <c r="P84" s="15">
        <v>0</v>
      </c>
      <c r="Q84" s="15">
        <v>3</v>
      </c>
      <c r="R84" s="15">
        <v>3</v>
      </c>
      <c r="S84" s="15">
        <v>3</v>
      </c>
      <c r="T84" s="15">
        <v>3</v>
      </c>
      <c r="U84" s="15">
        <v>3</v>
      </c>
      <c r="V84" s="42">
        <v>9</v>
      </c>
      <c r="W84" s="56">
        <v>120</v>
      </c>
      <c r="X84" s="58">
        <v>1.133385280158674E-2</v>
      </c>
      <c r="Y84" s="60">
        <v>49</v>
      </c>
    </row>
    <row r="85" spans="1:25" ht="15.75" thickBot="1" x14ac:dyDescent="0.3">
      <c r="A85" s="41" t="s">
        <v>288</v>
      </c>
      <c r="B85" s="43">
        <v>1</v>
      </c>
      <c r="C85" s="43">
        <v>3</v>
      </c>
      <c r="D85" s="43">
        <v>0</v>
      </c>
      <c r="E85" s="43">
        <v>0</v>
      </c>
      <c r="F85" s="43">
        <v>1</v>
      </c>
      <c r="G85" s="43">
        <v>3</v>
      </c>
      <c r="H85" s="43">
        <v>0</v>
      </c>
      <c r="I85" s="43">
        <v>0</v>
      </c>
      <c r="J85" s="43">
        <v>0</v>
      </c>
      <c r="K85" s="43">
        <v>0</v>
      </c>
      <c r="L85" s="43">
        <v>1</v>
      </c>
      <c r="M85" s="43">
        <v>0</v>
      </c>
      <c r="N85" s="43">
        <v>3</v>
      </c>
      <c r="O85" s="43">
        <v>1</v>
      </c>
      <c r="P85" s="43">
        <v>0</v>
      </c>
      <c r="Q85" s="43">
        <v>3</v>
      </c>
      <c r="R85" s="43">
        <v>3</v>
      </c>
      <c r="S85" s="43">
        <v>1</v>
      </c>
      <c r="T85" s="43">
        <v>3</v>
      </c>
      <c r="U85" s="43">
        <v>9</v>
      </c>
      <c r="V85" s="44">
        <v>9</v>
      </c>
      <c r="W85" s="57">
        <v>135</v>
      </c>
      <c r="X85" s="59">
        <v>1.2750584401785081E-2</v>
      </c>
      <c r="Y85" s="61">
        <v>35</v>
      </c>
    </row>
  </sheetData>
  <phoneticPr fontId="10" type="noConversion"/>
  <conditionalFormatting sqref="B2:V8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DDFB7-2C2D-43E2-9A65-1C0A7002E354}">
  <dimension ref="A1:CG86"/>
  <sheetViews>
    <sheetView topLeftCell="AN64" zoomScale="143" zoomScaleNormal="20" workbookViewId="0">
      <selection activeCell="BB76" sqref="BB76"/>
    </sheetView>
  </sheetViews>
  <sheetFormatPr defaultColWidth="5.7109375" defaultRowHeight="30" customHeight="1" x14ac:dyDescent="0.25"/>
  <cols>
    <col min="1" max="16384" width="5.7109375" style="15"/>
  </cols>
  <sheetData>
    <row r="1" spans="1:85" ht="30" customHeight="1" x14ac:dyDescent="0.25">
      <c r="A1" s="14"/>
      <c r="B1" s="12" t="s">
        <v>205</v>
      </c>
      <c r="C1" s="13" t="s">
        <v>206</v>
      </c>
      <c r="D1" s="12" t="s">
        <v>207</v>
      </c>
      <c r="E1" s="13" t="s">
        <v>208</v>
      </c>
      <c r="F1" s="12" t="s">
        <v>209</v>
      </c>
      <c r="G1" s="13" t="s">
        <v>210</v>
      </c>
      <c r="H1" s="12" t="s">
        <v>211</v>
      </c>
      <c r="I1" s="13" t="s">
        <v>212</v>
      </c>
      <c r="J1" s="12" t="s">
        <v>213</v>
      </c>
      <c r="K1" s="13" t="s">
        <v>214</v>
      </c>
      <c r="L1" s="12" t="s">
        <v>215</v>
      </c>
      <c r="M1" s="13" t="s">
        <v>216</v>
      </c>
      <c r="N1" s="12" t="s">
        <v>217</v>
      </c>
      <c r="O1" s="13" t="s">
        <v>218</v>
      </c>
      <c r="P1" s="12" t="s">
        <v>219</v>
      </c>
      <c r="Q1" s="13" t="s">
        <v>220</v>
      </c>
      <c r="R1" s="12" t="s">
        <v>221</v>
      </c>
      <c r="S1" s="13" t="s">
        <v>222</v>
      </c>
      <c r="T1" s="12" t="s">
        <v>223</v>
      </c>
      <c r="U1" s="13" t="s">
        <v>224</v>
      </c>
      <c r="V1" s="12" t="s">
        <v>225</v>
      </c>
      <c r="W1" s="13" t="s">
        <v>226</v>
      </c>
      <c r="X1" s="12" t="s">
        <v>227</v>
      </c>
      <c r="Y1" s="13" t="s">
        <v>228</v>
      </c>
      <c r="Z1" s="12" t="s">
        <v>229</v>
      </c>
      <c r="AA1" s="13" t="s">
        <v>230</v>
      </c>
      <c r="AB1" s="12" t="s">
        <v>231</v>
      </c>
      <c r="AC1" s="13" t="s">
        <v>232</v>
      </c>
      <c r="AD1" s="12" t="s">
        <v>233</v>
      </c>
      <c r="AE1" s="13" t="s">
        <v>234</v>
      </c>
      <c r="AF1" s="12" t="s">
        <v>235</v>
      </c>
      <c r="AG1" s="13" t="s">
        <v>236</v>
      </c>
      <c r="AH1" s="12" t="s">
        <v>237</v>
      </c>
      <c r="AI1" s="13" t="s">
        <v>238</v>
      </c>
      <c r="AJ1" s="12" t="s">
        <v>239</v>
      </c>
      <c r="AK1" s="13" t="s">
        <v>240</v>
      </c>
      <c r="AL1" s="12" t="s">
        <v>241</v>
      </c>
      <c r="AM1" s="13" t="s">
        <v>242</v>
      </c>
      <c r="AN1" s="12" t="s">
        <v>243</v>
      </c>
      <c r="AO1" s="13" t="s">
        <v>244</v>
      </c>
      <c r="AP1" s="12" t="s">
        <v>245</v>
      </c>
      <c r="AQ1" s="13" t="s">
        <v>246</v>
      </c>
      <c r="AR1" s="12" t="s">
        <v>247</v>
      </c>
      <c r="AS1" s="13" t="s">
        <v>248</v>
      </c>
      <c r="AT1" s="12" t="s">
        <v>249</v>
      </c>
      <c r="AU1" s="13" t="s">
        <v>250</v>
      </c>
      <c r="AV1" s="12" t="s">
        <v>251</v>
      </c>
      <c r="AW1" s="13" t="s">
        <v>252</v>
      </c>
      <c r="AX1" s="12" t="s">
        <v>253</v>
      </c>
      <c r="AY1" s="13" t="s">
        <v>254</v>
      </c>
      <c r="AZ1" s="12" t="s">
        <v>255</v>
      </c>
      <c r="BA1" s="13" t="s">
        <v>256</v>
      </c>
      <c r="BB1" s="12" t="s">
        <v>257</v>
      </c>
      <c r="BC1" s="13" t="s">
        <v>258</v>
      </c>
      <c r="BD1" s="12" t="s">
        <v>259</v>
      </c>
      <c r="BE1" s="13" t="s">
        <v>260</v>
      </c>
      <c r="BF1" s="12" t="s">
        <v>261</v>
      </c>
      <c r="BG1" s="13" t="s">
        <v>262</v>
      </c>
      <c r="BH1" s="12" t="s">
        <v>263</v>
      </c>
      <c r="BI1" s="13" t="s">
        <v>264</v>
      </c>
      <c r="BJ1" s="12" t="s">
        <v>265</v>
      </c>
      <c r="BK1" s="13" t="s">
        <v>266</v>
      </c>
      <c r="BL1" s="12" t="s">
        <v>267</v>
      </c>
      <c r="BM1" s="13" t="s">
        <v>268</v>
      </c>
      <c r="BN1" s="12" t="s">
        <v>269</v>
      </c>
      <c r="BO1" s="13" t="s">
        <v>270</v>
      </c>
      <c r="BP1" s="12" t="s">
        <v>271</v>
      </c>
      <c r="BQ1" s="13" t="s">
        <v>272</v>
      </c>
      <c r="BR1" s="12" t="s">
        <v>273</v>
      </c>
      <c r="BS1" s="13" t="s">
        <v>274</v>
      </c>
      <c r="BT1" s="12" t="s">
        <v>275</v>
      </c>
      <c r="BU1" s="13" t="s">
        <v>276</v>
      </c>
      <c r="BV1" s="12" t="s">
        <v>277</v>
      </c>
      <c r="BW1" s="13" t="s">
        <v>278</v>
      </c>
      <c r="BX1" s="12" t="s">
        <v>279</v>
      </c>
      <c r="BY1" s="13" t="s">
        <v>280</v>
      </c>
      <c r="BZ1" s="12" t="s">
        <v>281</v>
      </c>
      <c r="CA1" s="13" t="s">
        <v>282</v>
      </c>
      <c r="CB1" s="12" t="s">
        <v>283</v>
      </c>
      <c r="CC1" s="13" t="s">
        <v>284</v>
      </c>
      <c r="CD1" s="12" t="s">
        <v>285</v>
      </c>
      <c r="CE1" s="13" t="s">
        <v>286</v>
      </c>
      <c r="CF1" s="12" t="s">
        <v>287</v>
      </c>
      <c r="CG1" s="13" t="s">
        <v>288</v>
      </c>
    </row>
    <row r="2" spans="1:85" ht="30" customHeight="1" x14ac:dyDescent="0.25">
      <c r="A2" s="12" t="s">
        <v>205</v>
      </c>
      <c r="B2" s="20"/>
    </row>
    <row r="3" spans="1:85" ht="30" customHeight="1" x14ac:dyDescent="0.25">
      <c r="A3" s="13" t="s">
        <v>206</v>
      </c>
      <c r="B3" s="15" t="s">
        <v>289</v>
      </c>
      <c r="C3" s="20"/>
    </row>
    <row r="4" spans="1:85" ht="30" customHeight="1" x14ac:dyDescent="0.25">
      <c r="A4" s="12" t="s">
        <v>207</v>
      </c>
      <c r="B4" s="15" t="s">
        <v>290</v>
      </c>
      <c r="C4" s="15" t="s">
        <v>290</v>
      </c>
      <c r="D4" s="20"/>
    </row>
    <row r="5" spans="1:85" ht="30" customHeight="1" x14ac:dyDescent="0.25">
      <c r="A5" s="13" t="s">
        <v>208</v>
      </c>
      <c r="B5" s="15" t="s">
        <v>289</v>
      </c>
      <c r="C5" s="15" t="s">
        <v>289</v>
      </c>
      <c r="D5" s="15" t="s">
        <v>289</v>
      </c>
      <c r="E5" s="20"/>
    </row>
    <row r="6" spans="1:85" ht="30" customHeight="1" x14ac:dyDescent="0.25">
      <c r="A6" s="12" t="s">
        <v>209</v>
      </c>
      <c r="B6" s="15" t="s">
        <v>296</v>
      </c>
      <c r="C6" s="15" t="s">
        <v>290</v>
      </c>
      <c r="D6" s="15" t="s">
        <v>296</v>
      </c>
      <c r="E6" s="15" t="s">
        <v>289</v>
      </c>
      <c r="F6" s="20"/>
    </row>
    <row r="7" spans="1:85" ht="30" customHeight="1" x14ac:dyDescent="0.25">
      <c r="A7" s="13" t="s">
        <v>210</v>
      </c>
      <c r="B7" s="15" t="s">
        <v>296</v>
      </c>
      <c r="C7" s="15" t="s">
        <v>290</v>
      </c>
      <c r="D7" s="15" t="s">
        <v>296</v>
      </c>
      <c r="E7" s="15" t="s">
        <v>289</v>
      </c>
      <c r="F7" s="15" t="s">
        <v>289</v>
      </c>
      <c r="G7" s="20"/>
    </row>
    <row r="8" spans="1:85" ht="30" customHeight="1" x14ac:dyDescent="0.25">
      <c r="A8" s="12" t="s">
        <v>211</v>
      </c>
      <c r="B8" s="15" t="s">
        <v>296</v>
      </c>
      <c r="C8" s="15" t="s">
        <v>296</v>
      </c>
      <c r="D8" s="15" t="s">
        <v>296</v>
      </c>
      <c r="E8" s="15" t="s">
        <v>296</v>
      </c>
      <c r="F8" s="15" t="s">
        <v>289</v>
      </c>
      <c r="G8" s="15" t="s">
        <v>289</v>
      </c>
      <c r="H8" s="20"/>
    </row>
    <row r="9" spans="1:85" ht="30" customHeight="1" x14ac:dyDescent="0.25">
      <c r="A9" s="13" t="s">
        <v>212</v>
      </c>
      <c r="B9" s="15" t="s">
        <v>289</v>
      </c>
      <c r="C9" s="15" t="s">
        <v>289</v>
      </c>
      <c r="D9" s="15" t="s">
        <v>289</v>
      </c>
      <c r="E9" s="15" t="s">
        <v>290</v>
      </c>
      <c r="F9" s="15" t="s">
        <v>296</v>
      </c>
      <c r="G9" s="15" t="s">
        <v>296</v>
      </c>
      <c r="H9" s="15" t="s">
        <v>296</v>
      </c>
      <c r="I9" s="20"/>
    </row>
    <row r="10" spans="1:85" ht="30" customHeight="1" x14ac:dyDescent="0.25">
      <c r="A10" s="12" t="s">
        <v>213</v>
      </c>
      <c r="B10" s="15" t="s">
        <v>290</v>
      </c>
      <c r="C10" s="15" t="s">
        <v>296</v>
      </c>
      <c r="D10" s="15" t="s">
        <v>296</v>
      </c>
      <c r="E10" s="15" t="s">
        <v>296</v>
      </c>
      <c r="F10" s="15" t="s">
        <v>290</v>
      </c>
      <c r="G10" s="15" t="s">
        <v>290</v>
      </c>
      <c r="H10" s="15" t="s">
        <v>290</v>
      </c>
      <c r="I10" s="15" t="s">
        <v>296</v>
      </c>
      <c r="J10" s="20"/>
    </row>
    <row r="11" spans="1:85" ht="30" customHeight="1" x14ac:dyDescent="0.25">
      <c r="A11" s="13" t="s">
        <v>214</v>
      </c>
      <c r="B11" s="15" t="s">
        <v>289</v>
      </c>
      <c r="C11" s="15" t="s">
        <v>290</v>
      </c>
      <c r="D11" s="15" t="s">
        <v>296</v>
      </c>
      <c r="E11" s="15" t="s">
        <v>296</v>
      </c>
      <c r="F11" s="15" t="s">
        <v>290</v>
      </c>
      <c r="G11" s="15" t="s">
        <v>290</v>
      </c>
      <c r="H11" s="15" t="s">
        <v>290</v>
      </c>
      <c r="I11" s="15" t="s">
        <v>296</v>
      </c>
      <c r="J11" s="15" t="s">
        <v>290</v>
      </c>
      <c r="K11" s="20"/>
    </row>
    <row r="12" spans="1:85" ht="30" customHeight="1" x14ac:dyDescent="0.25">
      <c r="A12" s="12" t="s">
        <v>215</v>
      </c>
      <c r="B12" s="15" t="s">
        <v>289</v>
      </c>
      <c r="C12" s="15" t="s">
        <v>290</v>
      </c>
      <c r="D12" s="15" t="s">
        <v>289</v>
      </c>
      <c r="E12" s="15" t="s">
        <v>289</v>
      </c>
      <c r="F12" s="15" t="s">
        <v>289</v>
      </c>
      <c r="G12" s="15" t="s">
        <v>289</v>
      </c>
      <c r="H12" s="15" t="s">
        <v>289</v>
      </c>
      <c r="I12" s="15" t="s">
        <v>296</v>
      </c>
      <c r="J12" s="15" t="s">
        <v>290</v>
      </c>
      <c r="K12" s="15" t="s">
        <v>289</v>
      </c>
      <c r="L12" s="20"/>
    </row>
    <row r="13" spans="1:85" ht="30" customHeight="1" x14ac:dyDescent="0.25">
      <c r="A13" s="13" t="s">
        <v>216</v>
      </c>
      <c r="B13" s="15" t="s">
        <v>290</v>
      </c>
      <c r="C13" s="15" t="s">
        <v>290</v>
      </c>
      <c r="D13" s="15" t="s">
        <v>296</v>
      </c>
      <c r="E13" s="15" t="s">
        <v>289</v>
      </c>
      <c r="F13" s="15" t="s">
        <v>290</v>
      </c>
      <c r="G13" s="15" t="s">
        <v>290</v>
      </c>
      <c r="H13" s="15" t="s">
        <v>290</v>
      </c>
      <c r="I13" s="15" t="s">
        <v>296</v>
      </c>
      <c r="J13" s="15" t="s">
        <v>289</v>
      </c>
      <c r="K13" s="15" t="s">
        <v>289</v>
      </c>
      <c r="L13" s="15" t="s">
        <v>289</v>
      </c>
      <c r="M13" s="20"/>
    </row>
    <row r="14" spans="1:85" ht="30" customHeight="1" x14ac:dyDescent="0.25">
      <c r="A14" s="12" t="s">
        <v>217</v>
      </c>
      <c r="B14" s="15" t="s">
        <v>289</v>
      </c>
      <c r="C14" s="15" t="s">
        <v>289</v>
      </c>
      <c r="D14" s="15" t="s">
        <v>289</v>
      </c>
      <c r="E14" s="15" t="s">
        <v>289</v>
      </c>
      <c r="F14" s="15" t="s">
        <v>289</v>
      </c>
      <c r="G14" s="15" t="s">
        <v>289</v>
      </c>
      <c r="H14" s="15" t="s">
        <v>289</v>
      </c>
      <c r="I14" s="15" t="s">
        <v>289</v>
      </c>
      <c r="J14" s="15" t="s">
        <v>290</v>
      </c>
      <c r="K14" s="15" t="s">
        <v>289</v>
      </c>
      <c r="L14" s="15" t="s">
        <v>290</v>
      </c>
      <c r="M14" s="15" t="s">
        <v>296</v>
      </c>
      <c r="N14" s="20"/>
    </row>
    <row r="15" spans="1:85" ht="30" customHeight="1" x14ac:dyDescent="0.25">
      <c r="A15" s="13" t="s">
        <v>218</v>
      </c>
      <c r="B15" s="15" t="s">
        <v>290</v>
      </c>
      <c r="C15" s="15" t="s">
        <v>290</v>
      </c>
      <c r="D15" s="15" t="s">
        <v>296</v>
      </c>
      <c r="E15" s="15" t="s">
        <v>290</v>
      </c>
      <c r="F15" s="15" t="s">
        <v>290</v>
      </c>
      <c r="G15" s="15" t="s">
        <v>290</v>
      </c>
      <c r="H15" s="15" t="s">
        <v>290</v>
      </c>
      <c r="I15" s="15" t="s">
        <v>290</v>
      </c>
      <c r="J15" s="15" t="s">
        <v>296</v>
      </c>
      <c r="K15" s="15" t="s">
        <v>289</v>
      </c>
      <c r="L15" s="15" t="s">
        <v>289</v>
      </c>
      <c r="M15" s="15" t="s">
        <v>296</v>
      </c>
      <c r="N15" s="15" t="s">
        <v>290</v>
      </c>
      <c r="O15" s="20"/>
    </row>
    <row r="16" spans="1:85" ht="30" customHeight="1" x14ac:dyDescent="0.25">
      <c r="A16" s="12" t="s">
        <v>219</v>
      </c>
      <c r="B16" s="15" t="s">
        <v>289</v>
      </c>
      <c r="C16" s="15" t="s">
        <v>289</v>
      </c>
      <c r="D16" s="15" t="s">
        <v>289</v>
      </c>
      <c r="E16" s="15" t="s">
        <v>296</v>
      </c>
      <c r="F16" s="15" t="s">
        <v>289</v>
      </c>
      <c r="G16" s="15" t="s">
        <v>289</v>
      </c>
      <c r="H16" s="15" t="s">
        <v>289</v>
      </c>
      <c r="I16" s="15" t="s">
        <v>289</v>
      </c>
      <c r="J16" s="15" t="s">
        <v>290</v>
      </c>
      <c r="K16" s="15" t="s">
        <v>289</v>
      </c>
      <c r="L16" s="15" t="s">
        <v>290</v>
      </c>
      <c r="M16" s="15" t="s">
        <v>296</v>
      </c>
      <c r="N16" s="15" t="s">
        <v>296</v>
      </c>
      <c r="O16" s="15" t="s">
        <v>289</v>
      </c>
      <c r="P16" s="20"/>
    </row>
    <row r="17" spans="1:32" ht="30" customHeight="1" x14ac:dyDescent="0.25">
      <c r="A17" s="13" t="s">
        <v>220</v>
      </c>
      <c r="B17" s="15" t="s">
        <v>289</v>
      </c>
      <c r="C17" s="15" t="s">
        <v>290</v>
      </c>
      <c r="D17" s="15" t="s">
        <v>289</v>
      </c>
      <c r="E17" s="15" t="s">
        <v>290</v>
      </c>
      <c r="F17" s="15" t="s">
        <v>289</v>
      </c>
      <c r="G17" s="15" t="s">
        <v>289</v>
      </c>
      <c r="H17" s="15" t="s">
        <v>289</v>
      </c>
      <c r="I17" s="15" t="s">
        <v>290</v>
      </c>
      <c r="J17" s="15" t="s">
        <v>290</v>
      </c>
      <c r="K17" s="15" t="s">
        <v>289</v>
      </c>
      <c r="L17" s="15" t="s">
        <v>289</v>
      </c>
      <c r="M17" s="15" t="s">
        <v>296</v>
      </c>
      <c r="N17" s="15" t="s">
        <v>289</v>
      </c>
      <c r="O17" s="15" t="s">
        <v>290</v>
      </c>
      <c r="P17" s="15" t="s">
        <v>289</v>
      </c>
      <c r="Q17" s="20"/>
    </row>
    <row r="18" spans="1:32" ht="30" customHeight="1" x14ac:dyDescent="0.25">
      <c r="A18" s="12" t="s">
        <v>221</v>
      </c>
      <c r="B18" s="15" t="s">
        <v>296</v>
      </c>
      <c r="C18" s="15" t="s">
        <v>289</v>
      </c>
      <c r="D18" s="15" t="s">
        <v>289</v>
      </c>
      <c r="E18" s="15" t="s">
        <v>289</v>
      </c>
      <c r="F18" s="15" t="s">
        <v>289</v>
      </c>
      <c r="G18" s="15" t="s">
        <v>289</v>
      </c>
      <c r="H18" s="15" t="s">
        <v>289</v>
      </c>
      <c r="I18" s="15" t="s">
        <v>296</v>
      </c>
      <c r="J18" s="15" t="s">
        <v>290</v>
      </c>
      <c r="K18" s="15" t="s">
        <v>289</v>
      </c>
      <c r="L18" s="15" t="s">
        <v>290</v>
      </c>
      <c r="M18" s="15" t="s">
        <v>289</v>
      </c>
      <c r="N18" s="15" t="s">
        <v>289</v>
      </c>
      <c r="O18" s="15" t="s">
        <v>290</v>
      </c>
      <c r="P18" s="15" t="s">
        <v>289</v>
      </c>
      <c r="Q18" s="15" t="s">
        <v>290</v>
      </c>
      <c r="R18" s="20"/>
    </row>
    <row r="19" spans="1:32" ht="30" customHeight="1" x14ac:dyDescent="0.25">
      <c r="A19" s="13" t="s">
        <v>222</v>
      </c>
      <c r="B19" s="15" t="s">
        <v>296</v>
      </c>
      <c r="C19" s="15" t="s">
        <v>289</v>
      </c>
      <c r="D19" s="15" t="s">
        <v>289</v>
      </c>
      <c r="E19" s="15" t="s">
        <v>289</v>
      </c>
      <c r="F19" s="15" t="s">
        <v>289</v>
      </c>
      <c r="G19" s="15" t="s">
        <v>289</v>
      </c>
      <c r="H19" s="15" t="s">
        <v>289</v>
      </c>
      <c r="I19" s="15" t="s">
        <v>296</v>
      </c>
      <c r="J19" s="15" t="s">
        <v>290</v>
      </c>
      <c r="K19" s="15" t="s">
        <v>289</v>
      </c>
      <c r="L19" s="15" t="s">
        <v>290</v>
      </c>
      <c r="M19" s="15" t="s">
        <v>289</v>
      </c>
      <c r="N19" s="15" t="s">
        <v>289</v>
      </c>
      <c r="O19" s="15" t="s">
        <v>290</v>
      </c>
      <c r="P19" s="15" t="s">
        <v>289</v>
      </c>
      <c r="Q19" s="15" t="s">
        <v>290</v>
      </c>
      <c r="R19" s="15" t="s">
        <v>289</v>
      </c>
      <c r="S19" s="20"/>
    </row>
    <row r="20" spans="1:32" ht="30" customHeight="1" x14ac:dyDescent="0.25">
      <c r="A20" s="12" t="s">
        <v>223</v>
      </c>
      <c r="B20" s="15" t="s">
        <v>289</v>
      </c>
      <c r="C20" s="15" t="s">
        <v>289</v>
      </c>
      <c r="D20" s="15" t="s">
        <v>289</v>
      </c>
      <c r="E20" s="15" t="s">
        <v>289</v>
      </c>
      <c r="F20" s="15" t="s">
        <v>289</v>
      </c>
      <c r="G20" s="15" t="s">
        <v>289</v>
      </c>
      <c r="H20" s="15" t="s">
        <v>289</v>
      </c>
      <c r="I20" s="15" t="s">
        <v>296</v>
      </c>
      <c r="J20" s="15" t="s">
        <v>290</v>
      </c>
      <c r="K20" s="15" t="s">
        <v>289</v>
      </c>
      <c r="L20" s="15" t="s">
        <v>290</v>
      </c>
      <c r="M20" s="15" t="s">
        <v>289</v>
      </c>
      <c r="N20" s="15" t="s">
        <v>289</v>
      </c>
      <c r="O20" s="15" t="s">
        <v>290</v>
      </c>
      <c r="P20" s="15" t="s">
        <v>289</v>
      </c>
      <c r="Q20" s="15" t="s">
        <v>290</v>
      </c>
      <c r="R20" s="15" t="s">
        <v>289</v>
      </c>
      <c r="S20" s="15" t="s">
        <v>289</v>
      </c>
      <c r="T20" s="20"/>
    </row>
    <row r="21" spans="1:32" ht="30" customHeight="1" x14ac:dyDescent="0.25">
      <c r="A21" s="13" t="s">
        <v>224</v>
      </c>
      <c r="B21" s="15" t="s">
        <v>289</v>
      </c>
      <c r="C21" s="15" t="s">
        <v>289</v>
      </c>
      <c r="D21" s="15" t="s">
        <v>289</v>
      </c>
      <c r="E21" s="15" t="s">
        <v>289</v>
      </c>
      <c r="F21" s="15" t="s">
        <v>289</v>
      </c>
      <c r="G21" s="15" t="s">
        <v>289</v>
      </c>
      <c r="H21" s="15" t="s">
        <v>289</v>
      </c>
      <c r="I21" s="15" t="s">
        <v>289</v>
      </c>
      <c r="J21" s="15" t="s">
        <v>290</v>
      </c>
      <c r="K21" s="15" t="s">
        <v>289</v>
      </c>
      <c r="L21" s="15" t="s">
        <v>290</v>
      </c>
      <c r="M21" s="15" t="s">
        <v>289</v>
      </c>
      <c r="N21" s="15" t="s">
        <v>289</v>
      </c>
      <c r="O21" s="15" t="s">
        <v>290</v>
      </c>
      <c r="P21" s="15" t="s">
        <v>289</v>
      </c>
      <c r="Q21" s="15" t="s">
        <v>290</v>
      </c>
      <c r="R21" s="15" t="s">
        <v>289</v>
      </c>
      <c r="S21" s="15" t="s">
        <v>289</v>
      </c>
      <c r="T21" s="15" t="s">
        <v>289</v>
      </c>
      <c r="U21" s="20"/>
    </row>
    <row r="22" spans="1:32" ht="30" customHeight="1" x14ac:dyDescent="0.25">
      <c r="A22" s="12" t="s">
        <v>225</v>
      </c>
      <c r="B22" s="15" t="s">
        <v>289</v>
      </c>
      <c r="C22" s="15" t="s">
        <v>289</v>
      </c>
      <c r="D22" s="15" t="s">
        <v>289</v>
      </c>
      <c r="E22" s="15" t="s">
        <v>290</v>
      </c>
      <c r="F22" s="15" t="s">
        <v>296</v>
      </c>
      <c r="G22" s="15" t="s">
        <v>296</v>
      </c>
      <c r="H22" s="15" t="s">
        <v>296</v>
      </c>
      <c r="I22" s="15" t="s">
        <v>289</v>
      </c>
      <c r="J22" s="15" t="s">
        <v>296</v>
      </c>
      <c r="K22" s="15" t="s">
        <v>289</v>
      </c>
      <c r="L22" s="15" t="s">
        <v>290</v>
      </c>
      <c r="M22" s="15" t="s">
        <v>289</v>
      </c>
      <c r="N22" s="15" t="s">
        <v>289</v>
      </c>
      <c r="O22" s="15" t="s">
        <v>290</v>
      </c>
      <c r="P22" s="15" t="s">
        <v>289</v>
      </c>
      <c r="Q22" s="15" t="s">
        <v>290</v>
      </c>
      <c r="R22" s="15" t="s">
        <v>289</v>
      </c>
      <c r="S22" s="15" t="s">
        <v>289</v>
      </c>
      <c r="T22" s="15" t="s">
        <v>289</v>
      </c>
      <c r="U22" s="15" t="s">
        <v>289</v>
      </c>
      <c r="V22" s="20"/>
    </row>
    <row r="23" spans="1:32" ht="30" customHeight="1" x14ac:dyDescent="0.25">
      <c r="A23" s="13" t="s">
        <v>226</v>
      </c>
      <c r="B23" s="15" t="s">
        <v>289</v>
      </c>
      <c r="C23" s="15" t="s">
        <v>289</v>
      </c>
      <c r="D23" s="15" t="s">
        <v>289</v>
      </c>
      <c r="E23" s="15" t="s">
        <v>296</v>
      </c>
      <c r="F23" s="15" t="s">
        <v>296</v>
      </c>
      <c r="G23" s="15" t="s">
        <v>296</v>
      </c>
      <c r="H23" s="15" t="s">
        <v>296</v>
      </c>
      <c r="I23" s="15" t="s">
        <v>289</v>
      </c>
      <c r="J23" s="15" t="s">
        <v>296</v>
      </c>
      <c r="K23" s="15" t="s">
        <v>289</v>
      </c>
      <c r="L23" s="15" t="s">
        <v>290</v>
      </c>
      <c r="M23" s="15" t="s">
        <v>289</v>
      </c>
      <c r="N23" s="15" t="s">
        <v>289</v>
      </c>
      <c r="O23" s="15" t="s">
        <v>290</v>
      </c>
      <c r="P23" s="15" t="s">
        <v>289</v>
      </c>
      <c r="Q23" s="15" t="s">
        <v>290</v>
      </c>
      <c r="R23" s="15" t="s">
        <v>289</v>
      </c>
      <c r="S23" s="15" t="s">
        <v>289</v>
      </c>
      <c r="T23" s="15" t="s">
        <v>289</v>
      </c>
      <c r="U23" s="15" t="s">
        <v>289</v>
      </c>
      <c r="V23" s="15" t="s">
        <v>289</v>
      </c>
      <c r="W23" s="20"/>
    </row>
    <row r="24" spans="1:32" ht="30" customHeight="1" x14ac:dyDescent="0.25">
      <c r="A24" s="12" t="s">
        <v>227</v>
      </c>
      <c r="B24" s="15" t="s">
        <v>296</v>
      </c>
      <c r="C24" s="15" t="s">
        <v>290</v>
      </c>
      <c r="D24" s="15" t="s">
        <v>296</v>
      </c>
      <c r="E24" s="15" t="s">
        <v>296</v>
      </c>
      <c r="F24" s="15" t="s">
        <v>289</v>
      </c>
      <c r="G24" s="15" t="s">
        <v>289</v>
      </c>
      <c r="H24" s="15" t="s">
        <v>289</v>
      </c>
      <c r="I24" s="15" t="s">
        <v>289</v>
      </c>
      <c r="J24" s="15" t="s">
        <v>296</v>
      </c>
      <c r="K24" s="15" t="s">
        <v>296</v>
      </c>
      <c r="L24" s="15" t="s">
        <v>296</v>
      </c>
      <c r="M24" s="15" t="s">
        <v>296</v>
      </c>
      <c r="N24" s="15" t="s">
        <v>296</v>
      </c>
      <c r="O24" s="15" t="s">
        <v>296</v>
      </c>
      <c r="P24" s="15" t="s">
        <v>296</v>
      </c>
      <c r="Q24" s="15" t="s">
        <v>296</v>
      </c>
      <c r="R24" s="15" t="s">
        <v>289</v>
      </c>
      <c r="S24" s="15" t="s">
        <v>289</v>
      </c>
      <c r="T24" s="15" t="s">
        <v>289</v>
      </c>
      <c r="U24" s="15" t="s">
        <v>289</v>
      </c>
      <c r="V24" s="15" t="s">
        <v>289</v>
      </c>
      <c r="W24" s="15" t="s">
        <v>289</v>
      </c>
      <c r="X24" s="20"/>
    </row>
    <row r="25" spans="1:32" ht="30" customHeight="1" x14ac:dyDescent="0.25">
      <c r="A25" s="13" t="s">
        <v>228</v>
      </c>
      <c r="B25" s="15" t="s">
        <v>289</v>
      </c>
      <c r="C25" s="15" t="s">
        <v>289</v>
      </c>
      <c r="D25" s="15" t="s">
        <v>289</v>
      </c>
      <c r="E25" s="15" t="s">
        <v>289</v>
      </c>
      <c r="F25" s="15" t="s">
        <v>290</v>
      </c>
      <c r="G25" s="15" t="s">
        <v>290</v>
      </c>
      <c r="H25" s="15" t="s">
        <v>290</v>
      </c>
      <c r="I25" s="15" t="s">
        <v>290</v>
      </c>
      <c r="J25" s="15" t="s">
        <v>296</v>
      </c>
      <c r="K25" s="15" t="s">
        <v>289</v>
      </c>
      <c r="L25" s="15" t="s">
        <v>290</v>
      </c>
      <c r="M25" s="15" t="s">
        <v>296</v>
      </c>
      <c r="N25" s="15" t="s">
        <v>289</v>
      </c>
      <c r="O25" s="15" t="s">
        <v>290</v>
      </c>
      <c r="P25" s="15" t="s">
        <v>289</v>
      </c>
      <c r="Q25" s="15" t="s">
        <v>290</v>
      </c>
      <c r="R25" s="15" t="s">
        <v>289</v>
      </c>
      <c r="S25" s="15" t="s">
        <v>289</v>
      </c>
      <c r="T25" s="15" t="s">
        <v>289</v>
      </c>
      <c r="U25" s="15" t="s">
        <v>289</v>
      </c>
      <c r="V25" s="15" t="s">
        <v>289</v>
      </c>
      <c r="W25" s="15" t="s">
        <v>289</v>
      </c>
      <c r="X25" s="15" t="s">
        <v>289</v>
      </c>
      <c r="Y25" s="20"/>
    </row>
    <row r="26" spans="1:32" ht="30" customHeight="1" x14ac:dyDescent="0.25">
      <c r="A26" s="12" t="s">
        <v>229</v>
      </c>
      <c r="B26" s="15" t="s">
        <v>289</v>
      </c>
      <c r="C26" s="15" t="s">
        <v>289</v>
      </c>
      <c r="D26" s="15" t="s">
        <v>296</v>
      </c>
      <c r="E26" s="15" t="s">
        <v>289</v>
      </c>
      <c r="F26" s="15" t="s">
        <v>296</v>
      </c>
      <c r="G26" s="15" t="s">
        <v>296</v>
      </c>
      <c r="H26" s="15" t="s">
        <v>296</v>
      </c>
      <c r="I26" s="15" t="s">
        <v>296</v>
      </c>
      <c r="J26" s="15" t="s">
        <v>290</v>
      </c>
      <c r="K26" s="15" t="s">
        <v>289</v>
      </c>
      <c r="L26" s="15" t="s">
        <v>290</v>
      </c>
      <c r="M26" s="15" t="s">
        <v>289</v>
      </c>
      <c r="N26" s="15" t="s">
        <v>296</v>
      </c>
      <c r="O26" s="15" t="s">
        <v>290</v>
      </c>
      <c r="P26" s="15" t="s">
        <v>296</v>
      </c>
      <c r="Q26" s="15" t="s">
        <v>290</v>
      </c>
      <c r="R26" s="15" t="s">
        <v>289</v>
      </c>
      <c r="S26" s="15" t="s">
        <v>296</v>
      </c>
      <c r="T26" s="15" t="s">
        <v>289</v>
      </c>
      <c r="U26" s="15" t="s">
        <v>289</v>
      </c>
      <c r="V26" s="15" t="s">
        <v>296</v>
      </c>
      <c r="W26" s="15" t="s">
        <v>296</v>
      </c>
      <c r="X26" s="15" t="s">
        <v>296</v>
      </c>
      <c r="Y26" s="15" t="s">
        <v>289</v>
      </c>
      <c r="Z26" s="20"/>
    </row>
    <row r="27" spans="1:32" ht="30" customHeight="1" x14ac:dyDescent="0.25">
      <c r="A27" s="13" t="s">
        <v>230</v>
      </c>
      <c r="B27" s="15" t="s">
        <v>289</v>
      </c>
      <c r="C27" s="15" t="s">
        <v>296</v>
      </c>
      <c r="D27" s="15" t="s">
        <v>296</v>
      </c>
      <c r="E27" s="15" t="s">
        <v>289</v>
      </c>
      <c r="F27" s="15" t="s">
        <v>289</v>
      </c>
      <c r="G27" s="15" t="s">
        <v>289</v>
      </c>
      <c r="H27" s="15" t="s">
        <v>289</v>
      </c>
      <c r="I27" s="15" t="s">
        <v>289</v>
      </c>
      <c r="J27" s="15" t="s">
        <v>290</v>
      </c>
      <c r="K27" s="15" t="s">
        <v>289</v>
      </c>
      <c r="L27" s="15" t="s">
        <v>289</v>
      </c>
      <c r="M27" s="15" t="s">
        <v>296</v>
      </c>
      <c r="N27" s="15" t="s">
        <v>296</v>
      </c>
      <c r="O27" s="15" t="s">
        <v>290</v>
      </c>
      <c r="P27" s="15" t="s">
        <v>296</v>
      </c>
      <c r="Q27" s="15" t="s">
        <v>290</v>
      </c>
      <c r="R27" s="15" t="s">
        <v>289</v>
      </c>
      <c r="S27" s="15" t="s">
        <v>296</v>
      </c>
      <c r="T27" s="15" t="s">
        <v>289</v>
      </c>
      <c r="U27" s="15" t="s">
        <v>289</v>
      </c>
      <c r="V27" s="15" t="s">
        <v>296</v>
      </c>
      <c r="W27" s="15" t="s">
        <v>296</v>
      </c>
      <c r="X27" s="15" t="s">
        <v>296</v>
      </c>
      <c r="Y27" s="15" t="s">
        <v>289</v>
      </c>
      <c r="Z27" s="15" t="s">
        <v>289</v>
      </c>
      <c r="AA27" s="20"/>
    </row>
    <row r="28" spans="1:32" ht="30" customHeight="1" x14ac:dyDescent="0.25">
      <c r="A28" s="12" t="s">
        <v>231</v>
      </c>
      <c r="B28" s="15" t="s">
        <v>296</v>
      </c>
      <c r="C28" s="15" t="s">
        <v>296</v>
      </c>
      <c r="D28" s="15" t="s">
        <v>296</v>
      </c>
      <c r="E28" s="15" t="s">
        <v>296</v>
      </c>
      <c r="F28" s="15" t="s">
        <v>289</v>
      </c>
      <c r="G28" s="15" t="s">
        <v>289</v>
      </c>
      <c r="H28" s="15" t="s">
        <v>289</v>
      </c>
      <c r="I28" s="15" t="s">
        <v>296</v>
      </c>
      <c r="J28" s="15" t="s">
        <v>290</v>
      </c>
      <c r="K28" s="15" t="s">
        <v>289</v>
      </c>
      <c r="L28" s="15" t="s">
        <v>290</v>
      </c>
      <c r="M28" s="15" t="s">
        <v>296</v>
      </c>
      <c r="N28" s="15" t="s">
        <v>289</v>
      </c>
      <c r="O28" s="15" t="s">
        <v>290</v>
      </c>
      <c r="P28" s="15" t="s">
        <v>289</v>
      </c>
      <c r="Q28" s="15" t="s">
        <v>290</v>
      </c>
      <c r="R28" s="15" t="s">
        <v>289</v>
      </c>
      <c r="S28" s="15" t="s">
        <v>289</v>
      </c>
      <c r="T28" s="15" t="s">
        <v>289</v>
      </c>
      <c r="U28" s="15" t="s">
        <v>289</v>
      </c>
      <c r="V28" s="15" t="s">
        <v>289</v>
      </c>
      <c r="W28" s="15" t="s">
        <v>289</v>
      </c>
      <c r="X28" s="15" t="s">
        <v>289</v>
      </c>
      <c r="Y28" s="15" t="s">
        <v>289</v>
      </c>
      <c r="Z28" s="15" t="s">
        <v>289</v>
      </c>
      <c r="AA28" s="15" t="s">
        <v>289</v>
      </c>
      <c r="AB28" s="20"/>
    </row>
    <row r="29" spans="1:32" ht="30" customHeight="1" x14ac:dyDescent="0.25">
      <c r="A29" s="13" t="s">
        <v>232</v>
      </c>
      <c r="B29" s="15" t="s">
        <v>289</v>
      </c>
      <c r="C29" s="15" t="s">
        <v>290</v>
      </c>
      <c r="D29" s="15" t="s">
        <v>296</v>
      </c>
      <c r="E29" s="15" t="s">
        <v>296</v>
      </c>
      <c r="F29" s="15" t="s">
        <v>290</v>
      </c>
      <c r="G29" s="15" t="s">
        <v>290</v>
      </c>
      <c r="H29" s="15" t="s">
        <v>290</v>
      </c>
      <c r="I29" s="15" t="s">
        <v>296</v>
      </c>
      <c r="J29" s="15" t="s">
        <v>296</v>
      </c>
      <c r="K29" s="15" t="s">
        <v>289</v>
      </c>
      <c r="L29" s="15" t="s">
        <v>289</v>
      </c>
      <c r="M29" s="15" t="s">
        <v>290</v>
      </c>
      <c r="N29" s="15" t="s">
        <v>289</v>
      </c>
      <c r="O29" s="15" t="s">
        <v>290</v>
      </c>
      <c r="P29" s="15" t="s">
        <v>289</v>
      </c>
      <c r="Q29" s="15" t="s">
        <v>290</v>
      </c>
      <c r="R29" s="15" t="s">
        <v>289</v>
      </c>
      <c r="S29" s="15" t="s">
        <v>289</v>
      </c>
      <c r="T29" s="15" t="s">
        <v>289</v>
      </c>
      <c r="U29" s="15" t="s">
        <v>289</v>
      </c>
      <c r="V29" s="15" t="s">
        <v>289</v>
      </c>
      <c r="W29" s="15" t="s">
        <v>289</v>
      </c>
      <c r="X29" s="15" t="s">
        <v>296</v>
      </c>
      <c r="Y29" s="15" t="s">
        <v>289</v>
      </c>
      <c r="Z29" s="15" t="s">
        <v>289</v>
      </c>
      <c r="AA29" s="15" t="s">
        <v>296</v>
      </c>
      <c r="AB29" s="15" t="s">
        <v>289</v>
      </c>
      <c r="AC29" s="20"/>
    </row>
    <row r="30" spans="1:32" ht="30" customHeight="1" x14ac:dyDescent="0.25">
      <c r="A30" s="12" t="s">
        <v>233</v>
      </c>
      <c r="B30" s="15" t="s">
        <v>290</v>
      </c>
      <c r="C30" s="15" t="s">
        <v>296</v>
      </c>
      <c r="D30" s="15" t="s">
        <v>296</v>
      </c>
      <c r="E30" s="15" t="s">
        <v>296</v>
      </c>
      <c r="F30" s="15" t="s">
        <v>290</v>
      </c>
      <c r="G30" s="15" t="s">
        <v>290</v>
      </c>
      <c r="H30" s="15" t="s">
        <v>290</v>
      </c>
      <c r="I30" s="15" t="s">
        <v>296</v>
      </c>
      <c r="J30" s="15" t="s">
        <v>290</v>
      </c>
      <c r="K30" s="15" t="s">
        <v>289</v>
      </c>
      <c r="L30" s="15" t="s">
        <v>289</v>
      </c>
      <c r="M30" s="15" t="s">
        <v>290</v>
      </c>
      <c r="N30" s="15" t="s">
        <v>289</v>
      </c>
      <c r="O30" s="15" t="s">
        <v>290</v>
      </c>
      <c r="P30" s="15" t="s">
        <v>289</v>
      </c>
      <c r="Q30" s="15" t="s">
        <v>290</v>
      </c>
      <c r="R30" s="15" t="s">
        <v>289</v>
      </c>
      <c r="S30" s="15" t="s">
        <v>289</v>
      </c>
      <c r="T30" s="15" t="s">
        <v>289</v>
      </c>
      <c r="U30" s="15" t="s">
        <v>289</v>
      </c>
      <c r="V30" s="15" t="s">
        <v>289</v>
      </c>
      <c r="W30" s="15" t="s">
        <v>289</v>
      </c>
      <c r="X30" s="15" t="s">
        <v>296</v>
      </c>
      <c r="Y30" s="15" t="s">
        <v>296</v>
      </c>
      <c r="Z30" s="15" t="s">
        <v>296</v>
      </c>
      <c r="AA30" s="15" t="s">
        <v>296</v>
      </c>
      <c r="AB30" s="15" t="s">
        <v>289</v>
      </c>
      <c r="AC30" s="15" t="s">
        <v>289</v>
      </c>
      <c r="AD30" s="20"/>
    </row>
    <row r="31" spans="1:32" ht="30" customHeight="1" x14ac:dyDescent="0.25">
      <c r="A31" s="13" t="s">
        <v>234</v>
      </c>
      <c r="B31" s="15" t="s">
        <v>289</v>
      </c>
      <c r="C31" s="15" t="s">
        <v>289</v>
      </c>
      <c r="D31" s="15" t="s">
        <v>289</v>
      </c>
      <c r="E31" s="15" t="s">
        <v>289</v>
      </c>
      <c r="F31" s="15" t="s">
        <v>289</v>
      </c>
      <c r="G31" s="15" t="s">
        <v>289</v>
      </c>
      <c r="H31" s="15" t="s">
        <v>289</v>
      </c>
      <c r="I31" s="15" t="s">
        <v>296</v>
      </c>
      <c r="J31" s="15" t="s">
        <v>290</v>
      </c>
      <c r="K31" s="15" t="s">
        <v>289</v>
      </c>
      <c r="L31" s="15" t="s">
        <v>289</v>
      </c>
      <c r="M31" s="15" t="s">
        <v>290</v>
      </c>
      <c r="N31" s="15" t="s">
        <v>289</v>
      </c>
      <c r="O31" s="15" t="s">
        <v>290</v>
      </c>
      <c r="P31" s="15" t="s">
        <v>289</v>
      </c>
      <c r="Q31" s="15" t="s">
        <v>290</v>
      </c>
      <c r="R31" s="15" t="s">
        <v>289</v>
      </c>
      <c r="S31" s="15" t="s">
        <v>289</v>
      </c>
      <c r="T31" s="15" t="s">
        <v>289</v>
      </c>
      <c r="U31" s="15" t="s">
        <v>289</v>
      </c>
      <c r="V31" s="15" t="s">
        <v>289</v>
      </c>
      <c r="W31" s="15" t="s">
        <v>289</v>
      </c>
      <c r="X31" s="15" t="s">
        <v>296</v>
      </c>
      <c r="Y31" s="15" t="s">
        <v>289</v>
      </c>
      <c r="Z31" s="15" t="s">
        <v>289</v>
      </c>
      <c r="AA31" s="15" t="s">
        <v>289</v>
      </c>
      <c r="AB31" s="15" t="s">
        <v>289</v>
      </c>
      <c r="AC31" s="15" t="s">
        <v>289</v>
      </c>
      <c r="AD31" s="15" t="s">
        <v>289</v>
      </c>
      <c r="AE31" s="20"/>
    </row>
    <row r="32" spans="1:32" ht="30" customHeight="1" x14ac:dyDescent="0.25">
      <c r="A32" s="12" t="s">
        <v>235</v>
      </c>
      <c r="B32" s="15" t="s">
        <v>289</v>
      </c>
      <c r="C32" s="15" t="s">
        <v>296</v>
      </c>
      <c r="D32" s="15" t="s">
        <v>296</v>
      </c>
      <c r="E32" s="15" t="s">
        <v>289</v>
      </c>
      <c r="F32" s="15" t="s">
        <v>289</v>
      </c>
      <c r="G32" s="15" t="s">
        <v>289</v>
      </c>
      <c r="H32" s="15" t="s">
        <v>289</v>
      </c>
      <c r="I32" s="15" t="s">
        <v>296</v>
      </c>
      <c r="J32" s="15" t="s">
        <v>296</v>
      </c>
      <c r="K32" s="15" t="s">
        <v>296</v>
      </c>
      <c r="L32" s="15" t="s">
        <v>290</v>
      </c>
      <c r="M32" s="15" t="s">
        <v>296</v>
      </c>
      <c r="N32" s="15" t="s">
        <v>289</v>
      </c>
      <c r="O32" s="15" t="s">
        <v>290</v>
      </c>
      <c r="P32" s="15" t="s">
        <v>289</v>
      </c>
      <c r="Q32" s="15" t="s">
        <v>290</v>
      </c>
      <c r="R32" s="15" t="s">
        <v>289</v>
      </c>
      <c r="S32" s="15" t="s">
        <v>289</v>
      </c>
      <c r="T32" s="15" t="s">
        <v>289</v>
      </c>
      <c r="U32" s="15" t="s">
        <v>289</v>
      </c>
      <c r="V32" s="15" t="s">
        <v>289</v>
      </c>
      <c r="W32" s="15" t="s">
        <v>289</v>
      </c>
      <c r="X32" s="15" t="s">
        <v>289</v>
      </c>
      <c r="Y32" s="15" t="s">
        <v>296</v>
      </c>
      <c r="Z32" s="15" t="s">
        <v>296</v>
      </c>
      <c r="AA32" s="15" t="s">
        <v>289</v>
      </c>
      <c r="AB32" s="15" t="s">
        <v>289</v>
      </c>
      <c r="AC32" s="15" t="s">
        <v>289</v>
      </c>
      <c r="AD32" s="15" t="s">
        <v>289</v>
      </c>
      <c r="AE32" s="15" t="s">
        <v>289</v>
      </c>
      <c r="AF32" s="20"/>
    </row>
    <row r="33" spans="1:48" ht="30" customHeight="1" x14ac:dyDescent="0.25">
      <c r="A33" s="13" t="s">
        <v>236</v>
      </c>
      <c r="B33" s="15" t="s">
        <v>296</v>
      </c>
      <c r="C33" s="15" t="s">
        <v>296</v>
      </c>
      <c r="D33" s="15" t="s">
        <v>296</v>
      </c>
      <c r="E33" s="15" t="s">
        <v>296</v>
      </c>
      <c r="F33" s="15" t="s">
        <v>296</v>
      </c>
      <c r="G33" s="15" t="s">
        <v>296</v>
      </c>
      <c r="H33" s="15" t="s">
        <v>296</v>
      </c>
      <c r="I33" s="15" t="s">
        <v>296</v>
      </c>
      <c r="J33" s="15" t="s">
        <v>290</v>
      </c>
      <c r="K33" s="15" t="s">
        <v>289</v>
      </c>
      <c r="L33" s="15" t="s">
        <v>290</v>
      </c>
      <c r="M33" s="15" t="s">
        <v>289</v>
      </c>
      <c r="N33" s="15" t="s">
        <v>289</v>
      </c>
      <c r="O33" s="15" t="s">
        <v>290</v>
      </c>
      <c r="P33" s="15" t="s">
        <v>296</v>
      </c>
      <c r="Q33" s="15" t="s">
        <v>296</v>
      </c>
      <c r="R33" s="15" t="s">
        <v>296</v>
      </c>
      <c r="S33" s="15" t="s">
        <v>296</v>
      </c>
      <c r="T33" s="15" t="s">
        <v>296</v>
      </c>
      <c r="U33" s="15" t="s">
        <v>296</v>
      </c>
      <c r="V33" s="15" t="s">
        <v>296</v>
      </c>
      <c r="W33" s="15" t="s">
        <v>296</v>
      </c>
      <c r="X33" s="15" t="s">
        <v>296</v>
      </c>
      <c r="Y33" s="15" t="s">
        <v>296</v>
      </c>
      <c r="Z33" s="15" t="s">
        <v>296</v>
      </c>
      <c r="AA33" s="15" t="s">
        <v>296</v>
      </c>
      <c r="AB33" s="15" t="s">
        <v>289</v>
      </c>
      <c r="AC33" s="15" t="s">
        <v>289</v>
      </c>
      <c r="AD33" s="15" t="s">
        <v>289</v>
      </c>
      <c r="AE33" s="15" t="s">
        <v>289</v>
      </c>
      <c r="AF33" s="15" t="s">
        <v>289</v>
      </c>
      <c r="AG33" s="20"/>
    </row>
    <row r="34" spans="1:48" ht="30" customHeight="1" x14ac:dyDescent="0.25">
      <c r="A34" s="12" t="s">
        <v>237</v>
      </c>
      <c r="B34" s="15" t="s">
        <v>290</v>
      </c>
      <c r="C34" s="15" t="s">
        <v>296</v>
      </c>
      <c r="D34" s="15" t="s">
        <v>296</v>
      </c>
      <c r="E34" s="15" t="s">
        <v>296</v>
      </c>
      <c r="F34" s="15" t="s">
        <v>296</v>
      </c>
      <c r="G34" s="15" t="s">
        <v>296</v>
      </c>
      <c r="H34" s="15" t="s">
        <v>296</v>
      </c>
      <c r="I34" s="15" t="s">
        <v>296</v>
      </c>
      <c r="J34" s="15" t="s">
        <v>296</v>
      </c>
      <c r="K34" s="15" t="s">
        <v>289</v>
      </c>
      <c r="L34" s="15" t="s">
        <v>289</v>
      </c>
      <c r="M34" s="15" t="s">
        <v>296</v>
      </c>
      <c r="N34" s="15" t="s">
        <v>296</v>
      </c>
      <c r="O34" s="15" t="s">
        <v>296</v>
      </c>
      <c r="P34" s="15" t="s">
        <v>296</v>
      </c>
      <c r="Q34" s="15" t="s">
        <v>296</v>
      </c>
      <c r="R34" s="15" t="s">
        <v>296</v>
      </c>
      <c r="S34" s="15" t="s">
        <v>296</v>
      </c>
      <c r="T34" s="15" t="s">
        <v>296</v>
      </c>
      <c r="U34" s="15" t="s">
        <v>296</v>
      </c>
      <c r="V34" s="15" t="s">
        <v>296</v>
      </c>
      <c r="W34" s="15" t="s">
        <v>296</v>
      </c>
      <c r="X34" s="15" t="s">
        <v>296</v>
      </c>
      <c r="Y34" s="15" t="s">
        <v>296</v>
      </c>
      <c r="Z34" s="15" t="s">
        <v>290</v>
      </c>
      <c r="AA34" s="15" t="s">
        <v>296</v>
      </c>
      <c r="AB34" s="15" t="s">
        <v>289</v>
      </c>
      <c r="AC34" s="15" t="s">
        <v>289</v>
      </c>
      <c r="AD34" s="15" t="s">
        <v>289</v>
      </c>
      <c r="AE34" s="15" t="s">
        <v>289</v>
      </c>
      <c r="AF34" s="15" t="s">
        <v>289</v>
      </c>
      <c r="AG34" s="15" t="s">
        <v>289</v>
      </c>
      <c r="AH34" s="20"/>
    </row>
    <row r="35" spans="1:48" ht="30" customHeight="1" x14ac:dyDescent="0.25">
      <c r="A35" s="13" t="s">
        <v>238</v>
      </c>
      <c r="B35" s="15" t="s">
        <v>289</v>
      </c>
      <c r="C35" s="15" t="s">
        <v>296</v>
      </c>
      <c r="D35" s="15" t="s">
        <v>296</v>
      </c>
      <c r="E35" s="15" t="s">
        <v>296</v>
      </c>
      <c r="F35" s="15" t="s">
        <v>296</v>
      </c>
      <c r="G35" s="15" t="s">
        <v>296</v>
      </c>
      <c r="H35" s="15" t="s">
        <v>296</v>
      </c>
      <c r="I35" s="15" t="s">
        <v>296</v>
      </c>
      <c r="J35" s="15" t="s">
        <v>296</v>
      </c>
      <c r="K35" s="15" t="s">
        <v>296</v>
      </c>
      <c r="L35" s="15" t="s">
        <v>289</v>
      </c>
      <c r="M35" s="15" t="s">
        <v>296</v>
      </c>
      <c r="N35" s="15" t="s">
        <v>296</v>
      </c>
      <c r="O35" s="15" t="s">
        <v>296</v>
      </c>
      <c r="P35" s="15" t="s">
        <v>296</v>
      </c>
      <c r="Q35" s="15" t="s">
        <v>296</v>
      </c>
      <c r="R35" s="15" t="s">
        <v>296</v>
      </c>
      <c r="S35" s="15" t="s">
        <v>296</v>
      </c>
      <c r="T35" s="15" t="s">
        <v>296</v>
      </c>
      <c r="U35" s="15" t="s">
        <v>296</v>
      </c>
      <c r="V35" s="15" t="s">
        <v>296</v>
      </c>
      <c r="W35" s="15" t="s">
        <v>296</v>
      </c>
      <c r="X35" s="15" t="s">
        <v>296</v>
      </c>
      <c r="Y35" s="15" t="s">
        <v>289</v>
      </c>
      <c r="Z35" s="15" t="s">
        <v>289</v>
      </c>
      <c r="AA35" s="15" t="s">
        <v>289</v>
      </c>
      <c r="AB35" s="15" t="s">
        <v>289</v>
      </c>
      <c r="AC35" s="15" t="s">
        <v>289</v>
      </c>
      <c r="AD35" s="15" t="s">
        <v>289</v>
      </c>
      <c r="AE35" s="15" t="s">
        <v>289</v>
      </c>
      <c r="AF35" s="15" t="s">
        <v>289</v>
      </c>
      <c r="AG35" s="15" t="s">
        <v>289</v>
      </c>
      <c r="AH35" s="15" t="s">
        <v>289</v>
      </c>
      <c r="AI35" s="20"/>
    </row>
    <row r="36" spans="1:48" ht="30" customHeight="1" x14ac:dyDescent="0.25">
      <c r="A36" s="12" t="s">
        <v>239</v>
      </c>
      <c r="B36" s="15" t="s">
        <v>289</v>
      </c>
      <c r="C36" s="15" t="s">
        <v>290</v>
      </c>
      <c r="D36" s="15" t="s">
        <v>296</v>
      </c>
      <c r="E36" s="15" t="s">
        <v>296</v>
      </c>
      <c r="F36" s="15" t="s">
        <v>290</v>
      </c>
      <c r="G36" s="15" t="s">
        <v>290</v>
      </c>
      <c r="H36" s="15" t="s">
        <v>290</v>
      </c>
      <c r="I36" s="15" t="s">
        <v>296</v>
      </c>
      <c r="J36" s="15" t="s">
        <v>290</v>
      </c>
      <c r="K36" s="15" t="s">
        <v>289</v>
      </c>
      <c r="L36" s="15" t="s">
        <v>289</v>
      </c>
      <c r="M36" s="15" t="s">
        <v>290</v>
      </c>
      <c r="N36" s="15" t="s">
        <v>289</v>
      </c>
      <c r="O36" s="15" t="s">
        <v>290</v>
      </c>
      <c r="P36" s="15" t="s">
        <v>289</v>
      </c>
      <c r="Q36" s="15" t="s">
        <v>290</v>
      </c>
      <c r="R36" s="15" t="s">
        <v>289</v>
      </c>
      <c r="S36" s="15" t="s">
        <v>289</v>
      </c>
      <c r="T36" s="15" t="s">
        <v>289</v>
      </c>
      <c r="U36" s="15" t="s">
        <v>289</v>
      </c>
      <c r="V36" s="15" t="s">
        <v>289</v>
      </c>
      <c r="W36" s="15" t="s">
        <v>289</v>
      </c>
      <c r="X36" s="15" t="s">
        <v>296</v>
      </c>
      <c r="Y36" s="15" t="s">
        <v>289</v>
      </c>
      <c r="Z36" s="15" t="s">
        <v>289</v>
      </c>
      <c r="AA36" s="15" t="s">
        <v>296</v>
      </c>
      <c r="AB36" s="15" t="s">
        <v>289</v>
      </c>
      <c r="AC36" s="15" t="s">
        <v>289</v>
      </c>
      <c r="AD36" s="15" t="s">
        <v>289</v>
      </c>
      <c r="AE36" s="15" t="s">
        <v>289</v>
      </c>
      <c r="AF36" s="15" t="s">
        <v>296</v>
      </c>
      <c r="AG36" s="15" t="s">
        <v>289</v>
      </c>
      <c r="AH36" s="15" t="s">
        <v>289</v>
      </c>
      <c r="AI36" s="15" t="s">
        <v>289</v>
      </c>
      <c r="AJ36" s="20"/>
    </row>
    <row r="37" spans="1:48" ht="30" customHeight="1" x14ac:dyDescent="0.25">
      <c r="A37" s="13" t="s">
        <v>240</v>
      </c>
      <c r="B37" s="15" t="s">
        <v>289</v>
      </c>
      <c r="C37" s="15" t="s">
        <v>296</v>
      </c>
      <c r="D37" s="15" t="s">
        <v>296</v>
      </c>
      <c r="E37" s="15" t="s">
        <v>289</v>
      </c>
      <c r="F37" s="15" t="s">
        <v>289</v>
      </c>
      <c r="G37" s="15" t="s">
        <v>289</v>
      </c>
      <c r="H37" s="15" t="s">
        <v>289</v>
      </c>
      <c r="I37" s="15" t="s">
        <v>296</v>
      </c>
      <c r="J37" s="15" t="s">
        <v>296</v>
      </c>
      <c r="K37" s="15" t="s">
        <v>289</v>
      </c>
      <c r="L37" s="15" t="s">
        <v>290</v>
      </c>
      <c r="M37" s="15" t="s">
        <v>296</v>
      </c>
      <c r="N37" s="15" t="s">
        <v>296</v>
      </c>
      <c r="O37" s="15" t="s">
        <v>296</v>
      </c>
      <c r="P37" s="15" t="s">
        <v>296</v>
      </c>
      <c r="Q37" s="15" t="s">
        <v>296</v>
      </c>
      <c r="R37" s="15" t="s">
        <v>296</v>
      </c>
      <c r="S37" s="15" t="s">
        <v>296</v>
      </c>
      <c r="T37" s="15" t="s">
        <v>296</v>
      </c>
      <c r="U37" s="15" t="s">
        <v>296</v>
      </c>
      <c r="V37" s="15" t="s">
        <v>296</v>
      </c>
      <c r="W37" s="15" t="s">
        <v>296</v>
      </c>
      <c r="X37" s="15" t="s">
        <v>296</v>
      </c>
      <c r="Y37" s="15" t="s">
        <v>289</v>
      </c>
      <c r="Z37" s="15" t="s">
        <v>289</v>
      </c>
      <c r="AA37" s="15" t="s">
        <v>289</v>
      </c>
      <c r="AB37" s="15" t="s">
        <v>289</v>
      </c>
      <c r="AC37" s="15" t="s">
        <v>289</v>
      </c>
      <c r="AD37" s="15" t="s">
        <v>289</v>
      </c>
      <c r="AE37" s="15" t="s">
        <v>289</v>
      </c>
      <c r="AF37" s="15" t="s">
        <v>289</v>
      </c>
      <c r="AG37" s="15" t="s">
        <v>289</v>
      </c>
      <c r="AH37" s="15" t="s">
        <v>289</v>
      </c>
      <c r="AI37" s="15" t="s">
        <v>289</v>
      </c>
      <c r="AJ37" s="15" t="s">
        <v>289</v>
      </c>
      <c r="AK37" s="20"/>
    </row>
    <row r="38" spans="1:48" ht="30" customHeight="1" x14ac:dyDescent="0.25">
      <c r="A38" s="12" t="s">
        <v>241</v>
      </c>
      <c r="B38" s="15" t="s">
        <v>289</v>
      </c>
      <c r="C38" s="15" t="s">
        <v>289</v>
      </c>
      <c r="D38" s="15" t="s">
        <v>289</v>
      </c>
      <c r="E38" s="15" t="s">
        <v>296</v>
      </c>
      <c r="F38" s="15" t="s">
        <v>289</v>
      </c>
      <c r="G38" s="15" t="s">
        <v>289</v>
      </c>
      <c r="H38" s="15" t="s">
        <v>289</v>
      </c>
      <c r="I38" s="15" t="s">
        <v>289</v>
      </c>
      <c r="J38" s="15" t="s">
        <v>296</v>
      </c>
      <c r="K38" s="15" t="s">
        <v>289</v>
      </c>
      <c r="L38" s="15" t="s">
        <v>290</v>
      </c>
      <c r="M38" s="15" t="s">
        <v>296</v>
      </c>
      <c r="N38" s="15" t="s">
        <v>289</v>
      </c>
      <c r="O38" s="15" t="s">
        <v>290</v>
      </c>
      <c r="P38" s="15" t="s">
        <v>289</v>
      </c>
      <c r="Q38" s="15" t="s">
        <v>290</v>
      </c>
      <c r="R38" s="15" t="s">
        <v>289</v>
      </c>
      <c r="S38" s="15" t="s">
        <v>290</v>
      </c>
      <c r="T38" s="15" t="s">
        <v>290</v>
      </c>
      <c r="U38" s="15" t="s">
        <v>289</v>
      </c>
      <c r="V38" s="15" t="s">
        <v>289</v>
      </c>
      <c r="W38" s="15" t="s">
        <v>290</v>
      </c>
      <c r="X38" s="15" t="s">
        <v>289</v>
      </c>
      <c r="Y38" s="15" t="s">
        <v>289</v>
      </c>
      <c r="Z38" s="15" t="s">
        <v>296</v>
      </c>
      <c r="AA38" s="15" t="s">
        <v>289</v>
      </c>
      <c r="AB38" s="15" t="s">
        <v>289</v>
      </c>
      <c r="AC38" s="15" t="s">
        <v>296</v>
      </c>
      <c r="AD38" s="15" t="s">
        <v>289</v>
      </c>
      <c r="AE38" s="15" t="s">
        <v>289</v>
      </c>
      <c r="AF38" s="15" t="s">
        <v>296</v>
      </c>
      <c r="AG38" s="15" t="s">
        <v>296</v>
      </c>
      <c r="AH38" s="15" t="s">
        <v>296</v>
      </c>
      <c r="AI38" s="15" t="s">
        <v>289</v>
      </c>
      <c r="AJ38" s="15" t="s">
        <v>289</v>
      </c>
      <c r="AK38" s="15" t="s">
        <v>289</v>
      </c>
      <c r="AL38" s="20"/>
    </row>
    <row r="39" spans="1:48" ht="30" customHeight="1" x14ac:dyDescent="0.25">
      <c r="A39" s="13" t="s">
        <v>242</v>
      </c>
      <c r="B39" s="15" t="s">
        <v>289</v>
      </c>
      <c r="C39" s="15" t="s">
        <v>289</v>
      </c>
      <c r="D39" s="15" t="s">
        <v>289</v>
      </c>
      <c r="E39" s="15" t="s">
        <v>290</v>
      </c>
      <c r="F39" s="15" t="s">
        <v>289</v>
      </c>
      <c r="G39" s="15" t="s">
        <v>289</v>
      </c>
      <c r="H39" s="15" t="s">
        <v>289</v>
      </c>
      <c r="I39" s="15" t="s">
        <v>289</v>
      </c>
      <c r="J39" s="15" t="s">
        <v>290</v>
      </c>
      <c r="K39" s="15" t="s">
        <v>289</v>
      </c>
      <c r="L39" s="15" t="s">
        <v>290</v>
      </c>
      <c r="M39" s="15" t="s">
        <v>296</v>
      </c>
      <c r="N39" s="15" t="s">
        <v>289</v>
      </c>
      <c r="O39" s="15" t="s">
        <v>290</v>
      </c>
      <c r="P39" s="15" t="s">
        <v>289</v>
      </c>
      <c r="Q39" s="15" t="s">
        <v>290</v>
      </c>
      <c r="R39" s="15" t="s">
        <v>289</v>
      </c>
      <c r="S39" s="15" t="s">
        <v>290</v>
      </c>
      <c r="T39" s="15" t="s">
        <v>290</v>
      </c>
      <c r="U39" s="15" t="s">
        <v>289</v>
      </c>
      <c r="V39" s="15" t="s">
        <v>289</v>
      </c>
      <c r="W39" s="15" t="s">
        <v>289</v>
      </c>
      <c r="X39" s="15" t="s">
        <v>289</v>
      </c>
      <c r="Y39" s="15" t="s">
        <v>289</v>
      </c>
      <c r="Z39" s="15" t="s">
        <v>296</v>
      </c>
      <c r="AA39" s="15" t="s">
        <v>289</v>
      </c>
      <c r="AB39" s="15" t="s">
        <v>289</v>
      </c>
      <c r="AC39" s="15" t="s">
        <v>296</v>
      </c>
      <c r="AD39" s="15" t="s">
        <v>289</v>
      </c>
      <c r="AE39" s="15" t="s">
        <v>289</v>
      </c>
      <c r="AF39" s="15" t="s">
        <v>296</v>
      </c>
      <c r="AG39" s="15" t="s">
        <v>296</v>
      </c>
      <c r="AH39" s="15" t="s">
        <v>289</v>
      </c>
      <c r="AI39" s="15" t="s">
        <v>289</v>
      </c>
      <c r="AJ39" s="15" t="s">
        <v>289</v>
      </c>
      <c r="AK39" s="15" t="s">
        <v>289</v>
      </c>
      <c r="AL39" s="15" t="s">
        <v>289</v>
      </c>
      <c r="AM39" s="20"/>
    </row>
    <row r="40" spans="1:48" ht="30" customHeight="1" x14ac:dyDescent="0.25">
      <c r="A40" s="12" t="s">
        <v>243</v>
      </c>
      <c r="B40" s="15" t="s">
        <v>289</v>
      </c>
      <c r="C40" s="15" t="s">
        <v>290</v>
      </c>
      <c r="D40" s="15" t="s">
        <v>289</v>
      </c>
      <c r="E40" s="15" t="s">
        <v>296</v>
      </c>
      <c r="F40" s="15" t="s">
        <v>290</v>
      </c>
      <c r="G40" s="15" t="s">
        <v>290</v>
      </c>
      <c r="H40" s="15" t="s">
        <v>290</v>
      </c>
      <c r="I40" s="15" t="s">
        <v>290</v>
      </c>
      <c r="J40" s="15" t="s">
        <v>296</v>
      </c>
      <c r="K40" s="15" t="s">
        <v>289</v>
      </c>
      <c r="L40" s="15" t="s">
        <v>289</v>
      </c>
      <c r="M40" s="15" t="s">
        <v>290</v>
      </c>
      <c r="N40" s="15" t="s">
        <v>289</v>
      </c>
      <c r="O40" s="15" t="s">
        <v>290</v>
      </c>
      <c r="P40" s="15" t="s">
        <v>289</v>
      </c>
      <c r="Q40" s="15" t="s">
        <v>290</v>
      </c>
      <c r="R40" s="15" t="s">
        <v>289</v>
      </c>
      <c r="S40" s="15" t="s">
        <v>290</v>
      </c>
      <c r="T40" s="15" t="s">
        <v>290</v>
      </c>
      <c r="U40" s="15" t="s">
        <v>289</v>
      </c>
      <c r="V40" s="15" t="s">
        <v>289</v>
      </c>
      <c r="W40" s="15" t="s">
        <v>289</v>
      </c>
      <c r="X40" s="15" t="s">
        <v>289</v>
      </c>
      <c r="Y40" s="15" t="s">
        <v>289</v>
      </c>
      <c r="Z40" s="15" t="s">
        <v>296</v>
      </c>
      <c r="AA40" s="15" t="s">
        <v>289</v>
      </c>
      <c r="AB40" s="15" t="s">
        <v>289</v>
      </c>
      <c r="AC40" s="15" t="s">
        <v>296</v>
      </c>
      <c r="AD40" s="15" t="s">
        <v>289</v>
      </c>
      <c r="AE40" s="15" t="s">
        <v>289</v>
      </c>
      <c r="AF40" s="15" t="s">
        <v>296</v>
      </c>
      <c r="AG40" s="15" t="s">
        <v>296</v>
      </c>
      <c r="AH40" s="15" t="s">
        <v>289</v>
      </c>
      <c r="AI40" s="15" t="s">
        <v>289</v>
      </c>
      <c r="AJ40" s="15" t="s">
        <v>289</v>
      </c>
      <c r="AK40" s="15" t="s">
        <v>289</v>
      </c>
      <c r="AL40" s="15" t="s">
        <v>289</v>
      </c>
      <c r="AM40" s="15" t="s">
        <v>289</v>
      </c>
      <c r="AN40" s="20"/>
    </row>
    <row r="41" spans="1:48" ht="30" customHeight="1" x14ac:dyDescent="0.25">
      <c r="A41" s="13" t="s">
        <v>244</v>
      </c>
      <c r="B41" s="15" t="s">
        <v>296</v>
      </c>
      <c r="C41" s="15" t="s">
        <v>290</v>
      </c>
      <c r="D41" s="15" t="s">
        <v>289</v>
      </c>
      <c r="E41" s="15" t="s">
        <v>290</v>
      </c>
      <c r="F41" s="15" t="s">
        <v>290</v>
      </c>
      <c r="G41" s="15" t="s">
        <v>290</v>
      </c>
      <c r="H41" s="15" t="s">
        <v>290</v>
      </c>
      <c r="I41" s="15" t="s">
        <v>296</v>
      </c>
      <c r="J41" s="15" t="s">
        <v>290</v>
      </c>
      <c r="K41" s="15" t="s">
        <v>289</v>
      </c>
      <c r="L41" s="15" t="s">
        <v>296</v>
      </c>
      <c r="M41" s="15" t="s">
        <v>296</v>
      </c>
      <c r="N41" s="15" t="s">
        <v>290</v>
      </c>
      <c r="O41" s="15" t="s">
        <v>290</v>
      </c>
      <c r="P41" s="15" t="s">
        <v>290</v>
      </c>
      <c r="Q41" s="15" t="s">
        <v>290</v>
      </c>
      <c r="R41" s="15" t="s">
        <v>290</v>
      </c>
      <c r="S41" s="15" t="s">
        <v>290</v>
      </c>
      <c r="T41" s="15" t="s">
        <v>290</v>
      </c>
      <c r="U41" s="15" t="s">
        <v>289</v>
      </c>
      <c r="V41" s="15" t="s">
        <v>289</v>
      </c>
      <c r="W41" s="15" t="s">
        <v>289</v>
      </c>
      <c r="X41" s="15" t="s">
        <v>289</v>
      </c>
      <c r="Y41" s="15" t="s">
        <v>289</v>
      </c>
      <c r="Z41" s="15" t="s">
        <v>296</v>
      </c>
      <c r="AA41" s="15" t="s">
        <v>289</v>
      </c>
      <c r="AB41" s="15" t="s">
        <v>296</v>
      </c>
      <c r="AC41" s="15" t="s">
        <v>296</v>
      </c>
      <c r="AD41" s="15" t="s">
        <v>289</v>
      </c>
      <c r="AE41" s="15" t="s">
        <v>289</v>
      </c>
      <c r="AF41" s="15" t="s">
        <v>296</v>
      </c>
      <c r="AG41" s="15" t="s">
        <v>296</v>
      </c>
      <c r="AH41" s="15" t="s">
        <v>289</v>
      </c>
      <c r="AI41" s="15" t="s">
        <v>289</v>
      </c>
      <c r="AJ41" s="15" t="s">
        <v>289</v>
      </c>
      <c r="AK41" s="15" t="s">
        <v>289</v>
      </c>
      <c r="AL41" s="15" t="s">
        <v>290</v>
      </c>
      <c r="AM41" s="15" t="s">
        <v>289</v>
      </c>
      <c r="AN41" s="15" t="s">
        <v>289</v>
      </c>
      <c r="AO41" s="20"/>
    </row>
    <row r="42" spans="1:48" ht="30" customHeight="1" x14ac:dyDescent="0.25">
      <c r="A42" s="12" t="s">
        <v>245</v>
      </c>
      <c r="B42" s="15" t="s">
        <v>289</v>
      </c>
      <c r="C42" s="15" t="s">
        <v>289</v>
      </c>
      <c r="D42" s="15" t="s">
        <v>289</v>
      </c>
      <c r="E42" s="15" t="s">
        <v>290</v>
      </c>
      <c r="F42" s="15" t="s">
        <v>289</v>
      </c>
      <c r="G42" s="15" t="s">
        <v>289</v>
      </c>
      <c r="H42" s="15" t="s">
        <v>289</v>
      </c>
      <c r="I42" s="15" t="s">
        <v>289</v>
      </c>
      <c r="J42" s="15" t="s">
        <v>290</v>
      </c>
      <c r="K42" s="15" t="s">
        <v>289</v>
      </c>
      <c r="L42" s="15" t="s">
        <v>290</v>
      </c>
      <c r="M42" s="15" t="s">
        <v>289</v>
      </c>
      <c r="N42" s="15" t="s">
        <v>289</v>
      </c>
      <c r="O42" s="15" t="s">
        <v>290</v>
      </c>
      <c r="P42" s="15" t="s">
        <v>289</v>
      </c>
      <c r="Q42" s="15" t="s">
        <v>290</v>
      </c>
      <c r="R42" s="15" t="s">
        <v>289</v>
      </c>
      <c r="S42" s="15" t="s">
        <v>290</v>
      </c>
      <c r="T42" s="15" t="s">
        <v>290</v>
      </c>
      <c r="U42" s="15" t="s">
        <v>289</v>
      </c>
      <c r="V42" s="15" t="s">
        <v>289</v>
      </c>
      <c r="W42" s="15" t="s">
        <v>289</v>
      </c>
      <c r="X42" s="15" t="s">
        <v>289</v>
      </c>
      <c r="Y42" s="15" t="s">
        <v>289</v>
      </c>
      <c r="Z42" s="15" t="s">
        <v>296</v>
      </c>
      <c r="AA42" s="15" t="s">
        <v>289</v>
      </c>
      <c r="AB42" s="15" t="s">
        <v>289</v>
      </c>
      <c r="AC42" s="15" t="s">
        <v>296</v>
      </c>
      <c r="AD42" s="15" t="s">
        <v>289</v>
      </c>
      <c r="AE42" s="15" t="s">
        <v>289</v>
      </c>
      <c r="AF42" s="15" t="s">
        <v>296</v>
      </c>
      <c r="AG42" s="15" t="s">
        <v>296</v>
      </c>
      <c r="AH42" s="15" t="s">
        <v>296</v>
      </c>
      <c r="AI42" s="15" t="s">
        <v>289</v>
      </c>
      <c r="AJ42" s="15" t="s">
        <v>289</v>
      </c>
      <c r="AK42" s="15" t="s">
        <v>289</v>
      </c>
      <c r="AL42" s="15" t="s">
        <v>289</v>
      </c>
      <c r="AM42" s="15" t="s">
        <v>289</v>
      </c>
      <c r="AN42" s="15" t="s">
        <v>289</v>
      </c>
      <c r="AO42" s="15" t="s">
        <v>289</v>
      </c>
      <c r="AP42" s="20"/>
    </row>
    <row r="43" spans="1:48" ht="30" customHeight="1" x14ac:dyDescent="0.25">
      <c r="A43" s="13" t="s">
        <v>246</v>
      </c>
      <c r="B43" s="15" t="s">
        <v>290</v>
      </c>
      <c r="C43" s="15" t="s">
        <v>296</v>
      </c>
      <c r="D43" s="15" t="s">
        <v>289</v>
      </c>
      <c r="E43" s="15" t="s">
        <v>290</v>
      </c>
      <c r="F43" s="15" t="s">
        <v>290</v>
      </c>
      <c r="G43" s="15" t="s">
        <v>290</v>
      </c>
      <c r="H43" s="15" t="s">
        <v>290</v>
      </c>
      <c r="I43" s="15" t="s">
        <v>290</v>
      </c>
      <c r="J43" s="15" t="s">
        <v>290</v>
      </c>
      <c r="K43" s="15" t="s">
        <v>289</v>
      </c>
      <c r="L43" s="15" t="s">
        <v>289</v>
      </c>
      <c r="M43" s="15" t="s">
        <v>290</v>
      </c>
      <c r="N43" s="15" t="s">
        <v>290</v>
      </c>
      <c r="O43" s="15" t="s">
        <v>290</v>
      </c>
      <c r="P43" s="15" t="s">
        <v>290</v>
      </c>
      <c r="Q43" s="15" t="s">
        <v>290</v>
      </c>
      <c r="R43" s="15" t="s">
        <v>290</v>
      </c>
      <c r="S43" s="15" t="s">
        <v>290</v>
      </c>
      <c r="T43" s="15" t="s">
        <v>290</v>
      </c>
      <c r="U43" s="15" t="s">
        <v>289</v>
      </c>
      <c r="V43" s="15" t="s">
        <v>289</v>
      </c>
      <c r="W43" s="15" t="s">
        <v>289</v>
      </c>
      <c r="X43" s="15" t="s">
        <v>289</v>
      </c>
      <c r="Y43" s="15" t="s">
        <v>289</v>
      </c>
      <c r="Z43" s="15" t="s">
        <v>296</v>
      </c>
      <c r="AA43" s="15" t="s">
        <v>289</v>
      </c>
      <c r="AB43" s="15" t="s">
        <v>289</v>
      </c>
      <c r="AC43" s="15" t="s">
        <v>296</v>
      </c>
      <c r="AD43" s="15" t="s">
        <v>289</v>
      </c>
      <c r="AE43" s="15" t="s">
        <v>289</v>
      </c>
      <c r="AF43" s="15" t="s">
        <v>296</v>
      </c>
      <c r="AG43" s="15" t="s">
        <v>296</v>
      </c>
      <c r="AH43" s="15" t="s">
        <v>296</v>
      </c>
      <c r="AI43" s="15" t="s">
        <v>289</v>
      </c>
      <c r="AJ43" s="15" t="s">
        <v>289</v>
      </c>
      <c r="AK43" s="15" t="s">
        <v>289</v>
      </c>
      <c r="AL43" s="15" t="s">
        <v>289</v>
      </c>
      <c r="AM43" s="15" t="s">
        <v>289</v>
      </c>
      <c r="AN43" s="15" t="s">
        <v>289</v>
      </c>
      <c r="AO43" s="15" t="s">
        <v>289</v>
      </c>
      <c r="AP43" s="15" t="s">
        <v>289</v>
      </c>
      <c r="AQ43" s="20"/>
    </row>
    <row r="44" spans="1:48" ht="30" customHeight="1" x14ac:dyDescent="0.25">
      <c r="A44" s="12" t="s">
        <v>247</v>
      </c>
      <c r="B44" s="15" t="s">
        <v>290</v>
      </c>
      <c r="C44" s="15" t="s">
        <v>290</v>
      </c>
      <c r="D44" s="15" t="s">
        <v>289</v>
      </c>
      <c r="E44" s="15" t="s">
        <v>290</v>
      </c>
      <c r="F44" s="15" t="s">
        <v>290</v>
      </c>
      <c r="G44" s="15" t="s">
        <v>290</v>
      </c>
      <c r="H44" s="15" t="s">
        <v>290</v>
      </c>
      <c r="I44" s="15" t="s">
        <v>290</v>
      </c>
      <c r="J44" s="15" t="s">
        <v>290</v>
      </c>
      <c r="K44" s="15" t="s">
        <v>289</v>
      </c>
      <c r="L44" s="15" t="s">
        <v>289</v>
      </c>
      <c r="M44" s="15" t="s">
        <v>290</v>
      </c>
      <c r="N44" s="15" t="s">
        <v>290</v>
      </c>
      <c r="O44" s="15" t="s">
        <v>290</v>
      </c>
      <c r="P44" s="15" t="s">
        <v>290</v>
      </c>
      <c r="Q44" s="15" t="s">
        <v>290</v>
      </c>
      <c r="R44" s="15" t="s">
        <v>290</v>
      </c>
      <c r="S44" s="15" t="s">
        <v>290</v>
      </c>
      <c r="T44" s="15" t="s">
        <v>290</v>
      </c>
      <c r="U44" s="15" t="s">
        <v>289</v>
      </c>
      <c r="V44" s="15" t="s">
        <v>289</v>
      </c>
      <c r="W44" s="15" t="s">
        <v>289</v>
      </c>
      <c r="X44" s="15" t="s">
        <v>289</v>
      </c>
      <c r="Y44" s="15" t="s">
        <v>289</v>
      </c>
      <c r="Z44" s="15" t="s">
        <v>296</v>
      </c>
      <c r="AA44" s="15" t="s">
        <v>289</v>
      </c>
      <c r="AB44" s="15" t="s">
        <v>289</v>
      </c>
      <c r="AC44" s="15" t="s">
        <v>296</v>
      </c>
      <c r="AD44" s="15" t="s">
        <v>289</v>
      </c>
      <c r="AE44" s="15" t="s">
        <v>289</v>
      </c>
      <c r="AF44" s="15" t="s">
        <v>296</v>
      </c>
      <c r="AG44" s="15" t="s">
        <v>296</v>
      </c>
      <c r="AH44" s="15" t="s">
        <v>296</v>
      </c>
      <c r="AI44" s="15" t="s">
        <v>289</v>
      </c>
      <c r="AJ44" s="15" t="s">
        <v>289</v>
      </c>
      <c r="AK44" s="15" t="s">
        <v>289</v>
      </c>
      <c r="AL44" s="15" t="s">
        <v>289</v>
      </c>
      <c r="AM44" s="15" t="s">
        <v>289</v>
      </c>
      <c r="AN44" s="15" t="s">
        <v>289</v>
      </c>
      <c r="AO44" s="15" t="s">
        <v>289</v>
      </c>
      <c r="AP44" s="15" t="s">
        <v>290</v>
      </c>
      <c r="AQ44" s="15" t="s">
        <v>289</v>
      </c>
      <c r="AR44" s="20"/>
    </row>
    <row r="45" spans="1:48" ht="30" customHeight="1" x14ac:dyDescent="0.25">
      <c r="A45" s="13" t="s">
        <v>248</v>
      </c>
      <c r="B45" s="15" t="s">
        <v>289</v>
      </c>
      <c r="C45" s="15" t="s">
        <v>296</v>
      </c>
      <c r="D45" s="15" t="s">
        <v>296</v>
      </c>
      <c r="E45" s="15" t="s">
        <v>296</v>
      </c>
      <c r="F45" s="15" t="s">
        <v>296</v>
      </c>
      <c r="G45" s="15" t="s">
        <v>296</v>
      </c>
      <c r="H45" s="15" t="s">
        <v>296</v>
      </c>
      <c r="I45" s="15" t="s">
        <v>289</v>
      </c>
      <c r="J45" s="15" t="s">
        <v>296</v>
      </c>
      <c r="K45" s="15" t="s">
        <v>296</v>
      </c>
      <c r="L45" s="15" t="s">
        <v>296</v>
      </c>
      <c r="M45" s="15" t="s">
        <v>296</v>
      </c>
      <c r="N45" s="15" t="s">
        <v>296</v>
      </c>
      <c r="O45" s="15" t="s">
        <v>296</v>
      </c>
      <c r="P45" s="15" t="s">
        <v>296</v>
      </c>
      <c r="Q45" s="15" t="s">
        <v>296</v>
      </c>
      <c r="R45" s="15" t="s">
        <v>296</v>
      </c>
      <c r="S45" s="15" t="s">
        <v>296</v>
      </c>
      <c r="T45" s="15" t="s">
        <v>296</v>
      </c>
      <c r="U45" s="15" t="s">
        <v>296</v>
      </c>
      <c r="V45" s="15" t="s">
        <v>296</v>
      </c>
      <c r="W45" s="15" t="s">
        <v>296</v>
      </c>
      <c r="X45" s="15" t="s">
        <v>296</v>
      </c>
      <c r="Y45" s="15" t="s">
        <v>289</v>
      </c>
      <c r="Z45" s="15" t="s">
        <v>296</v>
      </c>
      <c r="AA45" s="15" t="s">
        <v>296</v>
      </c>
      <c r="AB45" s="15" t="s">
        <v>296</v>
      </c>
      <c r="AC45" s="15" t="s">
        <v>296</v>
      </c>
      <c r="AD45" s="15" t="s">
        <v>289</v>
      </c>
      <c r="AE45" s="15" t="s">
        <v>289</v>
      </c>
      <c r="AF45" s="15" t="s">
        <v>296</v>
      </c>
      <c r="AG45" s="15" t="s">
        <v>296</v>
      </c>
      <c r="AH45" s="15" t="s">
        <v>296</v>
      </c>
      <c r="AI45" s="15" t="s">
        <v>289</v>
      </c>
      <c r="AJ45" s="15" t="s">
        <v>289</v>
      </c>
      <c r="AK45" s="15" t="s">
        <v>289</v>
      </c>
      <c r="AL45" s="15" t="s">
        <v>289</v>
      </c>
      <c r="AM45" s="15" t="s">
        <v>289</v>
      </c>
      <c r="AN45" s="15" t="s">
        <v>289</v>
      </c>
      <c r="AO45" s="15" t="s">
        <v>289</v>
      </c>
      <c r="AP45" s="15" t="s">
        <v>289</v>
      </c>
      <c r="AQ45" s="15" t="s">
        <v>289</v>
      </c>
      <c r="AR45" s="15" t="s">
        <v>290</v>
      </c>
      <c r="AS45" s="20"/>
    </row>
    <row r="46" spans="1:48" ht="30" customHeight="1" x14ac:dyDescent="0.25">
      <c r="A46" s="12" t="s">
        <v>249</v>
      </c>
      <c r="B46" s="15" t="s">
        <v>289</v>
      </c>
      <c r="C46" s="15" t="s">
        <v>296</v>
      </c>
      <c r="D46" s="15" t="s">
        <v>296</v>
      </c>
      <c r="E46" s="15" t="s">
        <v>296</v>
      </c>
      <c r="F46" s="15" t="s">
        <v>296</v>
      </c>
      <c r="G46" s="15" t="s">
        <v>296</v>
      </c>
      <c r="H46" s="15" t="s">
        <v>296</v>
      </c>
      <c r="I46" s="15" t="s">
        <v>296</v>
      </c>
      <c r="J46" s="15" t="s">
        <v>296</v>
      </c>
      <c r="K46" s="15" t="s">
        <v>289</v>
      </c>
      <c r="L46" s="15" t="s">
        <v>289</v>
      </c>
      <c r="M46" s="15" t="s">
        <v>296</v>
      </c>
      <c r="N46" s="15" t="s">
        <v>296</v>
      </c>
      <c r="O46" s="15" t="s">
        <v>296</v>
      </c>
      <c r="P46" s="15" t="s">
        <v>296</v>
      </c>
      <c r="Q46" s="15" t="s">
        <v>296</v>
      </c>
      <c r="R46" s="15" t="s">
        <v>296</v>
      </c>
      <c r="S46" s="15" t="s">
        <v>296</v>
      </c>
      <c r="T46" s="15" t="s">
        <v>296</v>
      </c>
      <c r="U46" s="15" t="s">
        <v>296</v>
      </c>
      <c r="V46" s="15" t="s">
        <v>296</v>
      </c>
      <c r="W46" s="15" t="s">
        <v>296</v>
      </c>
      <c r="X46" s="15" t="s">
        <v>296</v>
      </c>
      <c r="Y46" s="15" t="s">
        <v>289</v>
      </c>
      <c r="Z46" s="15" t="s">
        <v>289</v>
      </c>
      <c r="AA46" s="15" t="s">
        <v>289</v>
      </c>
      <c r="AB46" s="15" t="s">
        <v>289</v>
      </c>
      <c r="AC46" s="15" t="s">
        <v>296</v>
      </c>
      <c r="AD46" s="15" t="s">
        <v>289</v>
      </c>
      <c r="AE46" s="15" t="s">
        <v>289</v>
      </c>
      <c r="AF46" s="15" t="s">
        <v>289</v>
      </c>
      <c r="AG46" s="15" t="s">
        <v>289</v>
      </c>
      <c r="AH46" s="15" t="s">
        <v>289</v>
      </c>
      <c r="AI46" s="15" t="s">
        <v>289</v>
      </c>
      <c r="AJ46" s="15" t="s">
        <v>289</v>
      </c>
      <c r="AK46" s="15" t="s">
        <v>289</v>
      </c>
      <c r="AL46" s="15" t="s">
        <v>289</v>
      </c>
      <c r="AM46" s="15" t="s">
        <v>289</v>
      </c>
      <c r="AN46" s="15" t="s">
        <v>289</v>
      </c>
      <c r="AO46" s="15" t="s">
        <v>289</v>
      </c>
      <c r="AP46" s="15" t="s">
        <v>296</v>
      </c>
      <c r="AQ46" s="15" t="s">
        <v>296</v>
      </c>
      <c r="AR46" s="15" t="s">
        <v>289</v>
      </c>
      <c r="AS46" s="15" t="s">
        <v>289</v>
      </c>
      <c r="AT46" s="20"/>
    </row>
    <row r="47" spans="1:48" ht="30" customHeight="1" x14ac:dyDescent="0.25">
      <c r="A47" s="13" t="s">
        <v>250</v>
      </c>
      <c r="B47" s="15" t="s">
        <v>289</v>
      </c>
      <c r="C47" s="15" t="s">
        <v>296</v>
      </c>
      <c r="D47" s="15" t="s">
        <v>296</v>
      </c>
      <c r="E47" s="15" t="s">
        <v>289</v>
      </c>
      <c r="F47" s="15" t="s">
        <v>296</v>
      </c>
      <c r="G47" s="15" t="s">
        <v>296</v>
      </c>
      <c r="H47" s="15" t="s">
        <v>296</v>
      </c>
      <c r="I47" s="15" t="s">
        <v>289</v>
      </c>
      <c r="J47" s="15" t="s">
        <v>296</v>
      </c>
      <c r="K47" s="15" t="s">
        <v>296</v>
      </c>
      <c r="L47" s="15" t="s">
        <v>290</v>
      </c>
      <c r="M47" s="15" t="s">
        <v>296</v>
      </c>
      <c r="N47" s="15" t="s">
        <v>296</v>
      </c>
      <c r="O47" s="15" t="s">
        <v>296</v>
      </c>
      <c r="P47" s="15" t="s">
        <v>296</v>
      </c>
      <c r="Q47" s="15" t="s">
        <v>296</v>
      </c>
      <c r="R47" s="15" t="s">
        <v>296</v>
      </c>
      <c r="S47" s="15" t="s">
        <v>296</v>
      </c>
      <c r="T47" s="15" t="s">
        <v>296</v>
      </c>
      <c r="U47" s="15" t="s">
        <v>296</v>
      </c>
      <c r="V47" s="15" t="s">
        <v>296</v>
      </c>
      <c r="W47" s="15" t="s">
        <v>296</v>
      </c>
      <c r="X47" s="15" t="s">
        <v>296</v>
      </c>
      <c r="Y47" s="15" t="s">
        <v>289</v>
      </c>
      <c r="Z47" s="15" t="s">
        <v>296</v>
      </c>
      <c r="AA47" s="15" t="s">
        <v>296</v>
      </c>
      <c r="AB47" s="15" t="s">
        <v>289</v>
      </c>
      <c r="AC47" s="15" t="s">
        <v>296</v>
      </c>
      <c r="AD47" s="15" t="s">
        <v>289</v>
      </c>
      <c r="AE47" s="15" t="s">
        <v>296</v>
      </c>
      <c r="AF47" s="15" t="s">
        <v>296</v>
      </c>
      <c r="AG47" s="15" t="s">
        <v>289</v>
      </c>
      <c r="AH47" s="15" t="s">
        <v>296</v>
      </c>
      <c r="AI47" s="15" t="s">
        <v>289</v>
      </c>
      <c r="AJ47" s="15" t="s">
        <v>289</v>
      </c>
      <c r="AK47" s="15" t="s">
        <v>289</v>
      </c>
      <c r="AL47" s="15" t="s">
        <v>289</v>
      </c>
      <c r="AM47" s="15" t="s">
        <v>289</v>
      </c>
      <c r="AN47" s="15" t="s">
        <v>289</v>
      </c>
      <c r="AO47" s="15" t="s">
        <v>289</v>
      </c>
      <c r="AP47" s="15" t="s">
        <v>296</v>
      </c>
      <c r="AQ47" s="15" t="s">
        <v>296</v>
      </c>
      <c r="AR47" s="15" t="s">
        <v>289</v>
      </c>
      <c r="AS47" s="15" t="s">
        <v>289</v>
      </c>
      <c r="AT47" s="15" t="s">
        <v>289</v>
      </c>
      <c r="AU47" s="20"/>
    </row>
    <row r="48" spans="1:48" ht="30" customHeight="1" x14ac:dyDescent="0.25">
      <c r="A48" s="12" t="s">
        <v>251</v>
      </c>
      <c r="B48" s="15" t="s">
        <v>289</v>
      </c>
      <c r="C48" s="15" t="s">
        <v>296</v>
      </c>
      <c r="D48" s="15" t="s">
        <v>296</v>
      </c>
      <c r="E48" s="15" t="s">
        <v>289</v>
      </c>
      <c r="F48" s="15" t="s">
        <v>296</v>
      </c>
      <c r="G48" s="15" t="s">
        <v>296</v>
      </c>
      <c r="H48" s="15" t="s">
        <v>296</v>
      </c>
      <c r="I48" s="15" t="s">
        <v>289</v>
      </c>
      <c r="J48" s="15" t="s">
        <v>290</v>
      </c>
      <c r="K48" s="15" t="s">
        <v>289</v>
      </c>
      <c r="L48" s="15" t="s">
        <v>290</v>
      </c>
      <c r="M48" s="15" t="s">
        <v>296</v>
      </c>
      <c r="N48" s="15" t="s">
        <v>296</v>
      </c>
      <c r="O48" s="15" t="s">
        <v>296</v>
      </c>
      <c r="P48" s="15" t="s">
        <v>296</v>
      </c>
      <c r="Q48" s="15" t="s">
        <v>296</v>
      </c>
      <c r="R48" s="15" t="s">
        <v>296</v>
      </c>
      <c r="S48" s="15" t="s">
        <v>296</v>
      </c>
      <c r="T48" s="15" t="s">
        <v>296</v>
      </c>
      <c r="U48" s="15" t="s">
        <v>296</v>
      </c>
      <c r="V48" s="15" t="s">
        <v>296</v>
      </c>
      <c r="W48" s="15" t="s">
        <v>296</v>
      </c>
      <c r="X48" s="15" t="s">
        <v>296</v>
      </c>
      <c r="Y48" s="15" t="s">
        <v>289</v>
      </c>
      <c r="Z48" s="15" t="s">
        <v>289</v>
      </c>
      <c r="AA48" s="15" t="s">
        <v>289</v>
      </c>
      <c r="AB48" s="15" t="s">
        <v>289</v>
      </c>
      <c r="AC48" s="15" t="s">
        <v>289</v>
      </c>
      <c r="AD48" s="15" t="s">
        <v>289</v>
      </c>
      <c r="AE48" s="15" t="s">
        <v>289</v>
      </c>
      <c r="AF48" s="15" t="s">
        <v>289</v>
      </c>
      <c r="AG48" s="15" t="s">
        <v>289</v>
      </c>
      <c r="AH48" s="15" t="s">
        <v>289</v>
      </c>
      <c r="AI48" s="15" t="s">
        <v>289</v>
      </c>
      <c r="AJ48" s="15" t="s">
        <v>289</v>
      </c>
      <c r="AK48" s="15" t="s">
        <v>289</v>
      </c>
      <c r="AL48" s="15" t="s">
        <v>289</v>
      </c>
      <c r="AM48" s="15" t="s">
        <v>289</v>
      </c>
      <c r="AN48" s="15" t="s">
        <v>289</v>
      </c>
      <c r="AO48" s="15" t="s">
        <v>289</v>
      </c>
      <c r="AP48" s="15" t="s">
        <v>296</v>
      </c>
      <c r="AQ48" s="15" t="s">
        <v>296</v>
      </c>
      <c r="AR48" s="15" t="s">
        <v>290</v>
      </c>
      <c r="AS48" s="15" t="s">
        <v>289</v>
      </c>
      <c r="AT48" s="15" t="s">
        <v>289</v>
      </c>
      <c r="AU48" s="15" t="s">
        <v>289</v>
      </c>
      <c r="AV48" s="20"/>
    </row>
    <row r="49" spans="1:64" ht="30" customHeight="1" x14ac:dyDescent="0.25">
      <c r="A49" s="13" t="s">
        <v>252</v>
      </c>
      <c r="B49" s="15" t="s">
        <v>289</v>
      </c>
      <c r="C49" s="15" t="s">
        <v>296</v>
      </c>
      <c r="D49" s="15" t="s">
        <v>296</v>
      </c>
      <c r="E49" s="15" t="s">
        <v>289</v>
      </c>
      <c r="F49" s="15" t="s">
        <v>296</v>
      </c>
      <c r="G49" s="15" t="s">
        <v>296</v>
      </c>
      <c r="H49" s="15" t="s">
        <v>296</v>
      </c>
      <c r="I49" s="15" t="s">
        <v>289</v>
      </c>
      <c r="J49" s="15" t="s">
        <v>296</v>
      </c>
      <c r="K49" s="15" t="s">
        <v>296</v>
      </c>
      <c r="L49" s="15" t="s">
        <v>290</v>
      </c>
      <c r="M49" s="15" t="s">
        <v>296</v>
      </c>
      <c r="N49" s="15" t="s">
        <v>296</v>
      </c>
      <c r="O49" s="15" t="s">
        <v>296</v>
      </c>
      <c r="P49" s="15" t="s">
        <v>296</v>
      </c>
      <c r="Q49" s="15" t="s">
        <v>296</v>
      </c>
      <c r="R49" s="15" t="s">
        <v>296</v>
      </c>
      <c r="S49" s="15" t="s">
        <v>296</v>
      </c>
      <c r="T49" s="15" t="s">
        <v>296</v>
      </c>
      <c r="U49" s="15" t="s">
        <v>296</v>
      </c>
      <c r="V49" s="15" t="s">
        <v>296</v>
      </c>
      <c r="W49" s="15" t="s">
        <v>296</v>
      </c>
      <c r="X49" s="15" t="s">
        <v>296</v>
      </c>
      <c r="Y49" s="15" t="s">
        <v>289</v>
      </c>
      <c r="Z49" s="15" t="s">
        <v>296</v>
      </c>
      <c r="AA49" s="15" t="s">
        <v>296</v>
      </c>
      <c r="AB49" s="15" t="s">
        <v>289</v>
      </c>
      <c r="AC49" s="15" t="s">
        <v>296</v>
      </c>
      <c r="AD49" s="15" t="s">
        <v>289</v>
      </c>
      <c r="AE49" s="15" t="s">
        <v>296</v>
      </c>
      <c r="AF49" s="15" t="s">
        <v>296</v>
      </c>
      <c r="AG49" s="15" t="s">
        <v>289</v>
      </c>
      <c r="AH49" s="15" t="s">
        <v>290</v>
      </c>
      <c r="AI49" s="15" t="s">
        <v>289</v>
      </c>
      <c r="AJ49" s="15" t="s">
        <v>289</v>
      </c>
      <c r="AK49" s="15" t="s">
        <v>289</v>
      </c>
      <c r="AL49" s="15" t="s">
        <v>289</v>
      </c>
      <c r="AM49" s="15" t="s">
        <v>289</v>
      </c>
      <c r="AN49" s="15" t="s">
        <v>289</v>
      </c>
      <c r="AO49" s="15" t="s">
        <v>289</v>
      </c>
      <c r="AP49" s="15" t="s">
        <v>296</v>
      </c>
      <c r="AQ49" s="15" t="s">
        <v>296</v>
      </c>
      <c r="AR49" s="15" t="s">
        <v>290</v>
      </c>
      <c r="AS49" s="15" t="s">
        <v>289</v>
      </c>
      <c r="AT49" s="15" t="s">
        <v>289</v>
      </c>
      <c r="AU49" s="15" t="s">
        <v>289</v>
      </c>
      <c r="AV49" s="15" t="s">
        <v>289</v>
      </c>
      <c r="AW49" s="20"/>
    </row>
    <row r="50" spans="1:64" ht="30" customHeight="1" x14ac:dyDescent="0.25">
      <c r="A50" s="12" t="s">
        <v>253</v>
      </c>
      <c r="B50" s="15" t="s">
        <v>296</v>
      </c>
      <c r="C50" s="15" t="s">
        <v>290</v>
      </c>
      <c r="D50" s="15" t="s">
        <v>289</v>
      </c>
      <c r="E50" s="15" t="s">
        <v>290</v>
      </c>
      <c r="F50" s="15" t="s">
        <v>296</v>
      </c>
      <c r="G50" s="15" t="s">
        <v>296</v>
      </c>
      <c r="H50" s="15" t="s">
        <v>296</v>
      </c>
      <c r="I50" s="15" t="s">
        <v>296</v>
      </c>
      <c r="J50" s="15" t="s">
        <v>296</v>
      </c>
      <c r="K50" s="15" t="s">
        <v>289</v>
      </c>
      <c r="L50" s="15" t="s">
        <v>296</v>
      </c>
      <c r="M50" s="15" t="s">
        <v>296</v>
      </c>
      <c r="N50" s="15" t="s">
        <v>296</v>
      </c>
      <c r="O50" s="15" t="s">
        <v>296</v>
      </c>
      <c r="P50" s="15" t="s">
        <v>296</v>
      </c>
      <c r="Q50" s="15" t="s">
        <v>296</v>
      </c>
      <c r="R50" s="15" t="s">
        <v>296</v>
      </c>
      <c r="S50" s="15" t="s">
        <v>296</v>
      </c>
      <c r="T50" s="15" t="s">
        <v>296</v>
      </c>
      <c r="U50" s="15" t="s">
        <v>296</v>
      </c>
      <c r="V50" s="15" t="s">
        <v>289</v>
      </c>
      <c r="W50" s="15" t="s">
        <v>289</v>
      </c>
      <c r="X50" s="15" t="s">
        <v>289</v>
      </c>
      <c r="Y50" s="15" t="s">
        <v>289</v>
      </c>
      <c r="Z50" s="15" t="s">
        <v>296</v>
      </c>
      <c r="AA50" s="15" t="s">
        <v>296</v>
      </c>
      <c r="AB50" s="15" t="s">
        <v>296</v>
      </c>
      <c r="AC50" s="15" t="s">
        <v>296</v>
      </c>
      <c r="AD50" s="15" t="s">
        <v>296</v>
      </c>
      <c r="AE50" s="15" t="s">
        <v>289</v>
      </c>
      <c r="AF50" s="15" t="s">
        <v>296</v>
      </c>
      <c r="AG50" s="15" t="s">
        <v>296</v>
      </c>
      <c r="AH50" s="15" t="s">
        <v>296</v>
      </c>
      <c r="AI50" s="15" t="s">
        <v>296</v>
      </c>
      <c r="AJ50" s="15" t="s">
        <v>296</v>
      </c>
      <c r="AK50" s="15" t="s">
        <v>296</v>
      </c>
      <c r="AL50" s="15" t="s">
        <v>290</v>
      </c>
      <c r="AM50" s="15" t="s">
        <v>289</v>
      </c>
      <c r="AN50" s="15" t="s">
        <v>290</v>
      </c>
      <c r="AO50" s="15" t="s">
        <v>290</v>
      </c>
      <c r="AP50" s="15" t="s">
        <v>296</v>
      </c>
      <c r="AQ50" s="15" t="s">
        <v>296</v>
      </c>
      <c r="AR50" s="15" t="s">
        <v>290</v>
      </c>
      <c r="AS50" s="15" t="s">
        <v>290</v>
      </c>
      <c r="AT50" s="15" t="s">
        <v>290</v>
      </c>
      <c r="AU50" s="15" t="s">
        <v>290</v>
      </c>
      <c r="AV50" s="15" t="s">
        <v>296</v>
      </c>
      <c r="AW50" s="15" t="s">
        <v>296</v>
      </c>
      <c r="AX50" s="20"/>
    </row>
    <row r="51" spans="1:64" ht="30" customHeight="1" x14ac:dyDescent="0.25">
      <c r="A51" s="13" t="s">
        <v>254</v>
      </c>
      <c r="B51" s="15" t="s">
        <v>296</v>
      </c>
      <c r="C51" s="15" t="s">
        <v>296</v>
      </c>
      <c r="D51" s="15" t="s">
        <v>296</v>
      </c>
      <c r="E51" s="15" t="s">
        <v>296</v>
      </c>
      <c r="F51" s="15" t="s">
        <v>296</v>
      </c>
      <c r="G51" s="15" t="s">
        <v>296</v>
      </c>
      <c r="H51" s="15" t="s">
        <v>296</v>
      </c>
      <c r="I51" s="15" t="s">
        <v>296</v>
      </c>
      <c r="J51" s="15" t="s">
        <v>296</v>
      </c>
      <c r="K51" s="15" t="s">
        <v>296</v>
      </c>
      <c r="L51" s="15" t="s">
        <v>296</v>
      </c>
      <c r="M51" s="15" t="s">
        <v>296</v>
      </c>
      <c r="N51" s="15" t="s">
        <v>296</v>
      </c>
      <c r="O51" s="15" t="s">
        <v>296</v>
      </c>
      <c r="P51" s="15" t="s">
        <v>296</v>
      </c>
      <c r="Q51" s="15" t="s">
        <v>296</v>
      </c>
      <c r="R51" s="15" t="s">
        <v>296</v>
      </c>
      <c r="S51" s="15" t="s">
        <v>296</v>
      </c>
      <c r="T51" s="15" t="s">
        <v>296</v>
      </c>
      <c r="U51" s="15" t="s">
        <v>296</v>
      </c>
      <c r="V51" s="15" t="s">
        <v>296</v>
      </c>
      <c r="W51" s="15" t="s">
        <v>296</v>
      </c>
      <c r="X51" s="15" t="s">
        <v>296</v>
      </c>
      <c r="Y51" s="15" t="s">
        <v>296</v>
      </c>
      <c r="Z51" s="15" t="s">
        <v>296</v>
      </c>
      <c r="AA51" s="15" t="s">
        <v>296</v>
      </c>
      <c r="AB51" s="15" t="s">
        <v>296</v>
      </c>
      <c r="AC51" s="15" t="s">
        <v>296</v>
      </c>
      <c r="AD51" s="15" t="s">
        <v>296</v>
      </c>
      <c r="AE51" s="15" t="s">
        <v>296</v>
      </c>
      <c r="AF51" s="15" t="s">
        <v>296</v>
      </c>
      <c r="AG51" s="15" t="s">
        <v>296</v>
      </c>
      <c r="AH51" s="15" t="s">
        <v>296</v>
      </c>
      <c r="AI51" s="15" t="s">
        <v>296</v>
      </c>
      <c r="AJ51" s="15" t="s">
        <v>296</v>
      </c>
      <c r="AK51" s="15" t="s">
        <v>296</v>
      </c>
      <c r="AL51" s="15" t="s">
        <v>290</v>
      </c>
      <c r="AM51" s="15" t="s">
        <v>289</v>
      </c>
      <c r="AN51" s="15" t="s">
        <v>290</v>
      </c>
      <c r="AO51" s="15" t="s">
        <v>290</v>
      </c>
      <c r="AP51" s="15" t="s">
        <v>296</v>
      </c>
      <c r="AQ51" s="15" t="s">
        <v>296</v>
      </c>
      <c r="AR51" s="15" t="s">
        <v>290</v>
      </c>
      <c r="AS51" s="15" t="s">
        <v>290</v>
      </c>
      <c r="AT51" s="15" t="s">
        <v>290</v>
      </c>
      <c r="AU51" s="15" t="s">
        <v>290</v>
      </c>
      <c r="AV51" s="15" t="s">
        <v>296</v>
      </c>
      <c r="AW51" s="15" t="s">
        <v>296</v>
      </c>
      <c r="AX51" s="15" t="s">
        <v>289</v>
      </c>
      <c r="AY51" s="20"/>
    </row>
    <row r="52" spans="1:64" ht="30" customHeight="1" x14ac:dyDescent="0.25">
      <c r="A52" s="12" t="s">
        <v>255</v>
      </c>
      <c r="B52" s="15" t="s">
        <v>296</v>
      </c>
      <c r="C52" s="15" t="s">
        <v>290</v>
      </c>
      <c r="D52" s="15" t="s">
        <v>289</v>
      </c>
      <c r="E52" s="15" t="s">
        <v>290</v>
      </c>
      <c r="F52" s="15" t="s">
        <v>296</v>
      </c>
      <c r="G52" s="15" t="s">
        <v>296</v>
      </c>
      <c r="H52" s="15" t="s">
        <v>296</v>
      </c>
      <c r="I52" s="15" t="s">
        <v>296</v>
      </c>
      <c r="J52" s="15" t="s">
        <v>296</v>
      </c>
      <c r="K52" s="15" t="s">
        <v>289</v>
      </c>
      <c r="L52" s="15" t="s">
        <v>296</v>
      </c>
      <c r="M52" s="15" t="s">
        <v>296</v>
      </c>
      <c r="N52" s="15" t="s">
        <v>290</v>
      </c>
      <c r="O52" s="15" t="s">
        <v>289</v>
      </c>
      <c r="P52" s="15" t="s">
        <v>290</v>
      </c>
      <c r="Q52" s="15" t="s">
        <v>290</v>
      </c>
      <c r="R52" s="15" t="s">
        <v>290</v>
      </c>
      <c r="S52" s="15" t="s">
        <v>290</v>
      </c>
      <c r="T52" s="15" t="s">
        <v>290</v>
      </c>
      <c r="U52" s="15" t="s">
        <v>289</v>
      </c>
      <c r="V52" s="15" t="s">
        <v>289</v>
      </c>
      <c r="W52" s="15" t="s">
        <v>289</v>
      </c>
      <c r="X52" s="15" t="s">
        <v>289</v>
      </c>
      <c r="Y52" s="15" t="s">
        <v>289</v>
      </c>
      <c r="Z52" s="15" t="s">
        <v>296</v>
      </c>
      <c r="AA52" s="15" t="s">
        <v>289</v>
      </c>
      <c r="AB52" s="15" t="s">
        <v>296</v>
      </c>
      <c r="AC52" s="15" t="s">
        <v>296</v>
      </c>
      <c r="AD52" s="15" t="s">
        <v>289</v>
      </c>
      <c r="AE52" s="15" t="s">
        <v>289</v>
      </c>
      <c r="AF52" s="15" t="s">
        <v>289</v>
      </c>
      <c r="AG52" s="15" t="s">
        <v>296</v>
      </c>
      <c r="AH52" s="15" t="s">
        <v>296</v>
      </c>
      <c r="AI52" s="15" t="s">
        <v>289</v>
      </c>
      <c r="AJ52" s="15" t="s">
        <v>289</v>
      </c>
      <c r="AK52" s="15" t="s">
        <v>289</v>
      </c>
      <c r="AL52" s="15" t="s">
        <v>290</v>
      </c>
      <c r="AM52" s="15" t="s">
        <v>289</v>
      </c>
      <c r="AN52" s="15" t="s">
        <v>290</v>
      </c>
      <c r="AO52" s="15" t="s">
        <v>289</v>
      </c>
      <c r="AP52" s="15" t="s">
        <v>296</v>
      </c>
      <c r="AQ52" s="15" t="s">
        <v>296</v>
      </c>
      <c r="AR52" s="15" t="s">
        <v>290</v>
      </c>
      <c r="AS52" s="15" t="s">
        <v>290</v>
      </c>
      <c r="AT52" s="15" t="s">
        <v>289</v>
      </c>
      <c r="AU52" s="15" t="s">
        <v>290</v>
      </c>
      <c r="AV52" s="15" t="s">
        <v>296</v>
      </c>
      <c r="AW52" s="15" t="s">
        <v>296</v>
      </c>
      <c r="AX52" s="15" t="s">
        <v>289</v>
      </c>
      <c r="AY52" s="15" t="s">
        <v>289</v>
      </c>
      <c r="AZ52" s="20"/>
    </row>
    <row r="53" spans="1:64" ht="30" customHeight="1" x14ac:dyDescent="0.25">
      <c r="A53" s="13" t="s">
        <v>256</v>
      </c>
      <c r="B53" s="15" t="s">
        <v>296</v>
      </c>
      <c r="C53" s="15" t="s">
        <v>296</v>
      </c>
      <c r="D53" s="15" t="s">
        <v>289</v>
      </c>
      <c r="E53" s="15" t="s">
        <v>296</v>
      </c>
      <c r="F53" s="15" t="s">
        <v>296</v>
      </c>
      <c r="G53" s="15" t="s">
        <v>296</v>
      </c>
      <c r="H53" s="15" t="s">
        <v>296</v>
      </c>
      <c r="I53" s="15" t="s">
        <v>296</v>
      </c>
      <c r="J53" s="15" t="s">
        <v>296</v>
      </c>
      <c r="K53" s="15" t="s">
        <v>289</v>
      </c>
      <c r="L53" s="15" t="s">
        <v>296</v>
      </c>
      <c r="M53" s="15" t="s">
        <v>296</v>
      </c>
      <c r="N53" s="15" t="s">
        <v>296</v>
      </c>
      <c r="O53" s="15" t="s">
        <v>296</v>
      </c>
      <c r="P53" s="15" t="s">
        <v>296</v>
      </c>
      <c r="Q53" s="15" t="s">
        <v>296</v>
      </c>
      <c r="R53" s="15" t="s">
        <v>296</v>
      </c>
      <c r="S53" s="15" t="s">
        <v>296</v>
      </c>
      <c r="T53" s="15" t="s">
        <v>296</v>
      </c>
      <c r="U53" s="15" t="s">
        <v>296</v>
      </c>
      <c r="V53" s="15" t="s">
        <v>289</v>
      </c>
      <c r="W53" s="15" t="s">
        <v>289</v>
      </c>
      <c r="X53" s="15" t="s">
        <v>289</v>
      </c>
      <c r="Y53" s="15" t="s">
        <v>296</v>
      </c>
      <c r="Z53" s="15" t="s">
        <v>296</v>
      </c>
      <c r="AA53" s="15" t="s">
        <v>296</v>
      </c>
      <c r="AB53" s="15" t="s">
        <v>296</v>
      </c>
      <c r="AC53" s="15" t="s">
        <v>296</v>
      </c>
      <c r="AD53" s="15" t="s">
        <v>296</v>
      </c>
      <c r="AE53" s="15" t="s">
        <v>289</v>
      </c>
      <c r="AF53" s="15" t="s">
        <v>296</v>
      </c>
      <c r="AG53" s="15" t="s">
        <v>289</v>
      </c>
      <c r="AH53" s="15" t="s">
        <v>296</v>
      </c>
      <c r="AI53" s="15" t="s">
        <v>289</v>
      </c>
      <c r="AJ53" s="15" t="s">
        <v>289</v>
      </c>
      <c r="AK53" s="15" t="s">
        <v>289</v>
      </c>
      <c r="AL53" s="15" t="s">
        <v>290</v>
      </c>
      <c r="AM53" s="15" t="s">
        <v>289</v>
      </c>
      <c r="AN53" s="15" t="s">
        <v>290</v>
      </c>
      <c r="AO53" s="15" t="s">
        <v>289</v>
      </c>
      <c r="AP53" s="15" t="s">
        <v>296</v>
      </c>
      <c r="AQ53" s="15" t="s">
        <v>296</v>
      </c>
      <c r="AR53" s="15" t="s">
        <v>290</v>
      </c>
      <c r="AS53" s="15" t="s">
        <v>290</v>
      </c>
      <c r="AT53" s="15" t="s">
        <v>289</v>
      </c>
      <c r="AU53" s="15" t="s">
        <v>290</v>
      </c>
      <c r="AV53" s="15" t="s">
        <v>296</v>
      </c>
      <c r="AW53" s="15" t="s">
        <v>296</v>
      </c>
      <c r="AX53" s="15" t="s">
        <v>289</v>
      </c>
      <c r="AY53" s="15" t="s">
        <v>289</v>
      </c>
      <c r="AZ53" s="15" t="s">
        <v>289</v>
      </c>
      <c r="BA53" s="20"/>
    </row>
    <row r="54" spans="1:64" ht="30" customHeight="1" x14ac:dyDescent="0.25">
      <c r="A54" s="12" t="s">
        <v>257</v>
      </c>
      <c r="B54" s="15" t="s">
        <v>296</v>
      </c>
      <c r="C54" s="15" t="s">
        <v>296</v>
      </c>
      <c r="D54" s="15" t="s">
        <v>296</v>
      </c>
      <c r="E54" s="15" t="s">
        <v>296</v>
      </c>
      <c r="F54" s="15" t="s">
        <v>296</v>
      </c>
      <c r="G54" s="15" t="s">
        <v>296</v>
      </c>
      <c r="H54" s="15" t="s">
        <v>296</v>
      </c>
      <c r="I54" s="15" t="s">
        <v>296</v>
      </c>
      <c r="J54" s="15" t="s">
        <v>296</v>
      </c>
      <c r="K54" s="15" t="s">
        <v>296</v>
      </c>
      <c r="L54" s="15" t="s">
        <v>296</v>
      </c>
      <c r="M54" s="15" t="s">
        <v>296</v>
      </c>
      <c r="N54" s="15" t="s">
        <v>296</v>
      </c>
      <c r="O54" s="15" t="s">
        <v>296</v>
      </c>
      <c r="P54" s="15" t="s">
        <v>296</v>
      </c>
      <c r="Q54" s="15" t="s">
        <v>296</v>
      </c>
      <c r="R54" s="15" t="s">
        <v>296</v>
      </c>
      <c r="S54" s="15" t="s">
        <v>296</v>
      </c>
      <c r="T54" s="15" t="s">
        <v>296</v>
      </c>
      <c r="U54" s="15" t="s">
        <v>296</v>
      </c>
      <c r="V54" s="15" t="s">
        <v>296</v>
      </c>
      <c r="W54" s="15" t="s">
        <v>296</v>
      </c>
      <c r="X54" s="15" t="s">
        <v>296</v>
      </c>
      <c r="Y54" s="15" t="s">
        <v>296</v>
      </c>
      <c r="Z54" s="15" t="s">
        <v>296</v>
      </c>
      <c r="AA54" s="15" t="s">
        <v>296</v>
      </c>
      <c r="AB54" s="15" t="s">
        <v>296</v>
      </c>
      <c r="AC54" s="15" t="s">
        <v>296</v>
      </c>
      <c r="AD54" s="15" t="s">
        <v>296</v>
      </c>
      <c r="AE54" s="15" t="s">
        <v>296</v>
      </c>
      <c r="AF54" s="15" t="s">
        <v>296</v>
      </c>
      <c r="AG54" s="15" t="s">
        <v>296</v>
      </c>
      <c r="AH54" s="15" t="s">
        <v>296</v>
      </c>
      <c r="AI54" s="15" t="s">
        <v>296</v>
      </c>
      <c r="AJ54" s="15" t="s">
        <v>296</v>
      </c>
      <c r="AK54" s="15" t="s">
        <v>296</v>
      </c>
      <c r="AL54" s="15" t="s">
        <v>296</v>
      </c>
      <c r="AM54" s="15" t="s">
        <v>296</v>
      </c>
      <c r="AN54" s="15" t="s">
        <v>296</v>
      </c>
      <c r="AO54" s="15" t="s">
        <v>296</v>
      </c>
      <c r="AP54" s="15" t="s">
        <v>296</v>
      </c>
      <c r="AQ54" s="15" t="s">
        <v>296</v>
      </c>
      <c r="AR54" s="15" t="s">
        <v>296</v>
      </c>
      <c r="AS54" s="15" t="s">
        <v>296</v>
      </c>
      <c r="AT54" s="15" t="s">
        <v>296</v>
      </c>
      <c r="AU54" s="15" t="s">
        <v>296</v>
      </c>
      <c r="AV54" s="15" t="s">
        <v>296</v>
      </c>
      <c r="AW54" s="15" t="s">
        <v>296</v>
      </c>
      <c r="AX54" s="15" t="s">
        <v>296</v>
      </c>
      <c r="AY54" s="15" t="s">
        <v>296</v>
      </c>
      <c r="AZ54" s="15" t="s">
        <v>296</v>
      </c>
      <c r="BA54" s="15" t="s">
        <v>296</v>
      </c>
      <c r="BB54" s="20"/>
    </row>
    <row r="55" spans="1:64" ht="30" customHeight="1" x14ac:dyDescent="0.25">
      <c r="A55" s="13" t="s">
        <v>258</v>
      </c>
      <c r="B55" s="15" t="s">
        <v>296</v>
      </c>
      <c r="C55" s="15" t="s">
        <v>296</v>
      </c>
      <c r="D55" s="15" t="s">
        <v>296</v>
      </c>
      <c r="E55" s="15" t="s">
        <v>296</v>
      </c>
      <c r="F55" s="15" t="s">
        <v>296</v>
      </c>
      <c r="G55" s="15" t="s">
        <v>296</v>
      </c>
      <c r="H55" s="15" t="s">
        <v>296</v>
      </c>
      <c r="I55" s="15" t="s">
        <v>296</v>
      </c>
      <c r="J55" s="15" t="s">
        <v>296</v>
      </c>
      <c r="K55" s="15" t="s">
        <v>296</v>
      </c>
      <c r="L55" s="15" t="s">
        <v>296</v>
      </c>
      <c r="M55" s="15" t="s">
        <v>296</v>
      </c>
      <c r="N55" s="15" t="s">
        <v>296</v>
      </c>
      <c r="O55" s="15" t="s">
        <v>296</v>
      </c>
      <c r="P55" s="15" t="s">
        <v>296</v>
      </c>
      <c r="Q55" s="15" t="s">
        <v>296</v>
      </c>
      <c r="R55" s="15" t="s">
        <v>296</v>
      </c>
      <c r="S55" s="15" t="s">
        <v>296</v>
      </c>
      <c r="T55" s="15" t="s">
        <v>296</v>
      </c>
      <c r="U55" s="15" t="s">
        <v>296</v>
      </c>
      <c r="V55" s="15" t="s">
        <v>296</v>
      </c>
      <c r="W55" s="15" t="s">
        <v>296</v>
      </c>
      <c r="X55" s="15" t="s">
        <v>296</v>
      </c>
      <c r="Y55" s="15" t="s">
        <v>296</v>
      </c>
      <c r="Z55" s="15" t="s">
        <v>296</v>
      </c>
      <c r="AA55" s="15" t="s">
        <v>296</v>
      </c>
      <c r="AB55" s="15" t="s">
        <v>296</v>
      </c>
      <c r="AC55" s="15" t="s">
        <v>296</v>
      </c>
      <c r="AD55" s="15" t="s">
        <v>296</v>
      </c>
      <c r="AE55" s="15" t="s">
        <v>296</v>
      </c>
      <c r="AF55" s="15" t="s">
        <v>296</v>
      </c>
      <c r="AG55" s="15" t="s">
        <v>296</v>
      </c>
      <c r="AH55" s="15" t="s">
        <v>296</v>
      </c>
      <c r="AI55" s="15" t="s">
        <v>296</v>
      </c>
      <c r="AJ55" s="15" t="s">
        <v>296</v>
      </c>
      <c r="AK55" s="15" t="s">
        <v>296</v>
      </c>
      <c r="AL55" s="15" t="s">
        <v>296</v>
      </c>
      <c r="AM55" s="15" t="s">
        <v>296</v>
      </c>
      <c r="AN55" s="15" t="s">
        <v>296</v>
      </c>
      <c r="AO55" s="15" t="s">
        <v>296</v>
      </c>
      <c r="AP55" s="15" t="s">
        <v>296</v>
      </c>
      <c r="AQ55" s="15" t="s">
        <v>296</v>
      </c>
      <c r="AR55" s="15" t="s">
        <v>296</v>
      </c>
      <c r="AS55" s="15" t="s">
        <v>296</v>
      </c>
      <c r="AT55" s="15" t="s">
        <v>296</v>
      </c>
      <c r="AU55" s="15" t="s">
        <v>296</v>
      </c>
      <c r="AV55" s="15" t="s">
        <v>296</v>
      </c>
      <c r="AW55" s="15" t="s">
        <v>296</v>
      </c>
      <c r="AX55" s="15" t="s">
        <v>296</v>
      </c>
      <c r="AY55" s="15" t="s">
        <v>296</v>
      </c>
      <c r="AZ55" s="15" t="s">
        <v>296</v>
      </c>
      <c r="BA55" s="15" t="s">
        <v>296</v>
      </c>
      <c r="BB55" s="15" t="s">
        <v>289</v>
      </c>
      <c r="BC55" s="20"/>
    </row>
    <row r="56" spans="1:64" ht="30" customHeight="1" x14ac:dyDescent="0.25">
      <c r="A56" s="12" t="s">
        <v>259</v>
      </c>
      <c r="B56" s="15" t="s">
        <v>296</v>
      </c>
      <c r="C56" s="15" t="s">
        <v>296</v>
      </c>
      <c r="D56" s="15" t="s">
        <v>296</v>
      </c>
      <c r="E56" s="15" t="s">
        <v>296</v>
      </c>
      <c r="F56" s="15" t="s">
        <v>296</v>
      </c>
      <c r="G56" s="15" t="s">
        <v>296</v>
      </c>
      <c r="H56" s="15" t="s">
        <v>296</v>
      </c>
      <c r="I56" s="15" t="s">
        <v>296</v>
      </c>
      <c r="J56" s="15" t="s">
        <v>296</v>
      </c>
      <c r="K56" s="15" t="s">
        <v>296</v>
      </c>
      <c r="L56" s="15" t="s">
        <v>296</v>
      </c>
      <c r="M56" s="15" t="s">
        <v>296</v>
      </c>
      <c r="N56" s="15" t="s">
        <v>296</v>
      </c>
      <c r="O56" s="15" t="s">
        <v>296</v>
      </c>
      <c r="P56" s="15" t="s">
        <v>296</v>
      </c>
      <c r="Q56" s="15" t="s">
        <v>296</v>
      </c>
      <c r="R56" s="15" t="s">
        <v>296</v>
      </c>
      <c r="S56" s="15" t="s">
        <v>296</v>
      </c>
      <c r="T56" s="15" t="s">
        <v>296</v>
      </c>
      <c r="U56" s="15" t="s">
        <v>296</v>
      </c>
      <c r="V56" s="15" t="s">
        <v>296</v>
      </c>
      <c r="W56" s="15" t="s">
        <v>296</v>
      </c>
      <c r="X56" s="15" t="s">
        <v>296</v>
      </c>
      <c r="Y56" s="15" t="s">
        <v>289</v>
      </c>
      <c r="Z56" s="15" t="s">
        <v>296</v>
      </c>
      <c r="AA56" s="15" t="s">
        <v>296</v>
      </c>
      <c r="AB56" s="15" t="s">
        <v>296</v>
      </c>
      <c r="AC56" s="15" t="s">
        <v>296</v>
      </c>
      <c r="AD56" s="15" t="s">
        <v>296</v>
      </c>
      <c r="AE56" s="15" t="s">
        <v>296</v>
      </c>
      <c r="AF56" s="15" t="s">
        <v>296</v>
      </c>
      <c r="AG56" s="15" t="s">
        <v>296</v>
      </c>
      <c r="AH56" s="15" t="s">
        <v>296</v>
      </c>
      <c r="AI56" s="15" t="s">
        <v>296</v>
      </c>
      <c r="AJ56" s="15" t="s">
        <v>296</v>
      </c>
      <c r="AK56" s="15" t="s">
        <v>296</v>
      </c>
      <c r="AL56" s="15" t="s">
        <v>296</v>
      </c>
      <c r="AM56" s="15" t="s">
        <v>296</v>
      </c>
      <c r="AN56" s="15" t="s">
        <v>296</v>
      </c>
      <c r="AO56" s="15" t="s">
        <v>296</v>
      </c>
      <c r="AP56" s="15" t="s">
        <v>296</v>
      </c>
      <c r="AQ56" s="15" t="s">
        <v>296</v>
      </c>
      <c r="AR56" s="15" t="s">
        <v>296</v>
      </c>
      <c r="AS56" s="15" t="s">
        <v>296</v>
      </c>
      <c r="AT56" s="15" t="s">
        <v>296</v>
      </c>
      <c r="AU56" s="15" t="s">
        <v>296</v>
      </c>
      <c r="AV56" s="15" t="s">
        <v>296</v>
      </c>
      <c r="AW56" s="15" t="s">
        <v>296</v>
      </c>
      <c r="AX56" s="15" t="s">
        <v>296</v>
      </c>
      <c r="AY56" s="15" t="s">
        <v>296</v>
      </c>
      <c r="AZ56" s="15" t="s">
        <v>296</v>
      </c>
      <c r="BA56" s="15" t="s">
        <v>296</v>
      </c>
      <c r="BB56" s="15" t="s">
        <v>296</v>
      </c>
      <c r="BC56" s="15" t="s">
        <v>289</v>
      </c>
      <c r="BD56" s="20"/>
    </row>
    <row r="57" spans="1:64" ht="30" customHeight="1" x14ac:dyDescent="0.25">
      <c r="A57" s="13" t="s">
        <v>260</v>
      </c>
      <c r="B57" s="15" t="s">
        <v>296</v>
      </c>
      <c r="C57" s="15" t="s">
        <v>296</v>
      </c>
      <c r="D57" s="15" t="s">
        <v>296</v>
      </c>
      <c r="E57" s="15" t="s">
        <v>296</v>
      </c>
      <c r="F57" s="15" t="s">
        <v>296</v>
      </c>
      <c r="G57" s="15" t="s">
        <v>296</v>
      </c>
      <c r="H57" s="15" t="s">
        <v>296</v>
      </c>
      <c r="I57" s="15" t="s">
        <v>296</v>
      </c>
      <c r="J57" s="15" t="s">
        <v>296</v>
      </c>
      <c r="K57" s="15" t="s">
        <v>296</v>
      </c>
      <c r="L57" s="15" t="s">
        <v>296</v>
      </c>
      <c r="M57" s="15" t="s">
        <v>296</v>
      </c>
      <c r="N57" s="15" t="s">
        <v>296</v>
      </c>
      <c r="O57" s="15" t="s">
        <v>296</v>
      </c>
      <c r="P57" s="15" t="s">
        <v>296</v>
      </c>
      <c r="Q57" s="15" t="s">
        <v>296</v>
      </c>
      <c r="R57" s="15" t="s">
        <v>296</v>
      </c>
      <c r="S57" s="15" t="s">
        <v>296</v>
      </c>
      <c r="T57" s="15" t="s">
        <v>296</v>
      </c>
      <c r="U57" s="15" t="s">
        <v>296</v>
      </c>
      <c r="V57" s="15" t="s">
        <v>296</v>
      </c>
      <c r="W57" s="15" t="s">
        <v>296</v>
      </c>
      <c r="X57" s="15" t="s">
        <v>296</v>
      </c>
      <c r="Y57" s="15" t="s">
        <v>296</v>
      </c>
      <c r="Z57" s="15" t="s">
        <v>296</v>
      </c>
      <c r="AA57" s="15" t="s">
        <v>296</v>
      </c>
      <c r="AB57" s="15" t="s">
        <v>296</v>
      </c>
      <c r="AC57" s="15" t="s">
        <v>296</v>
      </c>
      <c r="AD57" s="15" t="s">
        <v>296</v>
      </c>
      <c r="AE57" s="15" t="s">
        <v>296</v>
      </c>
      <c r="AF57" s="15" t="s">
        <v>296</v>
      </c>
      <c r="AG57" s="15" t="s">
        <v>296</v>
      </c>
      <c r="AH57" s="15" t="s">
        <v>296</v>
      </c>
      <c r="AI57" s="15" t="s">
        <v>296</v>
      </c>
      <c r="AJ57" s="15" t="s">
        <v>296</v>
      </c>
      <c r="AK57" s="15" t="s">
        <v>296</v>
      </c>
      <c r="AL57" s="15" t="s">
        <v>296</v>
      </c>
      <c r="AM57" s="15" t="s">
        <v>296</v>
      </c>
      <c r="AN57" s="15" t="s">
        <v>296</v>
      </c>
      <c r="AO57" s="15" t="s">
        <v>296</v>
      </c>
      <c r="AP57" s="15" t="s">
        <v>296</v>
      </c>
      <c r="AQ57" s="15" t="s">
        <v>296</v>
      </c>
      <c r="AR57" s="15" t="s">
        <v>296</v>
      </c>
      <c r="AS57" s="15" t="s">
        <v>296</v>
      </c>
      <c r="AT57" s="15" t="s">
        <v>296</v>
      </c>
      <c r="AU57" s="15" t="s">
        <v>296</v>
      </c>
      <c r="AV57" s="15" t="s">
        <v>296</v>
      </c>
      <c r="AW57" s="15" t="s">
        <v>296</v>
      </c>
      <c r="AX57" s="15" t="s">
        <v>296</v>
      </c>
      <c r="AY57" s="15" t="s">
        <v>296</v>
      </c>
      <c r="AZ57" s="15" t="s">
        <v>296</v>
      </c>
      <c r="BA57" s="15" t="s">
        <v>296</v>
      </c>
      <c r="BB57" s="15" t="s">
        <v>289</v>
      </c>
      <c r="BC57" s="15" t="s">
        <v>289</v>
      </c>
      <c r="BD57" s="15" t="s">
        <v>289</v>
      </c>
      <c r="BE57" s="20"/>
    </row>
    <row r="58" spans="1:64" ht="30" customHeight="1" x14ac:dyDescent="0.25">
      <c r="A58" s="12" t="s">
        <v>261</v>
      </c>
      <c r="B58" s="15" t="s">
        <v>296</v>
      </c>
      <c r="C58" s="15" t="s">
        <v>296</v>
      </c>
      <c r="D58" s="15" t="s">
        <v>289</v>
      </c>
      <c r="E58" s="15" t="s">
        <v>296</v>
      </c>
      <c r="F58" s="15" t="s">
        <v>296</v>
      </c>
      <c r="G58" s="15" t="s">
        <v>296</v>
      </c>
      <c r="H58" s="15" t="s">
        <v>296</v>
      </c>
      <c r="I58" s="15" t="s">
        <v>296</v>
      </c>
      <c r="J58" s="15" t="s">
        <v>296</v>
      </c>
      <c r="K58" s="15" t="s">
        <v>289</v>
      </c>
      <c r="L58" s="15" t="s">
        <v>296</v>
      </c>
      <c r="M58" s="15" t="s">
        <v>296</v>
      </c>
      <c r="N58" s="15" t="s">
        <v>296</v>
      </c>
      <c r="O58" s="15" t="s">
        <v>296</v>
      </c>
      <c r="P58" s="15" t="s">
        <v>296</v>
      </c>
      <c r="Q58" s="15" t="s">
        <v>296</v>
      </c>
      <c r="R58" s="15" t="s">
        <v>296</v>
      </c>
      <c r="S58" s="15" t="s">
        <v>296</v>
      </c>
      <c r="T58" s="15" t="s">
        <v>296</v>
      </c>
      <c r="U58" s="15" t="s">
        <v>296</v>
      </c>
      <c r="V58" s="15" t="s">
        <v>296</v>
      </c>
      <c r="W58" s="15" t="s">
        <v>296</v>
      </c>
      <c r="X58" s="15" t="s">
        <v>296</v>
      </c>
      <c r="Y58" s="15" t="s">
        <v>289</v>
      </c>
      <c r="Z58" s="15" t="s">
        <v>296</v>
      </c>
      <c r="AA58" s="15" t="s">
        <v>296</v>
      </c>
      <c r="AB58" s="15" t="s">
        <v>289</v>
      </c>
      <c r="AC58" s="15" t="s">
        <v>296</v>
      </c>
      <c r="AD58" s="15" t="s">
        <v>296</v>
      </c>
      <c r="AE58" s="15" t="s">
        <v>296</v>
      </c>
      <c r="AF58" s="15" t="s">
        <v>296</v>
      </c>
      <c r="AG58" s="15" t="s">
        <v>296</v>
      </c>
      <c r="AH58" s="15" t="s">
        <v>296</v>
      </c>
      <c r="AI58" s="15" t="s">
        <v>296</v>
      </c>
      <c r="AJ58" s="15" t="s">
        <v>296</v>
      </c>
      <c r="AK58" s="15" t="s">
        <v>296</v>
      </c>
      <c r="AL58" s="15" t="s">
        <v>296</v>
      </c>
      <c r="AM58" s="15" t="s">
        <v>296</v>
      </c>
      <c r="AN58" s="15" t="s">
        <v>296</v>
      </c>
      <c r="AO58" s="15" t="s">
        <v>296</v>
      </c>
      <c r="AP58" s="15" t="s">
        <v>296</v>
      </c>
      <c r="AQ58" s="15" t="s">
        <v>296</v>
      </c>
      <c r="AR58" s="15" t="s">
        <v>296</v>
      </c>
      <c r="AS58" s="15" t="s">
        <v>296</v>
      </c>
      <c r="AT58" s="15" t="s">
        <v>296</v>
      </c>
      <c r="AU58" s="15" t="s">
        <v>296</v>
      </c>
      <c r="AV58" s="15" t="s">
        <v>296</v>
      </c>
      <c r="AW58" s="15" t="s">
        <v>296</v>
      </c>
      <c r="AX58" s="15" t="s">
        <v>296</v>
      </c>
      <c r="AY58" s="15" t="s">
        <v>296</v>
      </c>
      <c r="AZ58" s="15" t="s">
        <v>296</v>
      </c>
      <c r="BA58" s="15" t="s">
        <v>296</v>
      </c>
      <c r="BB58" s="15" t="s">
        <v>296</v>
      </c>
      <c r="BC58" s="15" t="s">
        <v>296</v>
      </c>
      <c r="BD58" s="15" t="s">
        <v>296</v>
      </c>
      <c r="BE58" s="15" t="s">
        <v>296</v>
      </c>
      <c r="BF58" s="20"/>
    </row>
    <row r="59" spans="1:64" ht="30" customHeight="1" x14ac:dyDescent="0.25">
      <c r="A59" s="13" t="s">
        <v>262</v>
      </c>
      <c r="B59" s="15" t="s">
        <v>296</v>
      </c>
      <c r="C59" s="15" t="s">
        <v>296</v>
      </c>
      <c r="D59" s="15" t="s">
        <v>289</v>
      </c>
      <c r="E59" s="15" t="s">
        <v>296</v>
      </c>
      <c r="F59" s="15" t="s">
        <v>296</v>
      </c>
      <c r="G59" s="15" t="s">
        <v>296</v>
      </c>
      <c r="H59" s="15" t="s">
        <v>296</v>
      </c>
      <c r="I59" s="15" t="s">
        <v>296</v>
      </c>
      <c r="J59" s="15" t="s">
        <v>296</v>
      </c>
      <c r="K59" s="15" t="s">
        <v>289</v>
      </c>
      <c r="L59" s="15" t="s">
        <v>296</v>
      </c>
      <c r="M59" s="15" t="s">
        <v>296</v>
      </c>
      <c r="N59" s="15" t="s">
        <v>296</v>
      </c>
      <c r="O59" s="15" t="s">
        <v>296</v>
      </c>
      <c r="P59" s="15" t="s">
        <v>296</v>
      </c>
      <c r="Q59" s="15" t="s">
        <v>296</v>
      </c>
      <c r="R59" s="15" t="s">
        <v>296</v>
      </c>
      <c r="S59" s="15" t="s">
        <v>296</v>
      </c>
      <c r="T59" s="15" t="s">
        <v>296</v>
      </c>
      <c r="U59" s="15" t="s">
        <v>296</v>
      </c>
      <c r="V59" s="15" t="s">
        <v>296</v>
      </c>
      <c r="W59" s="15" t="s">
        <v>296</v>
      </c>
      <c r="X59" s="15" t="s">
        <v>296</v>
      </c>
      <c r="Y59" s="15" t="s">
        <v>289</v>
      </c>
      <c r="Z59" s="15" t="s">
        <v>296</v>
      </c>
      <c r="AA59" s="15" t="s">
        <v>296</v>
      </c>
      <c r="AB59" s="15" t="s">
        <v>289</v>
      </c>
      <c r="AC59" s="15" t="s">
        <v>296</v>
      </c>
      <c r="AD59" s="15" t="s">
        <v>296</v>
      </c>
      <c r="AE59" s="15" t="s">
        <v>296</v>
      </c>
      <c r="AF59" s="15" t="s">
        <v>296</v>
      </c>
      <c r="AG59" s="15" t="s">
        <v>296</v>
      </c>
      <c r="AH59" s="15" t="s">
        <v>296</v>
      </c>
      <c r="AI59" s="15" t="s">
        <v>296</v>
      </c>
      <c r="AJ59" s="15" t="s">
        <v>296</v>
      </c>
      <c r="AK59" s="15" t="s">
        <v>296</v>
      </c>
      <c r="AL59" s="15" t="s">
        <v>296</v>
      </c>
      <c r="AM59" s="15" t="s">
        <v>296</v>
      </c>
      <c r="AN59" s="15" t="s">
        <v>296</v>
      </c>
      <c r="AO59" s="15" t="s">
        <v>296</v>
      </c>
      <c r="AP59" s="15" t="s">
        <v>296</v>
      </c>
      <c r="AQ59" s="15" t="s">
        <v>296</v>
      </c>
      <c r="AR59" s="15" t="s">
        <v>296</v>
      </c>
      <c r="AS59" s="15" t="s">
        <v>296</v>
      </c>
      <c r="AT59" s="15" t="s">
        <v>296</v>
      </c>
      <c r="AU59" s="15" t="s">
        <v>296</v>
      </c>
      <c r="AV59" s="15" t="s">
        <v>296</v>
      </c>
      <c r="AW59" s="15" t="s">
        <v>296</v>
      </c>
      <c r="AX59" s="15" t="s">
        <v>296</v>
      </c>
      <c r="AY59" s="15" t="s">
        <v>296</v>
      </c>
      <c r="AZ59" s="15" t="s">
        <v>296</v>
      </c>
      <c r="BA59" s="15" t="s">
        <v>296</v>
      </c>
      <c r="BB59" s="15" t="s">
        <v>296</v>
      </c>
      <c r="BC59" s="15" t="s">
        <v>296</v>
      </c>
      <c r="BD59" s="15" t="s">
        <v>296</v>
      </c>
      <c r="BE59" s="15" t="s">
        <v>296</v>
      </c>
      <c r="BF59" s="15" t="s">
        <v>296</v>
      </c>
      <c r="BG59" s="20"/>
    </row>
    <row r="60" spans="1:64" ht="30" customHeight="1" x14ac:dyDescent="0.25">
      <c r="A60" s="12" t="s">
        <v>263</v>
      </c>
      <c r="B60" s="15" t="s">
        <v>296</v>
      </c>
      <c r="C60" s="15" t="s">
        <v>296</v>
      </c>
      <c r="D60" s="15" t="s">
        <v>289</v>
      </c>
      <c r="E60" s="15" t="s">
        <v>296</v>
      </c>
      <c r="F60" s="15" t="s">
        <v>296</v>
      </c>
      <c r="G60" s="15" t="s">
        <v>296</v>
      </c>
      <c r="H60" s="15" t="s">
        <v>296</v>
      </c>
      <c r="I60" s="15" t="s">
        <v>296</v>
      </c>
      <c r="J60" s="15" t="s">
        <v>296</v>
      </c>
      <c r="K60" s="15" t="s">
        <v>289</v>
      </c>
      <c r="L60" s="15" t="s">
        <v>296</v>
      </c>
      <c r="M60" s="15" t="s">
        <v>296</v>
      </c>
      <c r="N60" s="15" t="s">
        <v>296</v>
      </c>
      <c r="O60" s="15" t="s">
        <v>296</v>
      </c>
      <c r="P60" s="15" t="s">
        <v>296</v>
      </c>
      <c r="Q60" s="15" t="s">
        <v>296</v>
      </c>
      <c r="R60" s="15" t="s">
        <v>296</v>
      </c>
      <c r="S60" s="15" t="s">
        <v>296</v>
      </c>
      <c r="T60" s="15" t="s">
        <v>296</v>
      </c>
      <c r="U60" s="15" t="s">
        <v>296</v>
      </c>
      <c r="V60" s="15" t="s">
        <v>296</v>
      </c>
      <c r="W60" s="15" t="s">
        <v>296</v>
      </c>
      <c r="X60" s="15" t="s">
        <v>296</v>
      </c>
      <c r="Y60" s="15" t="s">
        <v>289</v>
      </c>
      <c r="Z60" s="15" t="s">
        <v>296</v>
      </c>
      <c r="AA60" s="15" t="s">
        <v>296</v>
      </c>
      <c r="AB60" s="15" t="s">
        <v>290</v>
      </c>
      <c r="AC60" s="15" t="s">
        <v>296</v>
      </c>
      <c r="AD60" s="15" t="s">
        <v>296</v>
      </c>
      <c r="AE60" s="15" t="s">
        <v>296</v>
      </c>
      <c r="AF60" s="15" t="s">
        <v>296</v>
      </c>
      <c r="AG60" s="15" t="s">
        <v>296</v>
      </c>
      <c r="AH60" s="15" t="s">
        <v>296</v>
      </c>
      <c r="AI60" s="15" t="s">
        <v>296</v>
      </c>
      <c r="AJ60" s="15" t="s">
        <v>296</v>
      </c>
      <c r="AK60" s="15" t="s">
        <v>296</v>
      </c>
      <c r="AL60" s="15" t="s">
        <v>296</v>
      </c>
      <c r="AM60" s="15" t="s">
        <v>296</v>
      </c>
      <c r="AN60" s="15" t="s">
        <v>296</v>
      </c>
      <c r="AO60" s="15" t="s">
        <v>296</v>
      </c>
      <c r="AP60" s="15" t="s">
        <v>296</v>
      </c>
      <c r="AQ60" s="15" t="s">
        <v>296</v>
      </c>
      <c r="AR60" s="15" t="s">
        <v>296</v>
      </c>
      <c r="AS60" s="15" t="s">
        <v>296</v>
      </c>
      <c r="AT60" s="15" t="s">
        <v>296</v>
      </c>
      <c r="AU60" s="15" t="s">
        <v>296</v>
      </c>
      <c r="AV60" s="15" t="s">
        <v>296</v>
      </c>
      <c r="AW60" s="15" t="s">
        <v>296</v>
      </c>
      <c r="AX60" s="15" t="s">
        <v>296</v>
      </c>
      <c r="AY60" s="15" t="s">
        <v>296</v>
      </c>
      <c r="AZ60" s="15" t="s">
        <v>296</v>
      </c>
      <c r="BA60" s="15" t="s">
        <v>296</v>
      </c>
      <c r="BB60" s="15" t="s">
        <v>296</v>
      </c>
      <c r="BC60" s="15" t="s">
        <v>296</v>
      </c>
      <c r="BD60" s="15" t="s">
        <v>296</v>
      </c>
      <c r="BE60" s="15" t="s">
        <v>296</v>
      </c>
      <c r="BF60" s="15" t="s">
        <v>289</v>
      </c>
      <c r="BG60" s="15" t="s">
        <v>289</v>
      </c>
      <c r="BH60" s="20"/>
    </row>
    <row r="61" spans="1:64" ht="30" customHeight="1" x14ac:dyDescent="0.25">
      <c r="A61" s="13" t="s">
        <v>264</v>
      </c>
      <c r="B61" s="15" t="s">
        <v>296</v>
      </c>
      <c r="C61" s="15" t="s">
        <v>296</v>
      </c>
      <c r="D61" s="15" t="s">
        <v>289</v>
      </c>
      <c r="E61" s="15" t="s">
        <v>296</v>
      </c>
      <c r="F61" s="15" t="s">
        <v>296</v>
      </c>
      <c r="G61" s="15" t="s">
        <v>296</v>
      </c>
      <c r="H61" s="15" t="s">
        <v>296</v>
      </c>
      <c r="I61" s="15" t="s">
        <v>296</v>
      </c>
      <c r="J61" s="15" t="s">
        <v>296</v>
      </c>
      <c r="K61" s="15" t="s">
        <v>289</v>
      </c>
      <c r="L61" s="15" t="s">
        <v>296</v>
      </c>
      <c r="M61" s="15" t="s">
        <v>296</v>
      </c>
      <c r="N61" s="15" t="s">
        <v>296</v>
      </c>
      <c r="O61" s="15" t="s">
        <v>296</v>
      </c>
      <c r="P61" s="15" t="s">
        <v>296</v>
      </c>
      <c r="Q61" s="15" t="s">
        <v>296</v>
      </c>
      <c r="R61" s="15" t="s">
        <v>296</v>
      </c>
      <c r="S61" s="15" t="s">
        <v>296</v>
      </c>
      <c r="T61" s="15" t="s">
        <v>296</v>
      </c>
      <c r="U61" s="15" t="s">
        <v>296</v>
      </c>
      <c r="V61" s="15" t="s">
        <v>296</v>
      </c>
      <c r="W61" s="15" t="s">
        <v>296</v>
      </c>
      <c r="X61" s="15" t="s">
        <v>296</v>
      </c>
      <c r="Y61" s="15" t="s">
        <v>289</v>
      </c>
      <c r="Z61" s="15" t="s">
        <v>296</v>
      </c>
      <c r="AA61" s="15" t="s">
        <v>296</v>
      </c>
      <c r="AB61" s="15" t="s">
        <v>289</v>
      </c>
      <c r="AC61" s="15" t="s">
        <v>296</v>
      </c>
      <c r="AD61" s="15" t="s">
        <v>296</v>
      </c>
      <c r="AE61" s="15" t="s">
        <v>289</v>
      </c>
      <c r="AF61" s="15" t="s">
        <v>296</v>
      </c>
      <c r="AG61" s="15" t="s">
        <v>296</v>
      </c>
      <c r="AH61" s="15" t="s">
        <v>296</v>
      </c>
      <c r="AI61" s="15" t="s">
        <v>296</v>
      </c>
      <c r="AJ61" s="15" t="s">
        <v>296</v>
      </c>
      <c r="AK61" s="15" t="s">
        <v>296</v>
      </c>
      <c r="AL61" s="15" t="s">
        <v>296</v>
      </c>
      <c r="AM61" s="15" t="s">
        <v>296</v>
      </c>
      <c r="AN61" s="15" t="s">
        <v>296</v>
      </c>
      <c r="AO61" s="15" t="s">
        <v>296</v>
      </c>
      <c r="AP61" s="15" t="s">
        <v>296</v>
      </c>
      <c r="AQ61" s="15" t="s">
        <v>296</v>
      </c>
      <c r="AR61" s="15" t="s">
        <v>296</v>
      </c>
      <c r="AS61" s="15" t="s">
        <v>296</v>
      </c>
      <c r="AT61" s="15" t="s">
        <v>296</v>
      </c>
      <c r="AU61" s="15" t="s">
        <v>296</v>
      </c>
      <c r="AV61" s="15" t="s">
        <v>296</v>
      </c>
      <c r="AW61" s="15" t="s">
        <v>296</v>
      </c>
      <c r="AX61" s="15" t="s">
        <v>296</v>
      </c>
      <c r="AY61" s="15" t="s">
        <v>296</v>
      </c>
      <c r="AZ61" s="15" t="s">
        <v>296</v>
      </c>
      <c r="BA61" s="15" t="s">
        <v>296</v>
      </c>
      <c r="BB61" s="15" t="s">
        <v>296</v>
      </c>
      <c r="BC61" s="15" t="s">
        <v>296</v>
      </c>
      <c r="BD61" s="15" t="s">
        <v>296</v>
      </c>
      <c r="BE61" s="15" t="s">
        <v>296</v>
      </c>
      <c r="BF61" s="15" t="s">
        <v>289</v>
      </c>
      <c r="BG61" s="15" t="s">
        <v>289</v>
      </c>
      <c r="BH61" s="15" t="s">
        <v>289</v>
      </c>
      <c r="BI61" s="20"/>
    </row>
    <row r="62" spans="1:64" ht="30" customHeight="1" x14ac:dyDescent="0.25">
      <c r="A62" s="12" t="s">
        <v>265</v>
      </c>
      <c r="B62" s="15" t="s">
        <v>296</v>
      </c>
      <c r="C62" s="15" t="s">
        <v>296</v>
      </c>
      <c r="D62" s="15" t="s">
        <v>290</v>
      </c>
      <c r="E62" s="15" t="s">
        <v>296</v>
      </c>
      <c r="F62" s="15" t="s">
        <v>296</v>
      </c>
      <c r="G62" s="15" t="s">
        <v>296</v>
      </c>
      <c r="H62" s="15" t="s">
        <v>296</v>
      </c>
      <c r="I62" s="15" t="s">
        <v>296</v>
      </c>
      <c r="J62" s="15" t="s">
        <v>290</v>
      </c>
      <c r="K62" s="15" t="s">
        <v>290</v>
      </c>
      <c r="L62" s="15" t="s">
        <v>296</v>
      </c>
      <c r="M62" s="15" t="s">
        <v>296</v>
      </c>
      <c r="N62" s="15" t="s">
        <v>296</v>
      </c>
      <c r="O62" s="15" t="s">
        <v>296</v>
      </c>
      <c r="P62" s="15" t="s">
        <v>296</v>
      </c>
      <c r="Q62" s="15" t="s">
        <v>296</v>
      </c>
      <c r="R62" s="15" t="s">
        <v>296</v>
      </c>
      <c r="S62" s="15" t="s">
        <v>296</v>
      </c>
      <c r="T62" s="15" t="s">
        <v>296</v>
      </c>
      <c r="U62" s="15" t="s">
        <v>296</v>
      </c>
      <c r="V62" s="15" t="s">
        <v>289</v>
      </c>
      <c r="W62" s="15" t="s">
        <v>290</v>
      </c>
      <c r="X62" s="15" t="s">
        <v>289</v>
      </c>
      <c r="Y62" s="15" t="s">
        <v>289</v>
      </c>
      <c r="Z62" s="15" t="s">
        <v>289</v>
      </c>
      <c r="AA62" s="15" t="s">
        <v>289</v>
      </c>
      <c r="AB62" s="15" t="s">
        <v>296</v>
      </c>
      <c r="AC62" s="15" t="s">
        <v>289</v>
      </c>
      <c r="AD62" s="15" t="s">
        <v>289</v>
      </c>
      <c r="AE62" s="15" t="s">
        <v>289</v>
      </c>
      <c r="AF62" s="15" t="s">
        <v>289</v>
      </c>
      <c r="AG62" s="15" t="s">
        <v>290</v>
      </c>
      <c r="AH62" s="15" t="s">
        <v>289</v>
      </c>
      <c r="AI62" s="15" t="s">
        <v>289</v>
      </c>
      <c r="AJ62" s="15" t="s">
        <v>289</v>
      </c>
      <c r="AK62" s="15" t="s">
        <v>289</v>
      </c>
      <c r="AL62" s="15" t="s">
        <v>290</v>
      </c>
      <c r="AM62" s="15" t="s">
        <v>289</v>
      </c>
      <c r="AN62" s="15" t="s">
        <v>290</v>
      </c>
      <c r="AO62" s="15" t="s">
        <v>289</v>
      </c>
      <c r="AP62" s="15" t="s">
        <v>296</v>
      </c>
      <c r="AQ62" s="15" t="s">
        <v>289</v>
      </c>
      <c r="AR62" s="15" t="s">
        <v>290</v>
      </c>
      <c r="AS62" s="15" t="s">
        <v>289</v>
      </c>
      <c r="AT62" s="15" t="s">
        <v>289</v>
      </c>
      <c r="AU62" s="15" t="s">
        <v>290</v>
      </c>
      <c r="AV62" s="15" t="s">
        <v>289</v>
      </c>
      <c r="AW62" s="15" t="s">
        <v>296</v>
      </c>
      <c r="AX62" s="15" t="s">
        <v>290</v>
      </c>
      <c r="AY62" s="15" t="s">
        <v>290</v>
      </c>
      <c r="AZ62" s="15" t="s">
        <v>290</v>
      </c>
      <c r="BA62" s="15" t="s">
        <v>289</v>
      </c>
      <c r="BB62" s="15" t="s">
        <v>289</v>
      </c>
      <c r="BC62" s="15" t="s">
        <v>289</v>
      </c>
      <c r="BD62" s="15" t="s">
        <v>289</v>
      </c>
      <c r="BE62" s="15" t="s">
        <v>289</v>
      </c>
      <c r="BF62" s="15" t="s">
        <v>296</v>
      </c>
      <c r="BG62" s="15" t="s">
        <v>296</v>
      </c>
      <c r="BH62" s="15" t="s">
        <v>290</v>
      </c>
      <c r="BI62" s="15" t="s">
        <v>289</v>
      </c>
      <c r="BJ62" s="20"/>
    </row>
    <row r="63" spans="1:64" ht="30" customHeight="1" x14ac:dyDescent="0.25">
      <c r="A63" s="13" t="s">
        <v>266</v>
      </c>
      <c r="B63" s="15" t="s">
        <v>296</v>
      </c>
      <c r="C63" s="15" t="s">
        <v>296</v>
      </c>
      <c r="D63" s="15" t="s">
        <v>290</v>
      </c>
      <c r="E63" s="15" t="s">
        <v>296</v>
      </c>
      <c r="F63" s="15" t="s">
        <v>296</v>
      </c>
      <c r="G63" s="15" t="s">
        <v>296</v>
      </c>
      <c r="H63" s="15" t="s">
        <v>296</v>
      </c>
      <c r="I63" s="15" t="s">
        <v>296</v>
      </c>
      <c r="J63" s="15" t="s">
        <v>296</v>
      </c>
      <c r="K63" s="15" t="s">
        <v>290</v>
      </c>
      <c r="L63" s="15" t="s">
        <v>296</v>
      </c>
      <c r="M63" s="15" t="s">
        <v>296</v>
      </c>
      <c r="N63" s="15" t="s">
        <v>296</v>
      </c>
      <c r="O63" s="15" t="s">
        <v>296</v>
      </c>
      <c r="P63" s="15" t="s">
        <v>296</v>
      </c>
      <c r="Q63" s="15" t="s">
        <v>296</v>
      </c>
      <c r="R63" s="15" t="s">
        <v>296</v>
      </c>
      <c r="S63" s="15" t="s">
        <v>296</v>
      </c>
      <c r="T63" s="15" t="s">
        <v>296</v>
      </c>
      <c r="U63" s="15" t="s">
        <v>296</v>
      </c>
      <c r="V63" s="15" t="s">
        <v>289</v>
      </c>
      <c r="W63" s="15" t="s">
        <v>290</v>
      </c>
      <c r="X63" s="15" t="s">
        <v>296</v>
      </c>
      <c r="Y63" s="15" t="s">
        <v>289</v>
      </c>
      <c r="Z63" s="15" t="s">
        <v>289</v>
      </c>
      <c r="AA63" s="15" t="s">
        <v>289</v>
      </c>
      <c r="AB63" s="15" t="s">
        <v>296</v>
      </c>
      <c r="AC63" s="15" t="s">
        <v>289</v>
      </c>
      <c r="AD63" s="15" t="s">
        <v>289</v>
      </c>
      <c r="AE63" s="15" t="s">
        <v>289</v>
      </c>
      <c r="AF63" s="15" t="s">
        <v>289</v>
      </c>
      <c r="AG63" s="15" t="s">
        <v>290</v>
      </c>
      <c r="AH63" s="15" t="s">
        <v>289</v>
      </c>
      <c r="AI63" s="15" t="s">
        <v>289</v>
      </c>
      <c r="AJ63" s="15" t="s">
        <v>289</v>
      </c>
      <c r="AK63" s="15" t="s">
        <v>289</v>
      </c>
      <c r="AL63" s="15" t="s">
        <v>290</v>
      </c>
      <c r="AM63" s="15" t="s">
        <v>289</v>
      </c>
      <c r="AN63" s="15" t="s">
        <v>290</v>
      </c>
      <c r="AO63" s="15" t="s">
        <v>289</v>
      </c>
      <c r="AP63" s="15" t="s">
        <v>296</v>
      </c>
      <c r="AQ63" s="15" t="s">
        <v>289</v>
      </c>
      <c r="AR63" s="15" t="s">
        <v>290</v>
      </c>
      <c r="AS63" s="15" t="s">
        <v>289</v>
      </c>
      <c r="AT63" s="15" t="s">
        <v>289</v>
      </c>
      <c r="AU63" s="15" t="s">
        <v>290</v>
      </c>
      <c r="AV63" s="15" t="s">
        <v>289</v>
      </c>
      <c r="AW63" s="15" t="s">
        <v>296</v>
      </c>
      <c r="AX63" s="15" t="s">
        <v>290</v>
      </c>
      <c r="AY63" s="15" t="s">
        <v>290</v>
      </c>
      <c r="AZ63" s="15" t="s">
        <v>290</v>
      </c>
      <c r="BA63" s="15" t="s">
        <v>289</v>
      </c>
      <c r="BB63" s="15" t="s">
        <v>289</v>
      </c>
      <c r="BC63" s="15" t="s">
        <v>289</v>
      </c>
      <c r="BD63" s="15" t="s">
        <v>289</v>
      </c>
      <c r="BE63" s="15" t="s">
        <v>289</v>
      </c>
      <c r="BF63" s="15" t="s">
        <v>296</v>
      </c>
      <c r="BG63" s="15" t="s">
        <v>296</v>
      </c>
      <c r="BH63" s="15" t="s">
        <v>290</v>
      </c>
      <c r="BI63" s="15" t="s">
        <v>289</v>
      </c>
      <c r="BJ63" s="15" t="s">
        <v>289</v>
      </c>
      <c r="BK63" s="20"/>
    </row>
    <row r="64" spans="1:64" ht="30" customHeight="1" x14ac:dyDescent="0.25">
      <c r="A64" s="12" t="s">
        <v>267</v>
      </c>
      <c r="B64" s="15" t="s">
        <v>296</v>
      </c>
      <c r="C64" s="15" t="s">
        <v>296</v>
      </c>
      <c r="D64" s="15" t="s">
        <v>289</v>
      </c>
      <c r="E64" s="15" t="s">
        <v>296</v>
      </c>
      <c r="F64" s="15" t="s">
        <v>296</v>
      </c>
      <c r="G64" s="15" t="s">
        <v>296</v>
      </c>
      <c r="H64" s="15" t="s">
        <v>296</v>
      </c>
      <c r="I64" s="15" t="s">
        <v>296</v>
      </c>
      <c r="J64" s="15" t="s">
        <v>296</v>
      </c>
      <c r="K64" s="15" t="s">
        <v>289</v>
      </c>
      <c r="L64" s="15" t="s">
        <v>296</v>
      </c>
      <c r="M64" s="15" t="s">
        <v>296</v>
      </c>
      <c r="N64" s="15" t="s">
        <v>296</v>
      </c>
      <c r="O64" s="15" t="s">
        <v>296</v>
      </c>
      <c r="P64" s="15" t="s">
        <v>296</v>
      </c>
      <c r="Q64" s="15" t="s">
        <v>296</v>
      </c>
      <c r="R64" s="15" t="s">
        <v>296</v>
      </c>
      <c r="S64" s="15" t="s">
        <v>296</v>
      </c>
      <c r="T64" s="15" t="s">
        <v>296</v>
      </c>
      <c r="U64" s="15" t="s">
        <v>296</v>
      </c>
      <c r="V64" s="15" t="s">
        <v>289</v>
      </c>
      <c r="W64" s="15" t="s">
        <v>289</v>
      </c>
      <c r="X64" s="15" t="s">
        <v>289</v>
      </c>
      <c r="Y64" s="15" t="s">
        <v>289</v>
      </c>
      <c r="Z64" s="15" t="s">
        <v>289</v>
      </c>
      <c r="AA64" s="15" t="s">
        <v>289</v>
      </c>
      <c r="AB64" s="15" t="s">
        <v>296</v>
      </c>
      <c r="AC64" s="15" t="s">
        <v>289</v>
      </c>
      <c r="AD64" s="15" t="s">
        <v>289</v>
      </c>
      <c r="AE64" s="15" t="s">
        <v>289</v>
      </c>
      <c r="AF64" s="15" t="s">
        <v>289</v>
      </c>
      <c r="AG64" s="15" t="s">
        <v>296</v>
      </c>
      <c r="AH64" s="15" t="s">
        <v>289</v>
      </c>
      <c r="AI64" s="15" t="s">
        <v>289</v>
      </c>
      <c r="AJ64" s="15" t="s">
        <v>289</v>
      </c>
      <c r="AK64" s="15" t="s">
        <v>289</v>
      </c>
      <c r="AL64" s="15" t="s">
        <v>290</v>
      </c>
      <c r="AM64" s="15" t="s">
        <v>289</v>
      </c>
      <c r="AN64" s="15" t="s">
        <v>290</v>
      </c>
      <c r="AO64" s="15" t="s">
        <v>289</v>
      </c>
      <c r="AP64" s="15" t="s">
        <v>296</v>
      </c>
      <c r="AQ64" s="15" t="s">
        <v>289</v>
      </c>
      <c r="AR64" s="15" t="s">
        <v>290</v>
      </c>
      <c r="AS64" s="15" t="s">
        <v>289</v>
      </c>
      <c r="AT64" s="15" t="s">
        <v>289</v>
      </c>
      <c r="AU64" s="15" t="s">
        <v>290</v>
      </c>
      <c r="AV64" s="15" t="s">
        <v>289</v>
      </c>
      <c r="AW64" s="15" t="s">
        <v>296</v>
      </c>
      <c r="AX64" s="15" t="s">
        <v>289</v>
      </c>
      <c r="AY64" s="15" t="s">
        <v>289</v>
      </c>
      <c r="AZ64" s="15" t="s">
        <v>289</v>
      </c>
      <c r="BA64" s="15" t="s">
        <v>289</v>
      </c>
      <c r="BB64" s="15" t="s">
        <v>289</v>
      </c>
      <c r="BC64" s="15" t="s">
        <v>289</v>
      </c>
      <c r="BD64" s="15" t="s">
        <v>289</v>
      </c>
      <c r="BE64" s="15" t="s">
        <v>289</v>
      </c>
      <c r="BF64" s="15" t="s">
        <v>296</v>
      </c>
      <c r="BG64" s="15" t="s">
        <v>296</v>
      </c>
      <c r="BH64" s="15" t="s">
        <v>290</v>
      </c>
      <c r="BI64" s="15" t="s">
        <v>290</v>
      </c>
      <c r="BJ64" s="15" t="s">
        <v>290</v>
      </c>
      <c r="BK64" s="15" t="s">
        <v>289</v>
      </c>
      <c r="BL64" s="20"/>
    </row>
    <row r="65" spans="1:80" ht="30" customHeight="1" x14ac:dyDescent="0.25">
      <c r="A65" s="13" t="s">
        <v>268</v>
      </c>
      <c r="B65" s="15" t="s">
        <v>296</v>
      </c>
      <c r="C65" s="15" t="s">
        <v>296</v>
      </c>
      <c r="D65" s="15" t="s">
        <v>289</v>
      </c>
      <c r="E65" s="15" t="s">
        <v>296</v>
      </c>
      <c r="F65" s="15" t="s">
        <v>296</v>
      </c>
      <c r="G65" s="15" t="s">
        <v>296</v>
      </c>
      <c r="H65" s="15" t="s">
        <v>296</v>
      </c>
      <c r="I65" s="15" t="s">
        <v>296</v>
      </c>
      <c r="J65" s="15" t="s">
        <v>296</v>
      </c>
      <c r="K65" s="15" t="s">
        <v>290</v>
      </c>
      <c r="L65" s="15" t="s">
        <v>296</v>
      </c>
      <c r="M65" s="15" t="s">
        <v>296</v>
      </c>
      <c r="N65" s="15" t="s">
        <v>296</v>
      </c>
      <c r="O65" s="15" t="s">
        <v>296</v>
      </c>
      <c r="P65" s="15" t="s">
        <v>296</v>
      </c>
      <c r="Q65" s="15" t="s">
        <v>296</v>
      </c>
      <c r="R65" s="15" t="s">
        <v>296</v>
      </c>
      <c r="S65" s="15" t="s">
        <v>296</v>
      </c>
      <c r="T65" s="15" t="s">
        <v>296</v>
      </c>
      <c r="U65" s="15" t="s">
        <v>296</v>
      </c>
      <c r="V65" s="15" t="s">
        <v>289</v>
      </c>
      <c r="W65" s="15" t="s">
        <v>289</v>
      </c>
      <c r="X65" s="15" t="s">
        <v>289</v>
      </c>
      <c r="Y65" s="15" t="s">
        <v>289</v>
      </c>
      <c r="Z65" s="15" t="s">
        <v>289</v>
      </c>
      <c r="AA65" s="15" t="s">
        <v>289</v>
      </c>
      <c r="AB65" s="15" t="s">
        <v>296</v>
      </c>
      <c r="AC65" s="15" t="s">
        <v>289</v>
      </c>
      <c r="AD65" s="15" t="s">
        <v>289</v>
      </c>
      <c r="AE65" s="15" t="s">
        <v>289</v>
      </c>
      <c r="AF65" s="15" t="s">
        <v>289</v>
      </c>
      <c r="AG65" s="15" t="s">
        <v>290</v>
      </c>
      <c r="AH65" s="15" t="s">
        <v>289</v>
      </c>
      <c r="AI65" s="15" t="s">
        <v>289</v>
      </c>
      <c r="AJ65" s="15" t="s">
        <v>289</v>
      </c>
      <c r="AK65" s="15" t="s">
        <v>289</v>
      </c>
      <c r="AL65" s="15" t="s">
        <v>290</v>
      </c>
      <c r="AM65" s="15" t="s">
        <v>289</v>
      </c>
      <c r="AN65" s="15" t="s">
        <v>290</v>
      </c>
      <c r="AO65" s="15" t="s">
        <v>289</v>
      </c>
      <c r="AP65" s="15" t="s">
        <v>296</v>
      </c>
      <c r="AQ65" s="15" t="s">
        <v>289</v>
      </c>
      <c r="AR65" s="15" t="s">
        <v>290</v>
      </c>
      <c r="AS65" s="15" t="s">
        <v>289</v>
      </c>
      <c r="AT65" s="15" t="s">
        <v>289</v>
      </c>
      <c r="AU65" s="15" t="s">
        <v>290</v>
      </c>
      <c r="AV65" s="15" t="s">
        <v>289</v>
      </c>
      <c r="AW65" s="15" t="s">
        <v>296</v>
      </c>
      <c r="AX65" s="15" t="s">
        <v>289</v>
      </c>
      <c r="AY65" s="15" t="s">
        <v>289</v>
      </c>
      <c r="AZ65" s="15" t="s">
        <v>289</v>
      </c>
      <c r="BA65" s="15" t="s">
        <v>289</v>
      </c>
      <c r="BB65" s="15" t="s">
        <v>289</v>
      </c>
      <c r="BC65" s="15" t="s">
        <v>289</v>
      </c>
      <c r="BD65" s="15" t="s">
        <v>289</v>
      </c>
      <c r="BE65" s="15" t="s">
        <v>289</v>
      </c>
      <c r="BF65" s="15" t="s">
        <v>296</v>
      </c>
      <c r="BG65" s="15" t="s">
        <v>296</v>
      </c>
      <c r="BH65" s="15" t="s">
        <v>290</v>
      </c>
      <c r="BI65" s="15" t="s">
        <v>290</v>
      </c>
      <c r="BJ65" s="15" t="s">
        <v>290</v>
      </c>
      <c r="BK65" s="15" t="s">
        <v>289</v>
      </c>
      <c r="BL65" s="15" t="s">
        <v>289</v>
      </c>
      <c r="BM65" s="20"/>
    </row>
    <row r="66" spans="1:80" ht="30" customHeight="1" x14ac:dyDescent="0.25">
      <c r="A66" s="12" t="s">
        <v>269</v>
      </c>
      <c r="B66" s="15" t="s">
        <v>296</v>
      </c>
      <c r="C66" s="15" t="s">
        <v>296</v>
      </c>
      <c r="D66" s="15" t="s">
        <v>289</v>
      </c>
      <c r="E66" s="15" t="s">
        <v>296</v>
      </c>
      <c r="F66" s="15" t="s">
        <v>296</v>
      </c>
      <c r="G66" s="15" t="s">
        <v>296</v>
      </c>
      <c r="H66" s="15" t="s">
        <v>296</v>
      </c>
      <c r="I66" s="15" t="s">
        <v>296</v>
      </c>
      <c r="J66" s="15" t="s">
        <v>296</v>
      </c>
      <c r="K66" s="15" t="s">
        <v>289</v>
      </c>
      <c r="L66" s="15" t="s">
        <v>296</v>
      </c>
      <c r="M66" s="15" t="s">
        <v>296</v>
      </c>
      <c r="N66" s="15" t="s">
        <v>296</v>
      </c>
      <c r="O66" s="15" t="s">
        <v>289</v>
      </c>
      <c r="P66" s="15" t="s">
        <v>289</v>
      </c>
      <c r="Q66" s="15" t="s">
        <v>290</v>
      </c>
      <c r="R66" s="15" t="s">
        <v>290</v>
      </c>
      <c r="S66" s="15" t="s">
        <v>290</v>
      </c>
      <c r="T66" s="15" t="s">
        <v>290</v>
      </c>
      <c r="U66" s="15" t="s">
        <v>289</v>
      </c>
      <c r="V66" s="15" t="s">
        <v>289</v>
      </c>
      <c r="W66" s="15" t="s">
        <v>289</v>
      </c>
      <c r="X66" s="15" t="s">
        <v>289</v>
      </c>
      <c r="Y66" s="15" t="s">
        <v>289</v>
      </c>
      <c r="Z66" s="15" t="s">
        <v>289</v>
      </c>
      <c r="AA66" s="15" t="s">
        <v>289</v>
      </c>
      <c r="AB66" s="15" t="s">
        <v>296</v>
      </c>
      <c r="AC66" s="15" t="s">
        <v>289</v>
      </c>
      <c r="AD66" s="15" t="s">
        <v>289</v>
      </c>
      <c r="AE66" s="15" t="s">
        <v>289</v>
      </c>
      <c r="AF66" s="15" t="s">
        <v>289</v>
      </c>
      <c r="AG66" s="15" t="s">
        <v>296</v>
      </c>
      <c r="AH66" s="15" t="s">
        <v>296</v>
      </c>
      <c r="AI66" s="15" t="s">
        <v>289</v>
      </c>
      <c r="AJ66" s="15" t="s">
        <v>289</v>
      </c>
      <c r="AK66" s="15" t="s">
        <v>289</v>
      </c>
      <c r="AL66" s="15" t="s">
        <v>290</v>
      </c>
      <c r="AM66" s="15" t="s">
        <v>289</v>
      </c>
      <c r="AN66" s="15" t="s">
        <v>290</v>
      </c>
      <c r="AO66" s="15" t="s">
        <v>289</v>
      </c>
      <c r="AP66" s="15" t="s">
        <v>289</v>
      </c>
      <c r="AQ66" s="15" t="s">
        <v>289</v>
      </c>
      <c r="AR66" s="15" t="s">
        <v>290</v>
      </c>
      <c r="AS66" s="15" t="s">
        <v>290</v>
      </c>
      <c r="AT66" s="15" t="s">
        <v>289</v>
      </c>
      <c r="AU66" s="15" t="s">
        <v>290</v>
      </c>
      <c r="AV66" s="15" t="s">
        <v>289</v>
      </c>
      <c r="AW66" s="15" t="s">
        <v>296</v>
      </c>
      <c r="AX66" s="15" t="s">
        <v>289</v>
      </c>
      <c r="AY66" s="15" t="s">
        <v>289</v>
      </c>
      <c r="AZ66" s="15" t="s">
        <v>289</v>
      </c>
      <c r="BA66" s="15" t="s">
        <v>289</v>
      </c>
      <c r="BB66" s="15" t="s">
        <v>296</v>
      </c>
      <c r="BC66" s="15" t="s">
        <v>289</v>
      </c>
      <c r="BD66" s="15" t="s">
        <v>289</v>
      </c>
      <c r="BE66" s="15" t="s">
        <v>296</v>
      </c>
      <c r="BF66" s="15" t="s">
        <v>296</v>
      </c>
      <c r="BG66" s="15" t="s">
        <v>296</v>
      </c>
      <c r="BH66" s="15" t="s">
        <v>290</v>
      </c>
      <c r="BI66" s="15" t="s">
        <v>290</v>
      </c>
      <c r="BJ66" s="15" t="s">
        <v>296</v>
      </c>
      <c r="BK66" s="15" t="s">
        <v>296</v>
      </c>
      <c r="BL66" s="15" t="s">
        <v>289</v>
      </c>
      <c r="BM66" s="15" t="s">
        <v>289</v>
      </c>
      <c r="BN66" s="20"/>
    </row>
    <row r="67" spans="1:80" ht="30" customHeight="1" x14ac:dyDescent="0.25">
      <c r="A67" s="13" t="s">
        <v>270</v>
      </c>
      <c r="B67" s="15" t="s">
        <v>296</v>
      </c>
      <c r="C67" s="15" t="s">
        <v>296</v>
      </c>
      <c r="D67" s="15" t="s">
        <v>289</v>
      </c>
      <c r="E67" s="15" t="s">
        <v>296</v>
      </c>
      <c r="F67" s="15" t="s">
        <v>296</v>
      </c>
      <c r="G67" s="15" t="s">
        <v>296</v>
      </c>
      <c r="H67" s="15" t="s">
        <v>296</v>
      </c>
      <c r="I67" s="15" t="s">
        <v>296</v>
      </c>
      <c r="J67" s="15" t="s">
        <v>290</v>
      </c>
      <c r="K67" s="15" t="s">
        <v>289</v>
      </c>
      <c r="L67" s="15" t="s">
        <v>296</v>
      </c>
      <c r="M67" s="15" t="s">
        <v>296</v>
      </c>
      <c r="N67" s="15" t="s">
        <v>296</v>
      </c>
      <c r="O67" s="15" t="s">
        <v>290</v>
      </c>
      <c r="P67" s="15" t="s">
        <v>290</v>
      </c>
      <c r="Q67" s="15" t="s">
        <v>290</v>
      </c>
      <c r="R67" s="15" t="s">
        <v>290</v>
      </c>
      <c r="S67" s="15" t="s">
        <v>290</v>
      </c>
      <c r="T67" s="15" t="s">
        <v>290</v>
      </c>
      <c r="U67" s="15" t="s">
        <v>289</v>
      </c>
      <c r="V67" s="15" t="s">
        <v>289</v>
      </c>
      <c r="W67" s="15" t="s">
        <v>289</v>
      </c>
      <c r="X67" s="15" t="s">
        <v>289</v>
      </c>
      <c r="Y67" s="15" t="s">
        <v>289</v>
      </c>
      <c r="Z67" s="15" t="s">
        <v>296</v>
      </c>
      <c r="AA67" s="15" t="s">
        <v>289</v>
      </c>
      <c r="AB67" s="15" t="s">
        <v>289</v>
      </c>
      <c r="AC67" s="15" t="s">
        <v>289</v>
      </c>
      <c r="AD67" s="15" t="s">
        <v>289</v>
      </c>
      <c r="AE67" s="15" t="s">
        <v>289</v>
      </c>
      <c r="AF67" s="15" t="s">
        <v>289</v>
      </c>
      <c r="AG67" s="15" t="s">
        <v>289</v>
      </c>
      <c r="AH67" s="15" t="s">
        <v>289</v>
      </c>
      <c r="AI67" s="15" t="s">
        <v>289</v>
      </c>
      <c r="AJ67" s="15" t="s">
        <v>289</v>
      </c>
      <c r="AK67" s="15" t="s">
        <v>289</v>
      </c>
      <c r="AL67" s="15" t="s">
        <v>290</v>
      </c>
      <c r="AM67" s="15" t="s">
        <v>289</v>
      </c>
      <c r="AN67" s="15" t="s">
        <v>290</v>
      </c>
      <c r="AO67" s="15" t="s">
        <v>289</v>
      </c>
      <c r="AP67" s="15" t="s">
        <v>289</v>
      </c>
      <c r="AQ67" s="15" t="s">
        <v>289</v>
      </c>
      <c r="AR67" s="15" t="s">
        <v>290</v>
      </c>
      <c r="AS67" s="15" t="s">
        <v>290</v>
      </c>
      <c r="AT67" s="15" t="s">
        <v>289</v>
      </c>
      <c r="AU67" s="15" t="s">
        <v>290</v>
      </c>
      <c r="AV67" s="15" t="s">
        <v>289</v>
      </c>
      <c r="AW67" s="15" t="s">
        <v>296</v>
      </c>
      <c r="AX67" s="15" t="s">
        <v>289</v>
      </c>
      <c r="AY67" s="15" t="s">
        <v>289</v>
      </c>
      <c r="AZ67" s="15" t="s">
        <v>289</v>
      </c>
      <c r="BA67" s="15" t="s">
        <v>289</v>
      </c>
      <c r="BB67" s="15" t="s">
        <v>296</v>
      </c>
      <c r="BC67" s="15" t="s">
        <v>289</v>
      </c>
      <c r="BD67" s="15" t="s">
        <v>289</v>
      </c>
      <c r="BE67" s="15" t="s">
        <v>296</v>
      </c>
      <c r="BF67" s="15" t="s">
        <v>296</v>
      </c>
      <c r="BG67" s="15" t="s">
        <v>296</v>
      </c>
      <c r="BH67" s="15" t="s">
        <v>290</v>
      </c>
      <c r="BI67" s="15" t="s">
        <v>290</v>
      </c>
      <c r="BJ67" s="15" t="s">
        <v>296</v>
      </c>
      <c r="BK67" s="15" t="s">
        <v>296</v>
      </c>
      <c r="BL67" s="15" t="s">
        <v>289</v>
      </c>
      <c r="BM67" s="15" t="s">
        <v>289</v>
      </c>
      <c r="BN67" s="15" t="s">
        <v>289</v>
      </c>
      <c r="BO67" s="20"/>
    </row>
    <row r="68" spans="1:80" ht="30" customHeight="1" x14ac:dyDescent="0.25">
      <c r="A68" s="12" t="s">
        <v>271</v>
      </c>
      <c r="B68" s="15" t="s">
        <v>296</v>
      </c>
      <c r="C68" s="15" t="s">
        <v>296</v>
      </c>
      <c r="D68" s="15" t="s">
        <v>289</v>
      </c>
      <c r="E68" s="15" t="s">
        <v>296</v>
      </c>
      <c r="F68" s="15" t="s">
        <v>296</v>
      </c>
      <c r="G68" s="15" t="s">
        <v>296</v>
      </c>
      <c r="H68" s="15" t="s">
        <v>296</v>
      </c>
      <c r="I68" s="15" t="s">
        <v>296</v>
      </c>
      <c r="J68" s="15" t="s">
        <v>290</v>
      </c>
      <c r="K68" s="15" t="s">
        <v>289</v>
      </c>
      <c r="L68" s="15" t="s">
        <v>296</v>
      </c>
      <c r="M68" s="15" t="s">
        <v>296</v>
      </c>
      <c r="N68" s="15" t="s">
        <v>296</v>
      </c>
      <c r="O68" s="15" t="s">
        <v>296</v>
      </c>
      <c r="P68" s="15" t="s">
        <v>296</v>
      </c>
      <c r="Q68" s="15" t="s">
        <v>296</v>
      </c>
      <c r="R68" s="15" t="s">
        <v>296</v>
      </c>
      <c r="S68" s="15" t="s">
        <v>296</v>
      </c>
      <c r="T68" s="15" t="s">
        <v>296</v>
      </c>
      <c r="U68" s="15" t="s">
        <v>289</v>
      </c>
      <c r="V68" s="15" t="s">
        <v>289</v>
      </c>
      <c r="W68" s="15" t="s">
        <v>289</v>
      </c>
      <c r="X68" s="15" t="s">
        <v>289</v>
      </c>
      <c r="Y68" s="15" t="s">
        <v>289</v>
      </c>
      <c r="Z68" s="15" t="s">
        <v>289</v>
      </c>
      <c r="AA68" s="15" t="s">
        <v>289</v>
      </c>
      <c r="AB68" s="15" t="s">
        <v>296</v>
      </c>
      <c r="AC68" s="15" t="s">
        <v>289</v>
      </c>
      <c r="AD68" s="15" t="s">
        <v>289</v>
      </c>
      <c r="AE68" s="15" t="s">
        <v>289</v>
      </c>
      <c r="AF68" s="15" t="s">
        <v>289</v>
      </c>
      <c r="AG68" s="15" t="s">
        <v>290</v>
      </c>
      <c r="AH68" s="15" t="s">
        <v>289</v>
      </c>
      <c r="AI68" s="15" t="s">
        <v>289</v>
      </c>
      <c r="AJ68" s="15" t="s">
        <v>289</v>
      </c>
      <c r="AK68" s="15" t="s">
        <v>289</v>
      </c>
      <c r="AL68" s="15" t="s">
        <v>290</v>
      </c>
      <c r="AM68" s="15" t="s">
        <v>289</v>
      </c>
      <c r="AN68" s="15" t="s">
        <v>290</v>
      </c>
      <c r="AO68" s="15" t="s">
        <v>289</v>
      </c>
      <c r="AP68" s="15" t="s">
        <v>289</v>
      </c>
      <c r="AQ68" s="15" t="s">
        <v>289</v>
      </c>
      <c r="AR68" s="15" t="s">
        <v>290</v>
      </c>
      <c r="AS68" s="15" t="s">
        <v>290</v>
      </c>
      <c r="AT68" s="15" t="s">
        <v>289</v>
      </c>
      <c r="AU68" s="15" t="s">
        <v>290</v>
      </c>
      <c r="AV68" s="15" t="s">
        <v>289</v>
      </c>
      <c r="AW68" s="15" t="s">
        <v>296</v>
      </c>
      <c r="AX68" s="15" t="s">
        <v>289</v>
      </c>
      <c r="AY68" s="15" t="s">
        <v>289</v>
      </c>
      <c r="AZ68" s="15" t="s">
        <v>289</v>
      </c>
      <c r="BA68" s="15" t="s">
        <v>289</v>
      </c>
      <c r="BB68" s="15" t="s">
        <v>289</v>
      </c>
      <c r="BC68" s="15" t="s">
        <v>289</v>
      </c>
      <c r="BD68" s="15" t="s">
        <v>289</v>
      </c>
      <c r="BE68" s="15" t="s">
        <v>289</v>
      </c>
      <c r="BF68" s="15" t="s">
        <v>296</v>
      </c>
      <c r="BG68" s="15" t="s">
        <v>296</v>
      </c>
      <c r="BH68" s="15" t="s">
        <v>290</v>
      </c>
      <c r="BI68" s="15" t="s">
        <v>290</v>
      </c>
      <c r="BJ68" s="15" t="s">
        <v>290</v>
      </c>
      <c r="BK68" s="15" t="s">
        <v>296</v>
      </c>
      <c r="BL68" s="15" t="s">
        <v>289</v>
      </c>
      <c r="BM68" s="15" t="s">
        <v>289</v>
      </c>
      <c r="BN68" s="15" t="s">
        <v>289</v>
      </c>
      <c r="BO68" s="15" t="s">
        <v>289</v>
      </c>
      <c r="BP68" s="20"/>
    </row>
    <row r="69" spans="1:80" ht="30" customHeight="1" x14ac:dyDescent="0.25">
      <c r="A69" s="13" t="s">
        <v>272</v>
      </c>
      <c r="B69" s="15" t="s">
        <v>296</v>
      </c>
      <c r="C69" s="15" t="s">
        <v>296</v>
      </c>
      <c r="D69" s="15" t="s">
        <v>289</v>
      </c>
      <c r="E69" s="15" t="s">
        <v>296</v>
      </c>
      <c r="F69" s="15" t="s">
        <v>296</v>
      </c>
      <c r="G69" s="15" t="s">
        <v>296</v>
      </c>
      <c r="H69" s="15" t="s">
        <v>296</v>
      </c>
      <c r="I69" s="15" t="s">
        <v>296</v>
      </c>
      <c r="J69" s="15" t="s">
        <v>296</v>
      </c>
      <c r="K69" s="15" t="s">
        <v>289</v>
      </c>
      <c r="L69" s="15" t="s">
        <v>296</v>
      </c>
      <c r="M69" s="15" t="s">
        <v>296</v>
      </c>
      <c r="N69" s="15" t="s">
        <v>296</v>
      </c>
      <c r="O69" s="15" t="s">
        <v>296</v>
      </c>
      <c r="P69" s="15" t="s">
        <v>296</v>
      </c>
      <c r="Q69" s="15" t="s">
        <v>296</v>
      </c>
      <c r="R69" s="15" t="s">
        <v>296</v>
      </c>
      <c r="S69" s="15" t="s">
        <v>289</v>
      </c>
      <c r="T69" s="15" t="s">
        <v>289</v>
      </c>
      <c r="U69" s="15" t="s">
        <v>289</v>
      </c>
      <c r="V69" s="15" t="s">
        <v>289</v>
      </c>
      <c r="W69" s="15" t="s">
        <v>289</v>
      </c>
      <c r="X69" s="15" t="s">
        <v>289</v>
      </c>
      <c r="Y69" s="15" t="s">
        <v>289</v>
      </c>
      <c r="Z69" s="15" t="s">
        <v>296</v>
      </c>
      <c r="AA69" s="15" t="s">
        <v>289</v>
      </c>
      <c r="AB69" s="15" t="s">
        <v>296</v>
      </c>
      <c r="AC69" s="15" t="s">
        <v>296</v>
      </c>
      <c r="AD69" s="15" t="s">
        <v>289</v>
      </c>
      <c r="AE69" s="15" t="s">
        <v>289</v>
      </c>
      <c r="AF69" s="15" t="s">
        <v>289</v>
      </c>
      <c r="AG69" s="15" t="s">
        <v>296</v>
      </c>
      <c r="AH69" s="15" t="s">
        <v>296</v>
      </c>
      <c r="AI69" s="15" t="s">
        <v>289</v>
      </c>
      <c r="AJ69" s="15" t="s">
        <v>289</v>
      </c>
      <c r="AK69" s="15" t="s">
        <v>289</v>
      </c>
      <c r="AL69" s="15" t="s">
        <v>290</v>
      </c>
      <c r="AM69" s="15" t="s">
        <v>289</v>
      </c>
      <c r="AN69" s="15" t="s">
        <v>290</v>
      </c>
      <c r="AO69" s="15" t="s">
        <v>289</v>
      </c>
      <c r="AP69" s="15" t="s">
        <v>289</v>
      </c>
      <c r="AQ69" s="15" t="s">
        <v>289</v>
      </c>
      <c r="AR69" s="15" t="s">
        <v>290</v>
      </c>
      <c r="AS69" s="15" t="s">
        <v>290</v>
      </c>
      <c r="AT69" s="15" t="s">
        <v>289</v>
      </c>
      <c r="AU69" s="15" t="s">
        <v>290</v>
      </c>
      <c r="AV69" s="15" t="s">
        <v>289</v>
      </c>
      <c r="AW69" s="15" t="s">
        <v>296</v>
      </c>
      <c r="AX69" s="15" t="s">
        <v>289</v>
      </c>
      <c r="AY69" s="15" t="s">
        <v>289</v>
      </c>
      <c r="AZ69" s="15" t="s">
        <v>289</v>
      </c>
      <c r="BA69" s="15" t="s">
        <v>289</v>
      </c>
      <c r="BB69" s="15" t="s">
        <v>296</v>
      </c>
      <c r="BC69" s="15" t="s">
        <v>289</v>
      </c>
      <c r="BD69" s="15" t="s">
        <v>289</v>
      </c>
      <c r="BE69" s="15" t="s">
        <v>289</v>
      </c>
      <c r="BF69" s="15" t="s">
        <v>296</v>
      </c>
      <c r="BG69" s="15" t="s">
        <v>296</v>
      </c>
      <c r="BH69" s="15" t="s">
        <v>290</v>
      </c>
      <c r="BI69" s="15" t="s">
        <v>290</v>
      </c>
      <c r="BJ69" s="15" t="s">
        <v>296</v>
      </c>
      <c r="BK69" s="15" t="s">
        <v>296</v>
      </c>
      <c r="BL69" s="15" t="s">
        <v>289</v>
      </c>
      <c r="BM69" s="15" t="s">
        <v>289</v>
      </c>
      <c r="BN69" s="15" t="s">
        <v>289</v>
      </c>
      <c r="BO69" s="15" t="s">
        <v>289</v>
      </c>
      <c r="BP69" s="15" t="s">
        <v>289</v>
      </c>
      <c r="BQ69" s="20"/>
    </row>
    <row r="70" spans="1:80" ht="30" customHeight="1" x14ac:dyDescent="0.25">
      <c r="A70" s="12" t="s">
        <v>273</v>
      </c>
      <c r="B70" s="15" t="s">
        <v>296</v>
      </c>
      <c r="C70" s="15" t="s">
        <v>296</v>
      </c>
      <c r="D70" s="15" t="s">
        <v>289</v>
      </c>
      <c r="E70" s="15" t="s">
        <v>296</v>
      </c>
      <c r="F70" s="15" t="s">
        <v>296</v>
      </c>
      <c r="G70" s="15" t="s">
        <v>296</v>
      </c>
      <c r="H70" s="15" t="s">
        <v>296</v>
      </c>
      <c r="I70" s="15" t="s">
        <v>296</v>
      </c>
      <c r="J70" s="15" t="s">
        <v>290</v>
      </c>
      <c r="K70" s="15" t="s">
        <v>289</v>
      </c>
      <c r="L70" s="15" t="s">
        <v>296</v>
      </c>
      <c r="M70" s="15" t="s">
        <v>296</v>
      </c>
      <c r="N70" s="15" t="s">
        <v>296</v>
      </c>
      <c r="O70" s="15" t="s">
        <v>296</v>
      </c>
      <c r="P70" s="15" t="s">
        <v>296</v>
      </c>
      <c r="Q70" s="15" t="s">
        <v>296</v>
      </c>
      <c r="R70" s="15" t="s">
        <v>296</v>
      </c>
      <c r="S70" s="15" t="s">
        <v>296</v>
      </c>
      <c r="T70" s="15" t="s">
        <v>296</v>
      </c>
      <c r="U70" s="15" t="s">
        <v>289</v>
      </c>
      <c r="V70" s="15" t="s">
        <v>289</v>
      </c>
      <c r="W70" s="15" t="s">
        <v>289</v>
      </c>
      <c r="X70" s="15" t="s">
        <v>289</v>
      </c>
      <c r="Y70" s="15" t="s">
        <v>289</v>
      </c>
      <c r="Z70" s="15" t="s">
        <v>289</v>
      </c>
      <c r="AA70" s="15" t="s">
        <v>289</v>
      </c>
      <c r="AB70" s="15" t="s">
        <v>296</v>
      </c>
      <c r="AC70" s="15" t="s">
        <v>289</v>
      </c>
      <c r="AD70" s="15" t="s">
        <v>289</v>
      </c>
      <c r="AE70" s="15" t="s">
        <v>289</v>
      </c>
      <c r="AF70" s="15" t="s">
        <v>289</v>
      </c>
      <c r="AG70" s="15" t="s">
        <v>296</v>
      </c>
      <c r="AH70" s="15" t="s">
        <v>289</v>
      </c>
      <c r="AI70" s="15" t="s">
        <v>289</v>
      </c>
      <c r="AJ70" s="15" t="s">
        <v>289</v>
      </c>
      <c r="AK70" s="15" t="s">
        <v>289</v>
      </c>
      <c r="AL70" s="15" t="s">
        <v>290</v>
      </c>
      <c r="AM70" s="15" t="s">
        <v>289</v>
      </c>
      <c r="AN70" s="15" t="s">
        <v>290</v>
      </c>
      <c r="AO70" s="15" t="s">
        <v>289</v>
      </c>
      <c r="AP70" s="15" t="s">
        <v>289</v>
      </c>
      <c r="AQ70" s="15" t="s">
        <v>289</v>
      </c>
      <c r="AR70" s="15" t="s">
        <v>290</v>
      </c>
      <c r="AS70" s="15" t="s">
        <v>290</v>
      </c>
      <c r="AT70" s="15" t="s">
        <v>289</v>
      </c>
      <c r="AU70" s="15" t="s">
        <v>290</v>
      </c>
      <c r="AV70" s="15" t="s">
        <v>289</v>
      </c>
      <c r="AW70" s="15" t="s">
        <v>296</v>
      </c>
      <c r="AX70" s="15" t="s">
        <v>289</v>
      </c>
      <c r="AY70" s="15" t="s">
        <v>289</v>
      </c>
      <c r="AZ70" s="15" t="s">
        <v>289</v>
      </c>
      <c r="BA70" s="15" t="s">
        <v>289</v>
      </c>
      <c r="BB70" s="15" t="s">
        <v>296</v>
      </c>
      <c r="BC70" s="15" t="s">
        <v>289</v>
      </c>
      <c r="BD70" s="15" t="s">
        <v>289</v>
      </c>
      <c r="BE70" s="15" t="s">
        <v>289</v>
      </c>
      <c r="BF70" s="15" t="s">
        <v>296</v>
      </c>
      <c r="BG70" s="15" t="s">
        <v>296</v>
      </c>
      <c r="BH70" s="15" t="s">
        <v>290</v>
      </c>
      <c r="BI70" s="15" t="s">
        <v>290</v>
      </c>
      <c r="BJ70" s="15" t="s">
        <v>296</v>
      </c>
      <c r="BK70" s="15" t="s">
        <v>296</v>
      </c>
      <c r="BL70" s="15" t="s">
        <v>289</v>
      </c>
      <c r="BM70" s="15" t="s">
        <v>289</v>
      </c>
      <c r="BN70" s="15" t="s">
        <v>289</v>
      </c>
      <c r="BO70" s="15" t="s">
        <v>289</v>
      </c>
      <c r="BP70" s="15" t="s">
        <v>289</v>
      </c>
      <c r="BQ70" s="15" t="s">
        <v>289</v>
      </c>
      <c r="BR70" s="20"/>
    </row>
    <row r="71" spans="1:80" ht="30" customHeight="1" x14ac:dyDescent="0.25">
      <c r="A71" s="13" t="s">
        <v>274</v>
      </c>
      <c r="B71" s="15" t="s">
        <v>289</v>
      </c>
      <c r="C71" s="15" t="s">
        <v>289</v>
      </c>
      <c r="D71" s="15" t="s">
        <v>289</v>
      </c>
      <c r="E71" s="15" t="s">
        <v>289</v>
      </c>
      <c r="F71" s="15" t="s">
        <v>289</v>
      </c>
      <c r="G71" s="15" t="s">
        <v>289</v>
      </c>
      <c r="H71" s="15" t="s">
        <v>289</v>
      </c>
      <c r="I71" s="15" t="s">
        <v>296</v>
      </c>
      <c r="J71" s="15" t="s">
        <v>289</v>
      </c>
      <c r="K71" s="15" t="s">
        <v>289</v>
      </c>
      <c r="L71" s="15" t="s">
        <v>290</v>
      </c>
      <c r="M71" s="15" t="s">
        <v>289</v>
      </c>
      <c r="N71" s="15" t="s">
        <v>289</v>
      </c>
      <c r="O71" s="15" t="s">
        <v>296</v>
      </c>
      <c r="P71" s="15" t="s">
        <v>296</v>
      </c>
      <c r="Q71" s="15" t="s">
        <v>296</v>
      </c>
      <c r="R71" s="15" t="s">
        <v>296</v>
      </c>
      <c r="S71" s="15" t="s">
        <v>289</v>
      </c>
      <c r="T71" s="15" t="s">
        <v>289</v>
      </c>
      <c r="U71" s="15" t="s">
        <v>289</v>
      </c>
      <c r="V71" s="15" t="s">
        <v>289</v>
      </c>
      <c r="W71" s="15" t="s">
        <v>289</v>
      </c>
      <c r="X71" s="15" t="s">
        <v>289</v>
      </c>
      <c r="Y71" s="15" t="s">
        <v>289</v>
      </c>
      <c r="Z71" s="15" t="s">
        <v>296</v>
      </c>
      <c r="AA71" s="15" t="s">
        <v>289</v>
      </c>
      <c r="AB71" s="15" t="s">
        <v>289</v>
      </c>
      <c r="AC71" s="15" t="s">
        <v>289</v>
      </c>
      <c r="AD71" s="15" t="s">
        <v>289</v>
      </c>
      <c r="AE71" s="15" t="s">
        <v>289</v>
      </c>
      <c r="AF71" s="15" t="s">
        <v>289</v>
      </c>
      <c r="AG71" s="15" t="s">
        <v>296</v>
      </c>
      <c r="AH71" s="15" t="s">
        <v>296</v>
      </c>
      <c r="AI71" s="15" t="s">
        <v>289</v>
      </c>
      <c r="AJ71" s="15" t="s">
        <v>289</v>
      </c>
      <c r="AK71" s="15" t="s">
        <v>289</v>
      </c>
      <c r="AL71" s="15" t="s">
        <v>289</v>
      </c>
      <c r="AM71" s="15" t="s">
        <v>289</v>
      </c>
      <c r="AN71" s="15" t="s">
        <v>289</v>
      </c>
      <c r="AO71" s="15" t="s">
        <v>289</v>
      </c>
      <c r="AP71" s="15" t="s">
        <v>289</v>
      </c>
      <c r="AQ71" s="15" t="s">
        <v>289</v>
      </c>
      <c r="AR71" s="15" t="s">
        <v>290</v>
      </c>
      <c r="AS71" s="15" t="s">
        <v>289</v>
      </c>
      <c r="AT71" s="15" t="s">
        <v>289</v>
      </c>
      <c r="AU71" s="15" t="s">
        <v>289</v>
      </c>
      <c r="AV71" s="15" t="s">
        <v>289</v>
      </c>
      <c r="AW71" s="15" t="s">
        <v>296</v>
      </c>
      <c r="AX71" s="15" t="s">
        <v>289</v>
      </c>
      <c r="AY71" s="15" t="s">
        <v>289</v>
      </c>
      <c r="AZ71" s="15" t="s">
        <v>289</v>
      </c>
      <c r="BA71" s="15" t="s">
        <v>289</v>
      </c>
      <c r="BB71" s="15" t="s">
        <v>289</v>
      </c>
      <c r="BC71" s="15" t="s">
        <v>289</v>
      </c>
      <c r="BD71" s="15" t="s">
        <v>289</v>
      </c>
      <c r="BE71" s="15" t="s">
        <v>289</v>
      </c>
      <c r="BF71" s="15" t="s">
        <v>296</v>
      </c>
      <c r="BG71" s="15" t="s">
        <v>296</v>
      </c>
      <c r="BH71" s="15" t="s">
        <v>290</v>
      </c>
      <c r="BI71" s="15" t="s">
        <v>290</v>
      </c>
      <c r="BJ71" s="15" t="s">
        <v>296</v>
      </c>
      <c r="BK71" s="15" t="s">
        <v>296</v>
      </c>
      <c r="BL71" s="15" t="s">
        <v>289</v>
      </c>
      <c r="BM71" s="15" t="s">
        <v>289</v>
      </c>
      <c r="BN71" s="15" t="s">
        <v>289</v>
      </c>
      <c r="BO71" s="15" t="s">
        <v>289</v>
      </c>
      <c r="BP71" s="15" t="s">
        <v>289</v>
      </c>
      <c r="BQ71" s="15" t="s">
        <v>289</v>
      </c>
      <c r="BR71" s="15" t="s">
        <v>289</v>
      </c>
      <c r="BS71" s="20"/>
    </row>
    <row r="72" spans="1:80" ht="30" customHeight="1" x14ac:dyDescent="0.25">
      <c r="A72" s="12" t="s">
        <v>275</v>
      </c>
      <c r="B72" s="15" t="s">
        <v>296</v>
      </c>
      <c r="C72" s="15" t="s">
        <v>296</v>
      </c>
      <c r="D72" s="15" t="s">
        <v>289</v>
      </c>
      <c r="E72" s="15" t="s">
        <v>290</v>
      </c>
      <c r="F72" s="15" t="s">
        <v>296</v>
      </c>
      <c r="G72" s="15" t="s">
        <v>296</v>
      </c>
      <c r="H72" s="15" t="s">
        <v>296</v>
      </c>
      <c r="I72" s="15" t="s">
        <v>296</v>
      </c>
      <c r="J72" s="15" t="s">
        <v>290</v>
      </c>
      <c r="K72" s="15" t="s">
        <v>289</v>
      </c>
      <c r="L72" s="15" t="s">
        <v>296</v>
      </c>
      <c r="M72" s="15" t="s">
        <v>289</v>
      </c>
      <c r="N72" s="15" t="s">
        <v>289</v>
      </c>
      <c r="O72" s="15" t="s">
        <v>296</v>
      </c>
      <c r="P72" s="15" t="s">
        <v>296</v>
      </c>
      <c r="Q72" s="15" t="s">
        <v>296</v>
      </c>
      <c r="R72" s="15" t="s">
        <v>296</v>
      </c>
      <c r="S72" s="15" t="s">
        <v>289</v>
      </c>
      <c r="T72" s="15" t="s">
        <v>289</v>
      </c>
      <c r="U72" s="15" t="s">
        <v>289</v>
      </c>
      <c r="V72" s="15" t="s">
        <v>289</v>
      </c>
      <c r="W72" s="15" t="s">
        <v>289</v>
      </c>
      <c r="X72" s="15" t="s">
        <v>289</v>
      </c>
      <c r="Y72" s="15" t="s">
        <v>289</v>
      </c>
      <c r="Z72" s="15" t="s">
        <v>296</v>
      </c>
      <c r="AA72" s="15" t="s">
        <v>289</v>
      </c>
      <c r="AB72" s="15" t="s">
        <v>289</v>
      </c>
      <c r="AC72" s="15" t="s">
        <v>296</v>
      </c>
      <c r="AD72" s="15" t="s">
        <v>289</v>
      </c>
      <c r="AE72" s="15" t="s">
        <v>289</v>
      </c>
      <c r="AF72" s="15" t="s">
        <v>289</v>
      </c>
      <c r="AG72" s="15" t="s">
        <v>296</v>
      </c>
      <c r="AH72" s="15" t="s">
        <v>289</v>
      </c>
      <c r="AI72" s="15" t="s">
        <v>289</v>
      </c>
      <c r="AJ72" s="15" t="s">
        <v>289</v>
      </c>
      <c r="AK72" s="15" t="s">
        <v>289</v>
      </c>
      <c r="AL72" s="15" t="s">
        <v>289</v>
      </c>
      <c r="AM72" s="15" t="s">
        <v>289</v>
      </c>
      <c r="AN72" s="15" t="s">
        <v>289</v>
      </c>
      <c r="AO72" s="15" t="s">
        <v>289</v>
      </c>
      <c r="AP72" s="15" t="s">
        <v>289</v>
      </c>
      <c r="AQ72" s="15" t="s">
        <v>289</v>
      </c>
      <c r="AR72" s="15" t="s">
        <v>290</v>
      </c>
      <c r="AS72" s="15" t="s">
        <v>289</v>
      </c>
      <c r="AT72" s="15" t="s">
        <v>289</v>
      </c>
      <c r="AU72" s="15" t="s">
        <v>289</v>
      </c>
      <c r="AV72" s="15" t="s">
        <v>289</v>
      </c>
      <c r="AW72" s="15" t="s">
        <v>296</v>
      </c>
      <c r="AX72" s="15" t="s">
        <v>289</v>
      </c>
      <c r="AY72" s="15" t="s">
        <v>289</v>
      </c>
      <c r="AZ72" s="15" t="s">
        <v>289</v>
      </c>
      <c r="BA72" s="15" t="s">
        <v>289</v>
      </c>
      <c r="BB72" s="15" t="s">
        <v>296</v>
      </c>
      <c r="BC72" s="15" t="s">
        <v>289</v>
      </c>
      <c r="BD72" s="15" t="s">
        <v>289</v>
      </c>
      <c r="BE72" s="15" t="s">
        <v>289</v>
      </c>
      <c r="BF72" s="15" t="s">
        <v>296</v>
      </c>
      <c r="BG72" s="15" t="s">
        <v>296</v>
      </c>
      <c r="BH72" s="15" t="s">
        <v>290</v>
      </c>
      <c r="BI72" s="15" t="s">
        <v>290</v>
      </c>
      <c r="BJ72" s="15" t="s">
        <v>296</v>
      </c>
      <c r="BK72" s="15" t="s">
        <v>296</v>
      </c>
      <c r="BL72" s="15" t="s">
        <v>289</v>
      </c>
      <c r="BM72" s="15" t="s">
        <v>289</v>
      </c>
      <c r="BN72" s="15" t="s">
        <v>289</v>
      </c>
      <c r="BO72" s="15" t="s">
        <v>289</v>
      </c>
      <c r="BP72" s="15" t="s">
        <v>289</v>
      </c>
      <c r="BQ72" s="15" t="s">
        <v>289</v>
      </c>
      <c r="BR72" s="15" t="s">
        <v>289</v>
      </c>
      <c r="BS72" s="15" t="s">
        <v>289</v>
      </c>
      <c r="BT72" s="20"/>
    </row>
    <row r="73" spans="1:80" ht="30" customHeight="1" x14ac:dyDescent="0.25">
      <c r="A73" s="13" t="s">
        <v>276</v>
      </c>
      <c r="B73" s="15" t="s">
        <v>296</v>
      </c>
      <c r="C73" s="15" t="s">
        <v>296</v>
      </c>
      <c r="D73" s="15" t="s">
        <v>289</v>
      </c>
      <c r="E73" s="15" t="s">
        <v>296</v>
      </c>
      <c r="F73" s="15" t="s">
        <v>289</v>
      </c>
      <c r="G73" s="15" t="s">
        <v>289</v>
      </c>
      <c r="H73" s="15" t="s">
        <v>289</v>
      </c>
      <c r="I73" s="15" t="s">
        <v>296</v>
      </c>
      <c r="J73" s="15" t="s">
        <v>290</v>
      </c>
      <c r="K73" s="15" t="s">
        <v>289</v>
      </c>
      <c r="L73" s="15" t="s">
        <v>296</v>
      </c>
      <c r="M73" s="15" t="s">
        <v>296</v>
      </c>
      <c r="N73" s="15" t="s">
        <v>296</v>
      </c>
      <c r="O73" s="15" t="s">
        <v>296</v>
      </c>
      <c r="P73" s="15" t="s">
        <v>296</v>
      </c>
      <c r="Q73" s="15" t="s">
        <v>296</v>
      </c>
      <c r="R73" s="15" t="s">
        <v>296</v>
      </c>
      <c r="S73" s="15" t="s">
        <v>289</v>
      </c>
      <c r="T73" s="15" t="s">
        <v>289</v>
      </c>
      <c r="U73" s="15" t="s">
        <v>289</v>
      </c>
      <c r="V73" s="15" t="s">
        <v>289</v>
      </c>
      <c r="W73" s="15" t="s">
        <v>289</v>
      </c>
      <c r="X73" s="15" t="s">
        <v>289</v>
      </c>
      <c r="Y73" s="15" t="s">
        <v>289</v>
      </c>
      <c r="Z73" s="15" t="s">
        <v>289</v>
      </c>
      <c r="AA73" s="15" t="s">
        <v>289</v>
      </c>
      <c r="AB73" s="15" t="s">
        <v>289</v>
      </c>
      <c r="AC73" s="15" t="s">
        <v>289</v>
      </c>
      <c r="AD73" s="15" t="s">
        <v>289</v>
      </c>
      <c r="AE73" s="15" t="s">
        <v>289</v>
      </c>
      <c r="AF73" s="15" t="s">
        <v>289</v>
      </c>
      <c r="AG73" s="15" t="s">
        <v>289</v>
      </c>
      <c r="AH73" s="15" t="s">
        <v>289</v>
      </c>
      <c r="AI73" s="15" t="s">
        <v>289</v>
      </c>
      <c r="AJ73" s="15" t="s">
        <v>289</v>
      </c>
      <c r="AK73" s="15" t="s">
        <v>289</v>
      </c>
      <c r="AL73" s="15" t="s">
        <v>290</v>
      </c>
      <c r="AM73" s="15" t="s">
        <v>289</v>
      </c>
      <c r="AN73" s="15" t="s">
        <v>290</v>
      </c>
      <c r="AO73" s="15" t="s">
        <v>289</v>
      </c>
      <c r="AP73" s="15" t="s">
        <v>289</v>
      </c>
      <c r="AQ73" s="15" t="s">
        <v>289</v>
      </c>
      <c r="AR73" s="15" t="s">
        <v>290</v>
      </c>
      <c r="AS73" s="15" t="s">
        <v>289</v>
      </c>
      <c r="AT73" s="15" t="s">
        <v>289</v>
      </c>
      <c r="AU73" s="15" t="s">
        <v>289</v>
      </c>
      <c r="AV73" s="15" t="s">
        <v>289</v>
      </c>
      <c r="AW73" s="15" t="s">
        <v>296</v>
      </c>
      <c r="AX73" s="15" t="s">
        <v>289</v>
      </c>
      <c r="AY73" s="15" t="s">
        <v>289</v>
      </c>
      <c r="AZ73" s="15" t="s">
        <v>289</v>
      </c>
      <c r="BA73" s="15" t="s">
        <v>289</v>
      </c>
      <c r="BB73" s="15" t="s">
        <v>289</v>
      </c>
      <c r="BC73" s="15" t="s">
        <v>289</v>
      </c>
      <c r="BD73" s="15" t="s">
        <v>289</v>
      </c>
      <c r="BE73" s="15" t="s">
        <v>289</v>
      </c>
      <c r="BF73" s="15" t="s">
        <v>290</v>
      </c>
      <c r="BG73" s="15" t="s">
        <v>290</v>
      </c>
      <c r="BH73" s="15" t="s">
        <v>290</v>
      </c>
      <c r="BI73" s="15" t="s">
        <v>290</v>
      </c>
      <c r="BJ73" s="15" t="s">
        <v>296</v>
      </c>
      <c r="BK73" s="15" t="s">
        <v>296</v>
      </c>
      <c r="BL73" s="15" t="s">
        <v>289</v>
      </c>
      <c r="BM73" s="15" t="s">
        <v>289</v>
      </c>
      <c r="BN73" s="15" t="s">
        <v>289</v>
      </c>
      <c r="BO73" s="15" t="s">
        <v>289</v>
      </c>
      <c r="BP73" s="15" t="s">
        <v>289</v>
      </c>
      <c r="BQ73" s="15" t="s">
        <v>289</v>
      </c>
      <c r="BR73" s="15" t="s">
        <v>289</v>
      </c>
      <c r="BS73" s="15" t="s">
        <v>289</v>
      </c>
      <c r="BT73" s="15" t="s">
        <v>289</v>
      </c>
      <c r="BU73" s="20"/>
    </row>
    <row r="74" spans="1:80" ht="30" customHeight="1" x14ac:dyDescent="0.25">
      <c r="A74" s="12" t="s">
        <v>277</v>
      </c>
      <c r="B74" s="15" t="s">
        <v>296</v>
      </c>
      <c r="C74" s="15" t="s">
        <v>296</v>
      </c>
      <c r="D74" s="15" t="s">
        <v>289</v>
      </c>
      <c r="E74" s="15" t="s">
        <v>289</v>
      </c>
      <c r="F74" s="15" t="s">
        <v>296</v>
      </c>
      <c r="G74" s="15" t="s">
        <v>296</v>
      </c>
      <c r="H74" s="15" t="s">
        <v>296</v>
      </c>
      <c r="I74" s="15" t="s">
        <v>289</v>
      </c>
      <c r="J74" s="15" t="s">
        <v>290</v>
      </c>
      <c r="K74" s="15" t="s">
        <v>289</v>
      </c>
      <c r="L74" s="15" t="s">
        <v>296</v>
      </c>
      <c r="M74" s="15" t="s">
        <v>296</v>
      </c>
      <c r="N74" s="15" t="s">
        <v>296</v>
      </c>
      <c r="O74" s="15" t="s">
        <v>296</v>
      </c>
      <c r="P74" s="15" t="s">
        <v>296</v>
      </c>
      <c r="Q74" s="15" t="s">
        <v>296</v>
      </c>
      <c r="R74" s="15" t="s">
        <v>296</v>
      </c>
      <c r="S74" s="15" t="s">
        <v>296</v>
      </c>
      <c r="T74" s="15" t="s">
        <v>296</v>
      </c>
      <c r="U74" s="15" t="s">
        <v>296</v>
      </c>
      <c r="V74" s="15" t="s">
        <v>289</v>
      </c>
      <c r="W74" s="15" t="s">
        <v>289</v>
      </c>
      <c r="X74" s="15" t="s">
        <v>289</v>
      </c>
      <c r="Y74" s="15" t="s">
        <v>296</v>
      </c>
      <c r="Z74" s="15" t="s">
        <v>296</v>
      </c>
      <c r="AA74" s="15" t="s">
        <v>296</v>
      </c>
      <c r="AB74" s="15" t="s">
        <v>296</v>
      </c>
      <c r="AC74" s="15" t="s">
        <v>296</v>
      </c>
      <c r="AD74" s="15" t="s">
        <v>296</v>
      </c>
      <c r="AE74" s="15" t="s">
        <v>296</v>
      </c>
      <c r="AF74" s="15" t="s">
        <v>296</v>
      </c>
      <c r="AG74" s="15" t="s">
        <v>289</v>
      </c>
      <c r="AH74" s="15" t="s">
        <v>296</v>
      </c>
      <c r="AI74" s="15" t="s">
        <v>289</v>
      </c>
      <c r="AJ74" s="15" t="s">
        <v>296</v>
      </c>
      <c r="AK74" s="15" t="s">
        <v>289</v>
      </c>
      <c r="AL74" s="15" t="s">
        <v>296</v>
      </c>
      <c r="AM74" s="15" t="s">
        <v>289</v>
      </c>
      <c r="AN74" s="15" t="s">
        <v>296</v>
      </c>
      <c r="AO74" s="15" t="s">
        <v>289</v>
      </c>
      <c r="AP74" s="15" t="s">
        <v>296</v>
      </c>
      <c r="AQ74" s="15" t="s">
        <v>296</v>
      </c>
      <c r="AR74" s="15" t="s">
        <v>296</v>
      </c>
      <c r="AS74" s="15" t="s">
        <v>296</v>
      </c>
      <c r="AT74" s="15" t="s">
        <v>296</v>
      </c>
      <c r="AU74" s="15" t="s">
        <v>296</v>
      </c>
      <c r="AV74" s="15" t="s">
        <v>296</v>
      </c>
      <c r="AW74" s="15" t="s">
        <v>296</v>
      </c>
      <c r="AX74" s="15" t="s">
        <v>289</v>
      </c>
      <c r="AY74" s="15" t="s">
        <v>289</v>
      </c>
      <c r="AZ74" s="15" t="s">
        <v>289</v>
      </c>
      <c r="BA74" s="15" t="s">
        <v>289</v>
      </c>
      <c r="BB74" s="15" t="s">
        <v>289</v>
      </c>
      <c r="BC74" s="15" t="s">
        <v>289</v>
      </c>
      <c r="BD74" s="15" t="s">
        <v>289</v>
      </c>
      <c r="BE74" s="15" t="s">
        <v>289</v>
      </c>
      <c r="BF74" s="15" t="s">
        <v>296</v>
      </c>
      <c r="BG74" s="15" t="s">
        <v>296</v>
      </c>
      <c r="BH74" s="15" t="s">
        <v>296</v>
      </c>
      <c r="BI74" s="15" t="s">
        <v>296</v>
      </c>
      <c r="BJ74" s="15" t="s">
        <v>296</v>
      </c>
      <c r="BK74" s="15" t="s">
        <v>296</v>
      </c>
      <c r="BL74" s="15" t="s">
        <v>289</v>
      </c>
      <c r="BM74" s="15" t="s">
        <v>289</v>
      </c>
      <c r="BN74" s="15" t="s">
        <v>289</v>
      </c>
      <c r="BO74" s="15" t="s">
        <v>289</v>
      </c>
      <c r="BP74" s="15" t="s">
        <v>289</v>
      </c>
      <c r="BQ74" s="15" t="s">
        <v>289</v>
      </c>
      <c r="BR74" s="15" t="s">
        <v>289</v>
      </c>
      <c r="BS74" s="15" t="s">
        <v>289</v>
      </c>
      <c r="BT74" s="15" t="s">
        <v>289</v>
      </c>
      <c r="BU74" s="15" t="s">
        <v>289</v>
      </c>
      <c r="BV74" s="20"/>
    </row>
    <row r="75" spans="1:80" ht="30" customHeight="1" x14ac:dyDescent="0.25">
      <c r="A75" s="13" t="s">
        <v>278</v>
      </c>
      <c r="B75" s="15" t="s">
        <v>296</v>
      </c>
      <c r="C75" s="15" t="s">
        <v>296</v>
      </c>
      <c r="D75" s="15" t="s">
        <v>289</v>
      </c>
      <c r="E75" s="15" t="s">
        <v>289</v>
      </c>
      <c r="F75" s="15" t="s">
        <v>296</v>
      </c>
      <c r="G75" s="15" t="s">
        <v>296</v>
      </c>
      <c r="H75" s="15" t="s">
        <v>296</v>
      </c>
      <c r="I75" s="15" t="s">
        <v>289</v>
      </c>
      <c r="J75" s="15" t="s">
        <v>290</v>
      </c>
      <c r="K75" s="15" t="s">
        <v>289</v>
      </c>
      <c r="L75" s="15" t="s">
        <v>296</v>
      </c>
      <c r="M75" s="15" t="s">
        <v>296</v>
      </c>
      <c r="N75" s="15" t="s">
        <v>296</v>
      </c>
      <c r="O75" s="15" t="s">
        <v>296</v>
      </c>
      <c r="P75" s="15" t="s">
        <v>296</v>
      </c>
      <c r="Q75" s="15" t="s">
        <v>296</v>
      </c>
      <c r="R75" s="15" t="s">
        <v>296</v>
      </c>
      <c r="S75" s="15" t="s">
        <v>296</v>
      </c>
      <c r="T75" s="15" t="s">
        <v>296</v>
      </c>
      <c r="U75" s="15" t="s">
        <v>296</v>
      </c>
      <c r="V75" s="15" t="s">
        <v>289</v>
      </c>
      <c r="W75" s="15" t="s">
        <v>289</v>
      </c>
      <c r="X75" s="15" t="s">
        <v>289</v>
      </c>
      <c r="Y75" s="15" t="s">
        <v>296</v>
      </c>
      <c r="Z75" s="15" t="s">
        <v>296</v>
      </c>
      <c r="AA75" s="15" t="s">
        <v>296</v>
      </c>
      <c r="AB75" s="15" t="s">
        <v>296</v>
      </c>
      <c r="AC75" s="15" t="s">
        <v>296</v>
      </c>
      <c r="AD75" s="15" t="s">
        <v>296</v>
      </c>
      <c r="AE75" s="15" t="s">
        <v>296</v>
      </c>
      <c r="AF75" s="15" t="s">
        <v>296</v>
      </c>
      <c r="AG75" s="15" t="s">
        <v>289</v>
      </c>
      <c r="AH75" s="15" t="s">
        <v>296</v>
      </c>
      <c r="AI75" s="15" t="s">
        <v>289</v>
      </c>
      <c r="AJ75" s="15" t="s">
        <v>296</v>
      </c>
      <c r="AK75" s="15" t="s">
        <v>289</v>
      </c>
      <c r="AL75" s="15" t="s">
        <v>296</v>
      </c>
      <c r="AM75" s="15" t="s">
        <v>289</v>
      </c>
      <c r="AN75" s="15" t="s">
        <v>296</v>
      </c>
      <c r="AO75" s="15" t="s">
        <v>289</v>
      </c>
      <c r="AP75" s="15" t="s">
        <v>296</v>
      </c>
      <c r="AQ75" s="15" t="s">
        <v>296</v>
      </c>
      <c r="AR75" s="15" t="s">
        <v>296</v>
      </c>
      <c r="AS75" s="15" t="s">
        <v>296</v>
      </c>
      <c r="AT75" s="15" t="s">
        <v>296</v>
      </c>
      <c r="AU75" s="15" t="s">
        <v>296</v>
      </c>
      <c r="AV75" s="15" t="s">
        <v>296</v>
      </c>
      <c r="AW75" s="15" t="s">
        <v>296</v>
      </c>
      <c r="AX75" s="15" t="s">
        <v>289</v>
      </c>
      <c r="AY75" s="15" t="s">
        <v>289</v>
      </c>
      <c r="AZ75" s="15" t="s">
        <v>289</v>
      </c>
      <c r="BA75" s="15" t="s">
        <v>289</v>
      </c>
      <c r="BB75" s="15" t="s">
        <v>289</v>
      </c>
      <c r="BC75" s="15" t="s">
        <v>289</v>
      </c>
      <c r="BD75" s="15" t="s">
        <v>289</v>
      </c>
      <c r="BE75" s="15" t="s">
        <v>289</v>
      </c>
      <c r="BF75" s="15" t="s">
        <v>296</v>
      </c>
      <c r="BG75" s="15" t="s">
        <v>296</v>
      </c>
      <c r="BH75" s="15" t="s">
        <v>296</v>
      </c>
      <c r="BI75" s="15" t="s">
        <v>296</v>
      </c>
      <c r="BJ75" s="15" t="s">
        <v>296</v>
      </c>
      <c r="BK75" s="15" t="s">
        <v>296</v>
      </c>
      <c r="BL75" s="15" t="s">
        <v>289</v>
      </c>
      <c r="BM75" s="15" t="s">
        <v>289</v>
      </c>
      <c r="BN75" s="15" t="s">
        <v>289</v>
      </c>
      <c r="BO75" s="15" t="s">
        <v>289</v>
      </c>
      <c r="BP75" s="15" t="s">
        <v>289</v>
      </c>
      <c r="BQ75" s="15" t="s">
        <v>289</v>
      </c>
      <c r="BR75" s="15" t="s">
        <v>289</v>
      </c>
      <c r="BS75" s="15" t="s">
        <v>289</v>
      </c>
      <c r="BT75" s="15" t="s">
        <v>289</v>
      </c>
      <c r="BU75" s="15" t="s">
        <v>289</v>
      </c>
      <c r="BV75" s="15" t="s">
        <v>289</v>
      </c>
      <c r="BW75" s="20"/>
    </row>
    <row r="76" spans="1:80" ht="30" customHeight="1" x14ac:dyDescent="0.25">
      <c r="A76" s="12" t="s">
        <v>279</v>
      </c>
      <c r="B76" s="15" t="s">
        <v>296</v>
      </c>
      <c r="C76" s="15" t="s">
        <v>296</v>
      </c>
      <c r="D76" s="15" t="s">
        <v>289</v>
      </c>
      <c r="E76" s="15" t="s">
        <v>289</v>
      </c>
      <c r="F76" s="15" t="s">
        <v>296</v>
      </c>
      <c r="G76" s="15" t="s">
        <v>296</v>
      </c>
      <c r="H76" s="15" t="s">
        <v>296</v>
      </c>
      <c r="I76" s="15" t="s">
        <v>290</v>
      </c>
      <c r="J76" s="15" t="s">
        <v>290</v>
      </c>
      <c r="K76" s="15" t="s">
        <v>289</v>
      </c>
      <c r="L76" s="15" t="s">
        <v>296</v>
      </c>
      <c r="M76" s="15" t="s">
        <v>296</v>
      </c>
      <c r="N76" s="15" t="s">
        <v>296</v>
      </c>
      <c r="O76" s="15" t="s">
        <v>296</v>
      </c>
      <c r="P76" s="15" t="s">
        <v>296</v>
      </c>
      <c r="Q76" s="15" t="s">
        <v>296</v>
      </c>
      <c r="R76" s="15" t="s">
        <v>296</v>
      </c>
      <c r="S76" s="15" t="s">
        <v>296</v>
      </c>
      <c r="T76" s="15" t="s">
        <v>296</v>
      </c>
      <c r="U76" s="15" t="s">
        <v>296</v>
      </c>
      <c r="V76" s="15" t="s">
        <v>289</v>
      </c>
      <c r="W76" s="15" t="s">
        <v>289</v>
      </c>
      <c r="X76" s="15" t="s">
        <v>289</v>
      </c>
      <c r="Y76" s="15" t="s">
        <v>289</v>
      </c>
      <c r="Z76" s="15" t="s">
        <v>296</v>
      </c>
      <c r="AA76" s="15" t="s">
        <v>289</v>
      </c>
      <c r="AB76" s="15" t="s">
        <v>289</v>
      </c>
      <c r="AC76" s="15" t="s">
        <v>296</v>
      </c>
      <c r="AD76" s="15" t="s">
        <v>289</v>
      </c>
      <c r="AE76" s="15" t="s">
        <v>296</v>
      </c>
      <c r="AF76" s="15" t="s">
        <v>289</v>
      </c>
      <c r="AG76" s="15" t="s">
        <v>289</v>
      </c>
      <c r="AH76" s="15" t="s">
        <v>289</v>
      </c>
      <c r="AI76" s="15" t="s">
        <v>289</v>
      </c>
      <c r="AJ76" s="15" t="s">
        <v>289</v>
      </c>
      <c r="AK76" s="15" t="s">
        <v>289</v>
      </c>
      <c r="AL76" s="15" t="s">
        <v>290</v>
      </c>
      <c r="AM76" s="15" t="s">
        <v>289</v>
      </c>
      <c r="AN76" s="15" t="s">
        <v>290</v>
      </c>
      <c r="AO76" s="15" t="s">
        <v>289</v>
      </c>
      <c r="AP76" s="15" t="s">
        <v>296</v>
      </c>
      <c r="AQ76" s="15" t="s">
        <v>296</v>
      </c>
      <c r="AR76" s="15" t="s">
        <v>290</v>
      </c>
      <c r="AS76" s="15" t="s">
        <v>290</v>
      </c>
      <c r="AT76" s="15" t="s">
        <v>290</v>
      </c>
      <c r="AU76" s="15" t="s">
        <v>290</v>
      </c>
      <c r="AV76" s="15" t="s">
        <v>290</v>
      </c>
      <c r="AW76" s="15" t="s">
        <v>296</v>
      </c>
      <c r="AX76" s="15" t="s">
        <v>290</v>
      </c>
      <c r="AY76" s="15" t="s">
        <v>289</v>
      </c>
      <c r="AZ76" s="15" t="s">
        <v>289</v>
      </c>
      <c r="BA76" s="15" t="s">
        <v>289</v>
      </c>
      <c r="BB76" s="15" t="s">
        <v>290</v>
      </c>
      <c r="BC76" s="15" t="s">
        <v>289</v>
      </c>
      <c r="BD76" s="15" t="s">
        <v>289</v>
      </c>
      <c r="BE76" s="15" t="s">
        <v>290</v>
      </c>
      <c r="BF76" s="15" t="s">
        <v>289</v>
      </c>
      <c r="BG76" s="15" t="s">
        <v>289</v>
      </c>
      <c r="BH76" s="15" t="s">
        <v>289</v>
      </c>
      <c r="BI76" s="15" t="s">
        <v>289</v>
      </c>
      <c r="BJ76" s="15" t="s">
        <v>296</v>
      </c>
      <c r="BK76" s="15" t="s">
        <v>296</v>
      </c>
      <c r="BL76" s="15" t="s">
        <v>289</v>
      </c>
      <c r="BM76" s="15" t="s">
        <v>289</v>
      </c>
      <c r="BN76" s="15" t="s">
        <v>289</v>
      </c>
      <c r="BO76" s="15" t="s">
        <v>289</v>
      </c>
      <c r="BP76" s="15" t="s">
        <v>289</v>
      </c>
      <c r="BQ76" s="15" t="s">
        <v>289</v>
      </c>
      <c r="BR76" s="15" t="s">
        <v>289</v>
      </c>
      <c r="BS76" s="15" t="s">
        <v>289</v>
      </c>
      <c r="BT76" s="15" t="s">
        <v>289</v>
      </c>
      <c r="BU76" s="15" t="s">
        <v>290</v>
      </c>
      <c r="BV76" s="15" t="s">
        <v>290</v>
      </c>
      <c r="BW76" s="15" t="s">
        <v>290</v>
      </c>
      <c r="BX76" s="20"/>
    </row>
    <row r="77" spans="1:80" ht="30" customHeight="1" x14ac:dyDescent="0.25">
      <c r="A77" s="13" t="s">
        <v>280</v>
      </c>
      <c r="B77" s="15" t="s">
        <v>296</v>
      </c>
      <c r="C77" s="15" t="s">
        <v>296</v>
      </c>
      <c r="D77" s="15" t="s">
        <v>289</v>
      </c>
      <c r="E77" s="15" t="s">
        <v>296</v>
      </c>
      <c r="F77" s="15" t="s">
        <v>296</v>
      </c>
      <c r="G77" s="15" t="s">
        <v>296</v>
      </c>
      <c r="H77" s="15" t="s">
        <v>296</v>
      </c>
      <c r="I77" s="15" t="s">
        <v>296</v>
      </c>
      <c r="J77" s="15" t="s">
        <v>290</v>
      </c>
      <c r="K77" s="15" t="s">
        <v>289</v>
      </c>
      <c r="L77" s="15" t="s">
        <v>296</v>
      </c>
      <c r="M77" s="15" t="s">
        <v>296</v>
      </c>
      <c r="N77" s="15" t="s">
        <v>296</v>
      </c>
      <c r="O77" s="15" t="s">
        <v>296</v>
      </c>
      <c r="P77" s="15" t="s">
        <v>296</v>
      </c>
      <c r="Q77" s="15" t="s">
        <v>296</v>
      </c>
      <c r="R77" s="15" t="s">
        <v>296</v>
      </c>
      <c r="S77" s="15" t="s">
        <v>296</v>
      </c>
      <c r="T77" s="15" t="s">
        <v>296</v>
      </c>
      <c r="U77" s="15" t="s">
        <v>296</v>
      </c>
      <c r="V77" s="15" t="s">
        <v>289</v>
      </c>
      <c r="W77" s="15" t="s">
        <v>289</v>
      </c>
      <c r="X77" s="15" t="s">
        <v>289</v>
      </c>
      <c r="Y77" s="15" t="s">
        <v>289</v>
      </c>
      <c r="Z77" s="15" t="s">
        <v>296</v>
      </c>
      <c r="AA77" s="15" t="s">
        <v>289</v>
      </c>
      <c r="AB77" s="15" t="s">
        <v>289</v>
      </c>
      <c r="AC77" s="15" t="s">
        <v>296</v>
      </c>
      <c r="AD77" s="15" t="s">
        <v>289</v>
      </c>
      <c r="AE77" s="15" t="s">
        <v>296</v>
      </c>
      <c r="AF77" s="15" t="s">
        <v>289</v>
      </c>
      <c r="AG77" s="15" t="s">
        <v>289</v>
      </c>
      <c r="AH77" s="15" t="s">
        <v>289</v>
      </c>
      <c r="AI77" s="15" t="s">
        <v>289</v>
      </c>
      <c r="AJ77" s="15" t="s">
        <v>289</v>
      </c>
      <c r="AK77" s="15" t="s">
        <v>289</v>
      </c>
      <c r="AL77" s="15" t="s">
        <v>290</v>
      </c>
      <c r="AM77" s="15" t="s">
        <v>289</v>
      </c>
      <c r="AN77" s="15" t="s">
        <v>290</v>
      </c>
      <c r="AO77" s="15" t="s">
        <v>289</v>
      </c>
      <c r="AP77" s="15" t="s">
        <v>296</v>
      </c>
      <c r="AQ77" s="15" t="s">
        <v>296</v>
      </c>
      <c r="AR77" s="15" t="s">
        <v>290</v>
      </c>
      <c r="AS77" s="15" t="s">
        <v>290</v>
      </c>
      <c r="AT77" s="15" t="s">
        <v>290</v>
      </c>
      <c r="AU77" s="15" t="s">
        <v>290</v>
      </c>
      <c r="AV77" s="15" t="s">
        <v>296</v>
      </c>
      <c r="AW77" s="15" t="s">
        <v>296</v>
      </c>
      <c r="AX77" s="15" t="s">
        <v>289</v>
      </c>
      <c r="AY77" s="15" t="s">
        <v>289</v>
      </c>
      <c r="AZ77" s="15" t="s">
        <v>289</v>
      </c>
      <c r="BA77" s="15" t="s">
        <v>289</v>
      </c>
      <c r="BB77" s="15" t="s">
        <v>296</v>
      </c>
      <c r="BC77" s="15" t="s">
        <v>289</v>
      </c>
      <c r="BD77" s="15" t="s">
        <v>289</v>
      </c>
      <c r="BE77" s="15" t="s">
        <v>289</v>
      </c>
      <c r="BF77" s="15" t="s">
        <v>289</v>
      </c>
      <c r="BG77" s="15" t="s">
        <v>289</v>
      </c>
      <c r="BH77" s="15" t="s">
        <v>289</v>
      </c>
      <c r="BI77" s="15" t="s">
        <v>289</v>
      </c>
      <c r="BJ77" s="15" t="s">
        <v>296</v>
      </c>
      <c r="BK77" s="15" t="s">
        <v>296</v>
      </c>
      <c r="BL77" s="15" t="s">
        <v>289</v>
      </c>
      <c r="BM77" s="15" t="s">
        <v>289</v>
      </c>
      <c r="BN77" s="15" t="s">
        <v>289</v>
      </c>
      <c r="BO77" s="15" t="s">
        <v>289</v>
      </c>
      <c r="BP77" s="15" t="s">
        <v>289</v>
      </c>
      <c r="BQ77" s="15" t="s">
        <v>289</v>
      </c>
      <c r="BR77" s="15" t="s">
        <v>289</v>
      </c>
      <c r="BS77" s="15" t="s">
        <v>289</v>
      </c>
      <c r="BT77" s="15" t="s">
        <v>289</v>
      </c>
      <c r="BU77" s="15" t="s">
        <v>289</v>
      </c>
      <c r="BV77" s="15" t="s">
        <v>289</v>
      </c>
      <c r="BW77" s="15" t="s">
        <v>289</v>
      </c>
      <c r="BX77" s="15" t="s">
        <v>289</v>
      </c>
      <c r="BY77" s="20"/>
    </row>
    <row r="78" spans="1:80" ht="30" customHeight="1" x14ac:dyDescent="0.25">
      <c r="A78" s="12" t="s">
        <v>281</v>
      </c>
      <c r="B78" s="15" t="s">
        <v>289</v>
      </c>
      <c r="C78" s="15" t="s">
        <v>296</v>
      </c>
      <c r="D78" s="15" t="s">
        <v>296</v>
      </c>
      <c r="E78" s="15" t="s">
        <v>289</v>
      </c>
      <c r="F78" s="15" t="s">
        <v>296</v>
      </c>
      <c r="G78" s="15" t="s">
        <v>296</v>
      </c>
      <c r="H78" s="15" t="s">
        <v>296</v>
      </c>
      <c r="I78" s="15" t="s">
        <v>289</v>
      </c>
      <c r="J78" s="15" t="s">
        <v>290</v>
      </c>
      <c r="K78" s="15" t="s">
        <v>289</v>
      </c>
      <c r="L78" s="15" t="s">
        <v>296</v>
      </c>
      <c r="M78" s="15" t="s">
        <v>296</v>
      </c>
      <c r="N78" s="15" t="s">
        <v>296</v>
      </c>
      <c r="O78" s="15" t="s">
        <v>296</v>
      </c>
      <c r="P78" s="15" t="s">
        <v>296</v>
      </c>
      <c r="Q78" s="15" t="s">
        <v>296</v>
      </c>
      <c r="R78" s="15" t="s">
        <v>296</v>
      </c>
      <c r="S78" s="15" t="s">
        <v>296</v>
      </c>
      <c r="T78" s="15" t="s">
        <v>296</v>
      </c>
      <c r="U78" s="15" t="s">
        <v>296</v>
      </c>
      <c r="V78" s="15" t="s">
        <v>289</v>
      </c>
      <c r="W78" s="15" t="s">
        <v>296</v>
      </c>
      <c r="X78" s="15" t="s">
        <v>289</v>
      </c>
      <c r="Y78" s="15" t="s">
        <v>289</v>
      </c>
      <c r="Z78" s="15" t="s">
        <v>296</v>
      </c>
      <c r="AA78" s="15" t="s">
        <v>289</v>
      </c>
      <c r="AB78" s="15" t="s">
        <v>289</v>
      </c>
      <c r="AC78" s="15" t="s">
        <v>296</v>
      </c>
      <c r="AD78" s="15" t="s">
        <v>289</v>
      </c>
      <c r="AE78" s="15" t="s">
        <v>296</v>
      </c>
      <c r="AF78" s="15" t="s">
        <v>289</v>
      </c>
      <c r="AG78" s="15" t="s">
        <v>289</v>
      </c>
      <c r="AH78" s="15" t="s">
        <v>289</v>
      </c>
      <c r="AI78" s="15" t="s">
        <v>289</v>
      </c>
      <c r="AJ78" s="15" t="s">
        <v>289</v>
      </c>
      <c r="AK78" s="15" t="s">
        <v>289</v>
      </c>
      <c r="AL78" s="15" t="s">
        <v>290</v>
      </c>
      <c r="AM78" s="15" t="s">
        <v>289</v>
      </c>
      <c r="AN78" s="15" t="s">
        <v>290</v>
      </c>
      <c r="AO78" s="15" t="s">
        <v>289</v>
      </c>
      <c r="AP78" s="15" t="s">
        <v>296</v>
      </c>
      <c r="AQ78" s="15" t="s">
        <v>296</v>
      </c>
      <c r="AR78" s="15" t="s">
        <v>290</v>
      </c>
      <c r="AS78" s="15" t="s">
        <v>290</v>
      </c>
      <c r="AT78" s="15" t="s">
        <v>290</v>
      </c>
      <c r="AU78" s="15" t="s">
        <v>290</v>
      </c>
      <c r="AV78" s="15" t="s">
        <v>296</v>
      </c>
      <c r="AW78" s="15" t="s">
        <v>296</v>
      </c>
      <c r="AX78" s="15" t="s">
        <v>290</v>
      </c>
      <c r="AY78" s="15" t="s">
        <v>289</v>
      </c>
      <c r="AZ78" s="15" t="s">
        <v>289</v>
      </c>
      <c r="BA78" s="15" t="s">
        <v>289</v>
      </c>
      <c r="BB78" s="15" t="s">
        <v>290</v>
      </c>
      <c r="BC78" s="15" t="s">
        <v>289</v>
      </c>
      <c r="BD78" s="15" t="s">
        <v>289</v>
      </c>
      <c r="BE78" s="15" t="s">
        <v>296</v>
      </c>
      <c r="BF78" s="15" t="s">
        <v>296</v>
      </c>
      <c r="BG78" s="15" t="s">
        <v>296</v>
      </c>
      <c r="BH78" s="15" t="s">
        <v>289</v>
      </c>
      <c r="BI78" s="15" t="s">
        <v>289</v>
      </c>
      <c r="BJ78" s="15" t="s">
        <v>296</v>
      </c>
      <c r="BK78" s="15" t="s">
        <v>296</v>
      </c>
      <c r="BL78" s="15" t="s">
        <v>289</v>
      </c>
      <c r="BM78" s="15" t="s">
        <v>289</v>
      </c>
      <c r="BN78" s="15" t="s">
        <v>289</v>
      </c>
      <c r="BO78" s="15" t="s">
        <v>289</v>
      </c>
      <c r="BP78" s="15" t="s">
        <v>289</v>
      </c>
      <c r="BQ78" s="15" t="s">
        <v>289</v>
      </c>
      <c r="BR78" s="15" t="s">
        <v>289</v>
      </c>
      <c r="BS78" s="15" t="s">
        <v>289</v>
      </c>
      <c r="BT78" s="15" t="s">
        <v>289</v>
      </c>
      <c r="BU78" s="15" t="s">
        <v>290</v>
      </c>
      <c r="BV78" s="15" t="s">
        <v>289</v>
      </c>
      <c r="BW78" s="15" t="s">
        <v>289</v>
      </c>
      <c r="BX78" s="15" t="s">
        <v>289</v>
      </c>
      <c r="BY78" s="15" t="s">
        <v>289</v>
      </c>
      <c r="BZ78" s="20"/>
    </row>
    <row r="79" spans="1:80" ht="30" customHeight="1" x14ac:dyDescent="0.25">
      <c r="A79" s="13" t="s">
        <v>282</v>
      </c>
      <c r="B79" s="15" t="s">
        <v>289</v>
      </c>
      <c r="C79" s="15" t="s">
        <v>296</v>
      </c>
      <c r="D79" s="15" t="s">
        <v>296</v>
      </c>
      <c r="E79" s="15" t="s">
        <v>289</v>
      </c>
      <c r="F79" s="15" t="s">
        <v>296</v>
      </c>
      <c r="G79" s="15" t="s">
        <v>296</v>
      </c>
      <c r="H79" s="15" t="s">
        <v>296</v>
      </c>
      <c r="I79" s="15" t="s">
        <v>289</v>
      </c>
      <c r="J79" s="15" t="s">
        <v>290</v>
      </c>
      <c r="K79" s="15" t="s">
        <v>289</v>
      </c>
      <c r="L79" s="15" t="s">
        <v>296</v>
      </c>
      <c r="M79" s="15" t="s">
        <v>296</v>
      </c>
      <c r="N79" s="15" t="s">
        <v>296</v>
      </c>
      <c r="O79" s="15" t="s">
        <v>296</v>
      </c>
      <c r="P79" s="15" t="s">
        <v>296</v>
      </c>
      <c r="Q79" s="15" t="s">
        <v>296</v>
      </c>
      <c r="R79" s="15" t="s">
        <v>296</v>
      </c>
      <c r="S79" s="15" t="s">
        <v>296</v>
      </c>
      <c r="T79" s="15" t="s">
        <v>296</v>
      </c>
      <c r="U79" s="15" t="s">
        <v>296</v>
      </c>
      <c r="V79" s="15" t="s">
        <v>289</v>
      </c>
      <c r="W79" s="15" t="s">
        <v>296</v>
      </c>
      <c r="X79" s="15" t="s">
        <v>289</v>
      </c>
      <c r="Y79" s="15" t="s">
        <v>289</v>
      </c>
      <c r="Z79" s="15" t="s">
        <v>289</v>
      </c>
      <c r="AA79" s="15" t="s">
        <v>289</v>
      </c>
      <c r="AB79" s="15" t="s">
        <v>289</v>
      </c>
      <c r="AC79" s="15" t="s">
        <v>296</v>
      </c>
      <c r="AD79" s="15" t="s">
        <v>289</v>
      </c>
      <c r="AE79" s="15" t="s">
        <v>289</v>
      </c>
      <c r="AF79" s="15" t="s">
        <v>289</v>
      </c>
      <c r="AG79" s="15" t="s">
        <v>289</v>
      </c>
      <c r="AH79" s="15" t="s">
        <v>289</v>
      </c>
      <c r="AI79" s="15" t="s">
        <v>289</v>
      </c>
      <c r="AJ79" s="15" t="s">
        <v>289</v>
      </c>
      <c r="AK79" s="15" t="s">
        <v>289</v>
      </c>
      <c r="AL79" s="15" t="s">
        <v>289</v>
      </c>
      <c r="AM79" s="15" t="s">
        <v>289</v>
      </c>
      <c r="AN79" s="15" t="s">
        <v>289</v>
      </c>
      <c r="AO79" s="15" t="s">
        <v>289</v>
      </c>
      <c r="AP79" s="15" t="s">
        <v>289</v>
      </c>
      <c r="AQ79" s="15" t="s">
        <v>289</v>
      </c>
      <c r="AR79" s="15" t="s">
        <v>290</v>
      </c>
      <c r="AS79" s="15" t="s">
        <v>290</v>
      </c>
      <c r="AT79" s="15" t="s">
        <v>289</v>
      </c>
      <c r="AU79" s="15" t="s">
        <v>289</v>
      </c>
      <c r="AV79" s="15" t="s">
        <v>289</v>
      </c>
      <c r="AW79" s="15" t="s">
        <v>296</v>
      </c>
      <c r="AX79" s="15" t="s">
        <v>289</v>
      </c>
      <c r="AY79" s="15" t="s">
        <v>289</v>
      </c>
      <c r="AZ79" s="15" t="s">
        <v>289</v>
      </c>
      <c r="BA79" s="15" t="s">
        <v>289</v>
      </c>
      <c r="BB79" s="15" t="s">
        <v>296</v>
      </c>
      <c r="BC79" s="15" t="s">
        <v>289</v>
      </c>
      <c r="BD79" s="15" t="s">
        <v>289</v>
      </c>
      <c r="BE79" s="15" t="s">
        <v>296</v>
      </c>
      <c r="BF79" s="15" t="s">
        <v>296</v>
      </c>
      <c r="BG79" s="15" t="s">
        <v>296</v>
      </c>
      <c r="BH79" s="15" t="s">
        <v>289</v>
      </c>
      <c r="BI79" s="15" t="s">
        <v>289</v>
      </c>
      <c r="BJ79" s="15" t="s">
        <v>296</v>
      </c>
      <c r="BK79" s="15" t="s">
        <v>296</v>
      </c>
      <c r="BL79" s="15" t="s">
        <v>289</v>
      </c>
      <c r="BM79" s="15" t="s">
        <v>289</v>
      </c>
      <c r="BN79" s="15" t="s">
        <v>289</v>
      </c>
      <c r="BO79" s="15" t="s">
        <v>289</v>
      </c>
      <c r="BP79" s="15" t="s">
        <v>289</v>
      </c>
      <c r="BQ79" s="15" t="s">
        <v>289</v>
      </c>
      <c r="BR79" s="15" t="s">
        <v>289</v>
      </c>
      <c r="BS79" s="15" t="s">
        <v>289</v>
      </c>
      <c r="BT79" s="15" t="s">
        <v>289</v>
      </c>
      <c r="BU79" s="15" t="s">
        <v>289</v>
      </c>
      <c r="BV79" s="15" t="s">
        <v>289</v>
      </c>
      <c r="BW79" s="15" t="s">
        <v>289</v>
      </c>
      <c r="BX79" s="15" t="s">
        <v>289</v>
      </c>
      <c r="BY79" s="15" t="s">
        <v>289</v>
      </c>
      <c r="BZ79" s="15" t="s">
        <v>289</v>
      </c>
      <c r="CA79" s="20"/>
    </row>
    <row r="80" spans="1:80" ht="30" customHeight="1" x14ac:dyDescent="0.25">
      <c r="A80" s="12" t="s">
        <v>283</v>
      </c>
      <c r="B80" s="15" t="s">
        <v>289</v>
      </c>
      <c r="C80" s="15" t="s">
        <v>296</v>
      </c>
      <c r="D80" s="15" t="s">
        <v>296</v>
      </c>
      <c r="E80" s="15" t="s">
        <v>289</v>
      </c>
      <c r="F80" s="15" t="s">
        <v>296</v>
      </c>
      <c r="G80" s="15" t="s">
        <v>296</v>
      </c>
      <c r="H80" s="15" t="s">
        <v>296</v>
      </c>
      <c r="I80" s="15" t="s">
        <v>289</v>
      </c>
      <c r="J80" s="15" t="s">
        <v>290</v>
      </c>
      <c r="K80" s="15" t="s">
        <v>289</v>
      </c>
      <c r="L80" s="15" t="s">
        <v>296</v>
      </c>
      <c r="M80" s="15" t="s">
        <v>296</v>
      </c>
      <c r="N80" s="15" t="s">
        <v>296</v>
      </c>
      <c r="O80" s="15" t="s">
        <v>296</v>
      </c>
      <c r="P80" s="15" t="s">
        <v>296</v>
      </c>
      <c r="Q80" s="15" t="s">
        <v>296</v>
      </c>
      <c r="R80" s="15" t="s">
        <v>296</v>
      </c>
      <c r="S80" s="15" t="s">
        <v>296</v>
      </c>
      <c r="T80" s="15" t="s">
        <v>296</v>
      </c>
      <c r="U80" s="15" t="s">
        <v>296</v>
      </c>
      <c r="V80" s="15" t="s">
        <v>289</v>
      </c>
      <c r="W80" s="15" t="s">
        <v>296</v>
      </c>
      <c r="X80" s="15" t="s">
        <v>289</v>
      </c>
      <c r="Y80" s="15" t="s">
        <v>289</v>
      </c>
      <c r="Z80" s="15" t="s">
        <v>289</v>
      </c>
      <c r="AA80" s="15" t="s">
        <v>289</v>
      </c>
      <c r="AB80" s="15" t="s">
        <v>289</v>
      </c>
      <c r="AC80" s="15" t="s">
        <v>296</v>
      </c>
      <c r="AD80" s="15" t="s">
        <v>289</v>
      </c>
      <c r="AE80" s="15" t="s">
        <v>289</v>
      </c>
      <c r="AF80" s="15" t="s">
        <v>289</v>
      </c>
      <c r="AG80" s="15" t="s">
        <v>289</v>
      </c>
      <c r="AH80" s="15" t="s">
        <v>289</v>
      </c>
      <c r="AI80" s="15" t="s">
        <v>289</v>
      </c>
      <c r="AJ80" s="15" t="s">
        <v>289</v>
      </c>
      <c r="AK80" s="15" t="s">
        <v>289</v>
      </c>
      <c r="AL80" s="15" t="s">
        <v>289</v>
      </c>
      <c r="AM80" s="15" t="s">
        <v>289</v>
      </c>
      <c r="AN80" s="15" t="s">
        <v>289</v>
      </c>
      <c r="AO80" s="15" t="s">
        <v>289</v>
      </c>
      <c r="AP80" s="15" t="s">
        <v>289</v>
      </c>
      <c r="AQ80" s="15" t="s">
        <v>289</v>
      </c>
      <c r="AR80" s="15" t="s">
        <v>290</v>
      </c>
      <c r="AS80" s="15" t="s">
        <v>290</v>
      </c>
      <c r="AT80" s="15" t="s">
        <v>289</v>
      </c>
      <c r="AU80" s="15" t="s">
        <v>289</v>
      </c>
      <c r="AV80" s="15" t="s">
        <v>289</v>
      </c>
      <c r="AW80" s="15" t="s">
        <v>296</v>
      </c>
      <c r="AX80" s="15" t="s">
        <v>289</v>
      </c>
      <c r="AY80" s="15" t="s">
        <v>289</v>
      </c>
      <c r="AZ80" s="15" t="s">
        <v>289</v>
      </c>
      <c r="BA80" s="15" t="s">
        <v>289</v>
      </c>
      <c r="BB80" s="15" t="s">
        <v>296</v>
      </c>
      <c r="BC80" s="15" t="s">
        <v>289</v>
      </c>
      <c r="BD80" s="15" t="s">
        <v>289</v>
      </c>
      <c r="BE80" s="15" t="s">
        <v>289</v>
      </c>
      <c r="BF80" s="15" t="s">
        <v>296</v>
      </c>
      <c r="BG80" s="15" t="s">
        <v>296</v>
      </c>
      <c r="BH80" s="15" t="s">
        <v>289</v>
      </c>
      <c r="BI80" s="15" t="s">
        <v>289</v>
      </c>
      <c r="BJ80" s="15" t="s">
        <v>296</v>
      </c>
      <c r="BK80" s="15" t="s">
        <v>296</v>
      </c>
      <c r="BL80" s="15" t="s">
        <v>289</v>
      </c>
      <c r="BM80" s="15" t="s">
        <v>289</v>
      </c>
      <c r="BN80" s="15" t="s">
        <v>289</v>
      </c>
      <c r="BO80" s="15" t="s">
        <v>289</v>
      </c>
      <c r="BP80" s="15" t="s">
        <v>289</v>
      </c>
      <c r="BQ80" s="15" t="s">
        <v>289</v>
      </c>
      <c r="BR80" s="15" t="s">
        <v>289</v>
      </c>
      <c r="BS80" s="15" t="s">
        <v>289</v>
      </c>
      <c r="BT80" s="15" t="s">
        <v>289</v>
      </c>
      <c r="BU80" s="15" t="s">
        <v>289</v>
      </c>
      <c r="BV80" s="15" t="s">
        <v>289</v>
      </c>
      <c r="BW80" s="15" t="s">
        <v>289</v>
      </c>
      <c r="BX80" s="15" t="s">
        <v>290</v>
      </c>
      <c r="BY80" s="15" t="s">
        <v>290</v>
      </c>
      <c r="BZ80" s="15" t="s">
        <v>290</v>
      </c>
      <c r="CA80" s="15" t="s">
        <v>290</v>
      </c>
      <c r="CB80" s="20"/>
    </row>
    <row r="81" spans="1:85" ht="30" customHeight="1" x14ac:dyDescent="0.25">
      <c r="A81" s="13" t="s">
        <v>284</v>
      </c>
      <c r="B81" s="15" t="s">
        <v>289</v>
      </c>
      <c r="C81" s="15" t="s">
        <v>296</v>
      </c>
      <c r="D81" s="15" t="s">
        <v>296</v>
      </c>
      <c r="E81" s="15" t="s">
        <v>289</v>
      </c>
      <c r="F81" s="15" t="s">
        <v>296</v>
      </c>
      <c r="G81" s="15" t="s">
        <v>296</v>
      </c>
      <c r="H81" s="15" t="s">
        <v>296</v>
      </c>
      <c r="I81" s="15" t="s">
        <v>289</v>
      </c>
      <c r="J81" s="15" t="s">
        <v>290</v>
      </c>
      <c r="K81" s="15" t="s">
        <v>289</v>
      </c>
      <c r="L81" s="15" t="s">
        <v>296</v>
      </c>
      <c r="M81" s="15" t="s">
        <v>296</v>
      </c>
      <c r="N81" s="15" t="s">
        <v>296</v>
      </c>
      <c r="O81" s="15" t="s">
        <v>296</v>
      </c>
      <c r="P81" s="15" t="s">
        <v>296</v>
      </c>
      <c r="Q81" s="15" t="s">
        <v>296</v>
      </c>
      <c r="R81" s="15" t="s">
        <v>296</v>
      </c>
      <c r="S81" s="15" t="s">
        <v>296</v>
      </c>
      <c r="T81" s="15" t="s">
        <v>296</v>
      </c>
      <c r="U81" s="15" t="s">
        <v>296</v>
      </c>
      <c r="V81" s="15" t="s">
        <v>289</v>
      </c>
      <c r="W81" s="15" t="s">
        <v>296</v>
      </c>
      <c r="X81" s="15" t="s">
        <v>289</v>
      </c>
      <c r="Y81" s="15" t="s">
        <v>289</v>
      </c>
      <c r="Z81" s="15" t="s">
        <v>289</v>
      </c>
      <c r="AA81" s="15" t="s">
        <v>289</v>
      </c>
      <c r="AB81" s="15" t="s">
        <v>289</v>
      </c>
      <c r="AC81" s="15" t="s">
        <v>296</v>
      </c>
      <c r="AD81" s="15" t="s">
        <v>289</v>
      </c>
      <c r="AE81" s="15" t="s">
        <v>289</v>
      </c>
      <c r="AF81" s="15" t="s">
        <v>289</v>
      </c>
      <c r="AG81" s="15" t="s">
        <v>289</v>
      </c>
      <c r="AH81" s="15" t="s">
        <v>289</v>
      </c>
      <c r="AI81" s="15" t="s">
        <v>289</v>
      </c>
      <c r="AJ81" s="15" t="s">
        <v>289</v>
      </c>
      <c r="AK81" s="15" t="s">
        <v>289</v>
      </c>
      <c r="AL81" s="15" t="s">
        <v>289</v>
      </c>
      <c r="AM81" s="15" t="s">
        <v>289</v>
      </c>
      <c r="AN81" s="15" t="s">
        <v>289</v>
      </c>
      <c r="AO81" s="15" t="s">
        <v>289</v>
      </c>
      <c r="AP81" s="15" t="s">
        <v>289</v>
      </c>
      <c r="AQ81" s="15" t="s">
        <v>289</v>
      </c>
      <c r="AR81" s="15" t="s">
        <v>290</v>
      </c>
      <c r="AS81" s="15" t="s">
        <v>290</v>
      </c>
      <c r="AT81" s="15" t="s">
        <v>289</v>
      </c>
      <c r="AU81" s="15" t="s">
        <v>289</v>
      </c>
      <c r="AV81" s="15" t="s">
        <v>289</v>
      </c>
      <c r="AW81" s="15" t="s">
        <v>296</v>
      </c>
      <c r="AX81" s="15" t="s">
        <v>289</v>
      </c>
      <c r="AY81" s="15" t="s">
        <v>289</v>
      </c>
      <c r="AZ81" s="15" t="s">
        <v>289</v>
      </c>
      <c r="BA81" s="15" t="s">
        <v>289</v>
      </c>
      <c r="BB81" s="15" t="s">
        <v>296</v>
      </c>
      <c r="BC81" s="15" t="s">
        <v>289</v>
      </c>
      <c r="BD81" s="15" t="s">
        <v>289</v>
      </c>
      <c r="BE81" s="15" t="s">
        <v>289</v>
      </c>
      <c r="BF81" s="15" t="s">
        <v>290</v>
      </c>
      <c r="BG81" s="15" t="s">
        <v>290</v>
      </c>
      <c r="BH81" s="15" t="s">
        <v>290</v>
      </c>
      <c r="BI81" s="15" t="s">
        <v>290</v>
      </c>
      <c r="BJ81" s="15" t="s">
        <v>296</v>
      </c>
      <c r="BK81" s="15" t="s">
        <v>296</v>
      </c>
      <c r="BL81" s="15" t="s">
        <v>289</v>
      </c>
      <c r="BM81" s="15" t="s">
        <v>289</v>
      </c>
      <c r="BN81" s="15" t="s">
        <v>289</v>
      </c>
      <c r="BO81" s="15" t="s">
        <v>289</v>
      </c>
      <c r="BP81" s="15" t="s">
        <v>289</v>
      </c>
      <c r="BQ81" s="15" t="s">
        <v>289</v>
      </c>
      <c r="BR81" s="15" t="s">
        <v>289</v>
      </c>
      <c r="BS81" s="15" t="s">
        <v>289</v>
      </c>
      <c r="BT81" s="15" t="s">
        <v>289</v>
      </c>
      <c r="BU81" s="15" t="s">
        <v>289</v>
      </c>
      <c r="BV81" s="15" t="s">
        <v>289</v>
      </c>
      <c r="BW81" s="15" t="s">
        <v>289</v>
      </c>
      <c r="BX81" s="15" t="s">
        <v>290</v>
      </c>
      <c r="BY81" s="15" t="s">
        <v>290</v>
      </c>
      <c r="BZ81" s="15" t="s">
        <v>290</v>
      </c>
      <c r="CA81" s="15" t="s">
        <v>290</v>
      </c>
      <c r="CB81" s="15" t="s">
        <v>289</v>
      </c>
      <c r="CC81" s="20"/>
    </row>
    <row r="82" spans="1:85" ht="30" customHeight="1" x14ac:dyDescent="0.25">
      <c r="A82" s="12" t="s">
        <v>285</v>
      </c>
      <c r="B82" s="15" t="s">
        <v>289</v>
      </c>
      <c r="C82" s="15" t="s">
        <v>289</v>
      </c>
      <c r="D82" s="15" t="s">
        <v>296</v>
      </c>
      <c r="E82" s="15" t="s">
        <v>289</v>
      </c>
      <c r="F82" s="15" t="s">
        <v>296</v>
      </c>
      <c r="G82" s="15" t="s">
        <v>296</v>
      </c>
      <c r="H82" s="15" t="s">
        <v>296</v>
      </c>
      <c r="I82" s="15" t="s">
        <v>289</v>
      </c>
      <c r="J82" s="15" t="s">
        <v>296</v>
      </c>
      <c r="K82" s="15" t="s">
        <v>289</v>
      </c>
      <c r="L82" s="15" t="s">
        <v>296</v>
      </c>
      <c r="M82" s="15" t="s">
        <v>296</v>
      </c>
      <c r="N82" s="15" t="s">
        <v>289</v>
      </c>
      <c r="O82" s="15" t="s">
        <v>296</v>
      </c>
      <c r="P82" s="15" t="s">
        <v>296</v>
      </c>
      <c r="Q82" s="15" t="s">
        <v>296</v>
      </c>
      <c r="R82" s="15" t="s">
        <v>296</v>
      </c>
      <c r="S82" s="15" t="s">
        <v>296</v>
      </c>
      <c r="T82" s="15" t="s">
        <v>296</v>
      </c>
      <c r="U82" s="15" t="s">
        <v>296</v>
      </c>
      <c r="V82" s="15" t="s">
        <v>289</v>
      </c>
      <c r="W82" s="15" t="s">
        <v>289</v>
      </c>
      <c r="X82" s="15" t="s">
        <v>289</v>
      </c>
      <c r="Y82" s="15" t="s">
        <v>289</v>
      </c>
      <c r="Z82" s="15" t="s">
        <v>296</v>
      </c>
      <c r="AA82" s="15" t="s">
        <v>296</v>
      </c>
      <c r="AB82" s="15" t="s">
        <v>289</v>
      </c>
      <c r="AC82" s="15" t="s">
        <v>296</v>
      </c>
      <c r="AD82" s="15" t="s">
        <v>296</v>
      </c>
      <c r="AE82" s="15" t="s">
        <v>296</v>
      </c>
      <c r="AF82" s="15" t="s">
        <v>296</v>
      </c>
      <c r="AG82" s="15" t="s">
        <v>296</v>
      </c>
      <c r="AH82" s="15" t="s">
        <v>296</v>
      </c>
      <c r="AI82" s="15" t="s">
        <v>296</v>
      </c>
      <c r="AJ82" s="15" t="s">
        <v>296</v>
      </c>
      <c r="AK82" s="15" t="s">
        <v>296</v>
      </c>
      <c r="AL82" s="15" t="s">
        <v>296</v>
      </c>
      <c r="AM82" s="15" t="s">
        <v>296</v>
      </c>
      <c r="AN82" s="15" t="s">
        <v>296</v>
      </c>
      <c r="AO82" s="15" t="s">
        <v>296</v>
      </c>
      <c r="AP82" s="15" t="s">
        <v>289</v>
      </c>
      <c r="AQ82" s="15" t="s">
        <v>289</v>
      </c>
      <c r="AR82" s="15" t="s">
        <v>296</v>
      </c>
      <c r="AS82" s="15" t="s">
        <v>296</v>
      </c>
      <c r="AT82" s="15" t="s">
        <v>296</v>
      </c>
      <c r="AU82" s="15" t="s">
        <v>296</v>
      </c>
      <c r="AV82" s="15" t="s">
        <v>296</v>
      </c>
      <c r="AW82" s="15" t="s">
        <v>296</v>
      </c>
      <c r="AX82" s="15" t="s">
        <v>296</v>
      </c>
      <c r="AY82" s="15" t="s">
        <v>296</v>
      </c>
      <c r="AZ82" s="15" t="s">
        <v>296</v>
      </c>
      <c r="BA82" s="15" t="s">
        <v>296</v>
      </c>
      <c r="BB82" s="15" t="s">
        <v>296</v>
      </c>
      <c r="BC82" s="15" t="s">
        <v>296</v>
      </c>
      <c r="BD82" s="15" t="s">
        <v>296</v>
      </c>
      <c r="BE82" s="15" t="s">
        <v>296</v>
      </c>
      <c r="BF82" s="15" t="s">
        <v>296</v>
      </c>
      <c r="BG82" s="15" t="s">
        <v>296</v>
      </c>
      <c r="BH82" s="15" t="s">
        <v>296</v>
      </c>
      <c r="BI82" s="15" t="s">
        <v>296</v>
      </c>
      <c r="BJ82" s="15" t="s">
        <v>296</v>
      </c>
      <c r="BK82" s="15" t="s">
        <v>296</v>
      </c>
      <c r="BL82" s="15" t="s">
        <v>296</v>
      </c>
      <c r="BM82" s="15" t="s">
        <v>296</v>
      </c>
      <c r="BN82" s="15" t="s">
        <v>296</v>
      </c>
      <c r="BO82" s="15" t="s">
        <v>296</v>
      </c>
      <c r="BP82" s="15" t="s">
        <v>296</v>
      </c>
      <c r="BQ82" s="15" t="s">
        <v>296</v>
      </c>
      <c r="BR82" s="15" t="s">
        <v>296</v>
      </c>
      <c r="BS82" s="15" t="s">
        <v>296</v>
      </c>
      <c r="BT82" s="15" t="s">
        <v>289</v>
      </c>
      <c r="BU82" s="15" t="s">
        <v>296</v>
      </c>
      <c r="BV82" s="15" t="s">
        <v>296</v>
      </c>
      <c r="BW82" s="15" t="s">
        <v>296</v>
      </c>
      <c r="BX82" s="15" t="s">
        <v>296</v>
      </c>
      <c r="BY82" s="15" t="s">
        <v>296</v>
      </c>
      <c r="BZ82" s="15" t="s">
        <v>296</v>
      </c>
      <c r="CA82" s="15" t="s">
        <v>296</v>
      </c>
      <c r="CB82" s="15" t="s">
        <v>296</v>
      </c>
      <c r="CC82" s="15" t="s">
        <v>296</v>
      </c>
      <c r="CD82" s="20"/>
    </row>
    <row r="83" spans="1:85" ht="30" customHeight="1" x14ac:dyDescent="0.25">
      <c r="A83" s="13" t="s">
        <v>286</v>
      </c>
      <c r="B83" s="15" t="s">
        <v>289</v>
      </c>
      <c r="C83" s="15" t="s">
        <v>296</v>
      </c>
      <c r="D83" s="15" t="s">
        <v>296</v>
      </c>
      <c r="E83" s="15" t="s">
        <v>289</v>
      </c>
      <c r="F83" s="15" t="s">
        <v>296</v>
      </c>
      <c r="G83" s="15" t="s">
        <v>296</v>
      </c>
      <c r="H83" s="15" t="s">
        <v>296</v>
      </c>
      <c r="I83" s="15" t="s">
        <v>289</v>
      </c>
      <c r="J83" s="15" t="s">
        <v>296</v>
      </c>
      <c r="K83" s="15" t="s">
        <v>296</v>
      </c>
      <c r="L83" s="15" t="s">
        <v>296</v>
      </c>
      <c r="M83" s="15" t="s">
        <v>296</v>
      </c>
      <c r="N83" s="15" t="s">
        <v>296</v>
      </c>
      <c r="O83" s="15" t="s">
        <v>296</v>
      </c>
      <c r="P83" s="15" t="s">
        <v>296</v>
      </c>
      <c r="Q83" s="15" t="s">
        <v>296</v>
      </c>
      <c r="R83" s="15" t="s">
        <v>296</v>
      </c>
      <c r="S83" s="15" t="s">
        <v>296</v>
      </c>
      <c r="T83" s="15" t="s">
        <v>296</v>
      </c>
      <c r="U83" s="15" t="s">
        <v>296</v>
      </c>
      <c r="V83" s="15" t="s">
        <v>296</v>
      </c>
      <c r="W83" s="15" t="s">
        <v>296</v>
      </c>
      <c r="X83" s="15" t="s">
        <v>296</v>
      </c>
      <c r="Y83" s="15" t="s">
        <v>296</v>
      </c>
      <c r="Z83" s="15" t="s">
        <v>296</v>
      </c>
      <c r="AA83" s="15" t="s">
        <v>296</v>
      </c>
      <c r="AB83" s="15" t="s">
        <v>289</v>
      </c>
      <c r="AC83" s="15" t="s">
        <v>296</v>
      </c>
      <c r="AD83" s="15" t="s">
        <v>296</v>
      </c>
      <c r="AE83" s="15" t="s">
        <v>296</v>
      </c>
      <c r="AF83" s="15" t="s">
        <v>296</v>
      </c>
      <c r="AG83" s="15" t="s">
        <v>296</v>
      </c>
      <c r="AH83" s="15" t="s">
        <v>296</v>
      </c>
      <c r="AI83" s="15" t="s">
        <v>296</v>
      </c>
      <c r="AJ83" s="15" t="s">
        <v>296</v>
      </c>
      <c r="AK83" s="15" t="s">
        <v>296</v>
      </c>
      <c r="AL83" s="15" t="s">
        <v>296</v>
      </c>
      <c r="AM83" s="15" t="s">
        <v>296</v>
      </c>
      <c r="AN83" s="15" t="s">
        <v>296</v>
      </c>
      <c r="AO83" s="15" t="s">
        <v>296</v>
      </c>
      <c r="AP83" s="15" t="s">
        <v>296</v>
      </c>
      <c r="AQ83" s="15" t="s">
        <v>296</v>
      </c>
      <c r="AR83" s="15" t="s">
        <v>296</v>
      </c>
      <c r="AS83" s="15" t="s">
        <v>296</v>
      </c>
      <c r="AT83" s="15" t="s">
        <v>296</v>
      </c>
      <c r="AU83" s="15" t="s">
        <v>296</v>
      </c>
      <c r="AV83" s="15" t="s">
        <v>296</v>
      </c>
      <c r="AW83" s="15" t="s">
        <v>296</v>
      </c>
      <c r="AX83" s="15" t="s">
        <v>296</v>
      </c>
      <c r="AY83" s="15" t="s">
        <v>296</v>
      </c>
      <c r="AZ83" s="15" t="s">
        <v>296</v>
      </c>
      <c r="BA83" s="15" t="s">
        <v>296</v>
      </c>
      <c r="BB83" s="15" t="s">
        <v>296</v>
      </c>
      <c r="BC83" s="15" t="s">
        <v>296</v>
      </c>
      <c r="BD83" s="15" t="s">
        <v>296</v>
      </c>
      <c r="BE83" s="15" t="s">
        <v>296</v>
      </c>
      <c r="BF83" s="15" t="s">
        <v>296</v>
      </c>
      <c r="BG83" s="15" t="s">
        <v>296</v>
      </c>
      <c r="BH83" s="15" t="s">
        <v>296</v>
      </c>
      <c r="BI83" s="15" t="s">
        <v>296</v>
      </c>
      <c r="BJ83" s="15" t="s">
        <v>296</v>
      </c>
      <c r="BK83" s="15" t="s">
        <v>296</v>
      </c>
      <c r="BL83" s="15" t="s">
        <v>296</v>
      </c>
      <c r="BM83" s="15" t="s">
        <v>296</v>
      </c>
      <c r="BN83" s="15" t="s">
        <v>296</v>
      </c>
      <c r="BO83" s="15" t="s">
        <v>296</v>
      </c>
      <c r="BP83" s="15" t="s">
        <v>296</v>
      </c>
      <c r="BQ83" s="15" t="s">
        <v>296</v>
      </c>
      <c r="BR83" s="15" t="s">
        <v>296</v>
      </c>
      <c r="BS83" s="15" t="s">
        <v>296</v>
      </c>
      <c r="BT83" s="15" t="s">
        <v>289</v>
      </c>
      <c r="BU83" s="15" t="s">
        <v>296</v>
      </c>
      <c r="BV83" s="15" t="s">
        <v>296</v>
      </c>
      <c r="BW83" s="15" t="s">
        <v>296</v>
      </c>
      <c r="BX83" s="15" t="s">
        <v>296</v>
      </c>
      <c r="BY83" s="15" t="s">
        <v>296</v>
      </c>
      <c r="BZ83" s="15" t="s">
        <v>296</v>
      </c>
      <c r="CA83" s="15" t="s">
        <v>296</v>
      </c>
      <c r="CB83" s="15" t="s">
        <v>296</v>
      </c>
      <c r="CC83" s="15" t="s">
        <v>296</v>
      </c>
      <c r="CD83" s="15" t="s">
        <v>289</v>
      </c>
      <c r="CE83" s="20"/>
    </row>
    <row r="84" spans="1:85" ht="30" customHeight="1" x14ac:dyDescent="0.25">
      <c r="A84" s="12" t="s">
        <v>287</v>
      </c>
      <c r="B84" s="15" t="s">
        <v>289</v>
      </c>
      <c r="C84" s="15" t="s">
        <v>296</v>
      </c>
      <c r="D84" s="15" t="s">
        <v>296</v>
      </c>
      <c r="E84" s="15" t="s">
        <v>289</v>
      </c>
      <c r="F84" s="15" t="s">
        <v>296</v>
      </c>
      <c r="G84" s="15" t="s">
        <v>296</v>
      </c>
      <c r="H84" s="15" t="s">
        <v>296</v>
      </c>
      <c r="I84" s="15" t="s">
        <v>289</v>
      </c>
      <c r="J84" s="15" t="s">
        <v>296</v>
      </c>
      <c r="K84" s="15" t="s">
        <v>289</v>
      </c>
      <c r="L84" s="15" t="s">
        <v>296</v>
      </c>
      <c r="M84" s="15" t="s">
        <v>296</v>
      </c>
      <c r="N84" s="15" t="s">
        <v>296</v>
      </c>
      <c r="O84" s="15" t="s">
        <v>296</v>
      </c>
      <c r="P84" s="15" t="s">
        <v>296</v>
      </c>
      <c r="Q84" s="15" t="s">
        <v>296</v>
      </c>
      <c r="R84" s="15" t="s">
        <v>296</v>
      </c>
      <c r="S84" s="15" t="s">
        <v>296</v>
      </c>
      <c r="T84" s="15" t="s">
        <v>296</v>
      </c>
      <c r="U84" s="15" t="s">
        <v>296</v>
      </c>
      <c r="V84" s="15" t="s">
        <v>296</v>
      </c>
      <c r="W84" s="15" t="s">
        <v>296</v>
      </c>
      <c r="X84" s="15" t="s">
        <v>296</v>
      </c>
      <c r="Y84" s="15" t="s">
        <v>296</v>
      </c>
      <c r="Z84" s="15" t="s">
        <v>296</v>
      </c>
      <c r="AA84" s="15" t="s">
        <v>296</v>
      </c>
      <c r="AB84" s="15" t="s">
        <v>289</v>
      </c>
      <c r="AC84" s="15" t="s">
        <v>296</v>
      </c>
      <c r="AD84" s="15" t="s">
        <v>296</v>
      </c>
      <c r="AE84" s="15" t="s">
        <v>296</v>
      </c>
      <c r="AF84" s="15" t="s">
        <v>296</v>
      </c>
      <c r="AG84" s="15" t="s">
        <v>296</v>
      </c>
      <c r="AH84" s="15" t="s">
        <v>296</v>
      </c>
      <c r="AI84" s="15" t="s">
        <v>296</v>
      </c>
      <c r="AJ84" s="15" t="s">
        <v>296</v>
      </c>
      <c r="AK84" s="15" t="s">
        <v>296</v>
      </c>
      <c r="AL84" s="15" t="s">
        <v>296</v>
      </c>
      <c r="AM84" s="15" t="s">
        <v>296</v>
      </c>
      <c r="AN84" s="15" t="s">
        <v>296</v>
      </c>
      <c r="AO84" s="15" t="s">
        <v>296</v>
      </c>
      <c r="AP84" s="15" t="s">
        <v>296</v>
      </c>
      <c r="AQ84" s="15" t="s">
        <v>296</v>
      </c>
      <c r="AR84" s="15" t="s">
        <v>296</v>
      </c>
      <c r="AS84" s="15" t="s">
        <v>296</v>
      </c>
      <c r="AT84" s="15" t="s">
        <v>296</v>
      </c>
      <c r="AU84" s="15" t="s">
        <v>296</v>
      </c>
      <c r="AV84" s="15" t="s">
        <v>296</v>
      </c>
      <c r="AW84" s="15" t="s">
        <v>296</v>
      </c>
      <c r="AX84" s="15" t="s">
        <v>296</v>
      </c>
      <c r="AY84" s="15" t="s">
        <v>296</v>
      </c>
      <c r="AZ84" s="15" t="s">
        <v>296</v>
      </c>
      <c r="BA84" s="15" t="s">
        <v>296</v>
      </c>
      <c r="BB84" s="15" t="s">
        <v>296</v>
      </c>
      <c r="BC84" s="15" t="s">
        <v>296</v>
      </c>
      <c r="BD84" s="15" t="s">
        <v>296</v>
      </c>
      <c r="BE84" s="15" t="s">
        <v>296</v>
      </c>
      <c r="BF84" s="15" t="s">
        <v>296</v>
      </c>
      <c r="BG84" s="15" t="s">
        <v>296</v>
      </c>
      <c r="BH84" s="15" t="s">
        <v>296</v>
      </c>
      <c r="BI84" s="15" t="s">
        <v>296</v>
      </c>
      <c r="BJ84" s="15" t="s">
        <v>296</v>
      </c>
      <c r="BK84" s="15" t="s">
        <v>296</v>
      </c>
      <c r="BL84" s="15" t="s">
        <v>296</v>
      </c>
      <c r="BM84" s="15" t="s">
        <v>296</v>
      </c>
      <c r="BN84" s="15" t="s">
        <v>296</v>
      </c>
      <c r="BO84" s="15" t="s">
        <v>296</v>
      </c>
      <c r="BP84" s="15" t="s">
        <v>296</v>
      </c>
      <c r="BQ84" s="15" t="s">
        <v>296</v>
      </c>
      <c r="BR84" s="15" t="s">
        <v>296</v>
      </c>
      <c r="BS84" s="15" t="s">
        <v>296</v>
      </c>
      <c r="BT84" s="15" t="s">
        <v>289</v>
      </c>
      <c r="BU84" s="15" t="s">
        <v>296</v>
      </c>
      <c r="BV84" s="15" t="s">
        <v>296</v>
      </c>
      <c r="BW84" s="15" t="s">
        <v>296</v>
      </c>
      <c r="BX84" s="15" t="s">
        <v>296</v>
      </c>
      <c r="BY84" s="15" t="s">
        <v>296</v>
      </c>
      <c r="BZ84" s="15" t="s">
        <v>296</v>
      </c>
      <c r="CA84" s="15" t="s">
        <v>296</v>
      </c>
      <c r="CB84" s="15" t="s">
        <v>296</v>
      </c>
      <c r="CC84" s="15" t="s">
        <v>296</v>
      </c>
      <c r="CD84" s="15" t="s">
        <v>289</v>
      </c>
      <c r="CE84" s="15" t="s">
        <v>289</v>
      </c>
      <c r="CF84" s="20"/>
    </row>
    <row r="85" spans="1:85" ht="30" customHeight="1" x14ac:dyDescent="0.25">
      <c r="A85" s="13" t="s">
        <v>288</v>
      </c>
      <c r="B85" s="15" t="s">
        <v>289</v>
      </c>
      <c r="C85" s="15" t="s">
        <v>290</v>
      </c>
      <c r="D85" s="15" t="s">
        <v>296</v>
      </c>
      <c r="E85" s="15" t="s">
        <v>289</v>
      </c>
      <c r="F85" s="15" t="s">
        <v>296</v>
      </c>
      <c r="G85" s="15" t="s">
        <v>296</v>
      </c>
      <c r="H85" s="15" t="s">
        <v>296</v>
      </c>
      <c r="I85" s="15" t="s">
        <v>289</v>
      </c>
      <c r="J85" s="15" t="s">
        <v>296</v>
      </c>
      <c r="K85" s="15" t="s">
        <v>289</v>
      </c>
      <c r="L85" s="15" t="s">
        <v>296</v>
      </c>
      <c r="M85" s="15" t="s">
        <v>296</v>
      </c>
      <c r="N85" s="15" t="s">
        <v>296</v>
      </c>
      <c r="O85" s="15" t="s">
        <v>296</v>
      </c>
      <c r="P85" s="15" t="s">
        <v>296</v>
      </c>
      <c r="Q85" s="15" t="s">
        <v>296</v>
      </c>
      <c r="R85" s="15" t="s">
        <v>296</v>
      </c>
      <c r="S85" s="15" t="s">
        <v>296</v>
      </c>
      <c r="T85" s="15" t="s">
        <v>296</v>
      </c>
      <c r="U85" s="15" t="s">
        <v>296</v>
      </c>
      <c r="V85" s="15" t="s">
        <v>296</v>
      </c>
      <c r="W85" s="15" t="s">
        <v>296</v>
      </c>
      <c r="X85" s="15" t="s">
        <v>296</v>
      </c>
      <c r="Y85" s="15" t="s">
        <v>289</v>
      </c>
      <c r="Z85" s="15" t="s">
        <v>296</v>
      </c>
      <c r="AA85" s="15" t="s">
        <v>296</v>
      </c>
      <c r="AB85" s="15" t="s">
        <v>289</v>
      </c>
      <c r="AC85" s="15" t="s">
        <v>296</v>
      </c>
      <c r="AD85" s="15" t="s">
        <v>296</v>
      </c>
      <c r="AE85" s="15" t="s">
        <v>296</v>
      </c>
      <c r="AF85" s="15" t="s">
        <v>296</v>
      </c>
      <c r="AG85" s="15" t="s">
        <v>296</v>
      </c>
      <c r="AH85" s="15" t="s">
        <v>296</v>
      </c>
      <c r="AI85" s="15" t="s">
        <v>296</v>
      </c>
      <c r="AJ85" s="15" t="s">
        <v>296</v>
      </c>
      <c r="AK85" s="15" t="s">
        <v>296</v>
      </c>
      <c r="AL85" s="15" t="s">
        <v>296</v>
      </c>
      <c r="AM85" s="15" t="s">
        <v>296</v>
      </c>
      <c r="AN85" s="15" t="s">
        <v>296</v>
      </c>
      <c r="AO85" s="15" t="s">
        <v>296</v>
      </c>
      <c r="AP85" s="15" t="s">
        <v>289</v>
      </c>
      <c r="AQ85" s="15" t="s">
        <v>289</v>
      </c>
      <c r="AR85" s="15" t="s">
        <v>296</v>
      </c>
      <c r="AS85" s="15" t="s">
        <v>296</v>
      </c>
      <c r="AT85" s="15" t="s">
        <v>296</v>
      </c>
      <c r="AU85" s="15" t="s">
        <v>296</v>
      </c>
      <c r="AV85" s="15" t="s">
        <v>296</v>
      </c>
      <c r="AW85" s="15" t="s">
        <v>296</v>
      </c>
      <c r="AX85" s="15" t="s">
        <v>296</v>
      </c>
      <c r="AY85" s="15" t="s">
        <v>296</v>
      </c>
      <c r="AZ85" s="15" t="s">
        <v>296</v>
      </c>
      <c r="BA85" s="15" t="s">
        <v>296</v>
      </c>
      <c r="BB85" s="15" t="s">
        <v>296</v>
      </c>
      <c r="BC85" s="15" t="s">
        <v>296</v>
      </c>
      <c r="BD85" s="15" t="s">
        <v>296</v>
      </c>
      <c r="BE85" s="15" t="s">
        <v>296</v>
      </c>
      <c r="BF85" s="15" t="s">
        <v>296</v>
      </c>
      <c r="BG85" s="15" t="s">
        <v>296</v>
      </c>
      <c r="BH85" s="15" t="s">
        <v>296</v>
      </c>
      <c r="BI85" s="15" t="s">
        <v>296</v>
      </c>
      <c r="BJ85" s="15" t="s">
        <v>296</v>
      </c>
      <c r="BK85" s="15" t="s">
        <v>296</v>
      </c>
      <c r="BL85" s="15" t="s">
        <v>296</v>
      </c>
      <c r="BM85" s="15" t="s">
        <v>296</v>
      </c>
      <c r="BN85" s="15" t="s">
        <v>296</v>
      </c>
      <c r="BO85" s="15" t="s">
        <v>296</v>
      </c>
      <c r="BP85" s="15" t="s">
        <v>296</v>
      </c>
      <c r="BQ85" s="15" t="s">
        <v>296</v>
      </c>
      <c r="BR85" s="15" t="s">
        <v>296</v>
      </c>
      <c r="BS85" s="15" t="s">
        <v>296</v>
      </c>
      <c r="BT85" s="15" t="s">
        <v>289</v>
      </c>
      <c r="BU85" s="15" t="s">
        <v>296</v>
      </c>
      <c r="BV85" s="15" t="s">
        <v>296</v>
      </c>
      <c r="BW85" s="15" t="s">
        <v>296</v>
      </c>
      <c r="BX85" s="15" t="s">
        <v>296</v>
      </c>
      <c r="BY85" s="15" t="s">
        <v>296</v>
      </c>
      <c r="BZ85" s="15" t="s">
        <v>296</v>
      </c>
      <c r="CA85" s="15" t="s">
        <v>296</v>
      </c>
      <c r="CB85" s="15" t="s">
        <v>296</v>
      </c>
      <c r="CC85" s="15" t="s">
        <v>296</v>
      </c>
      <c r="CD85" s="15" t="s">
        <v>290</v>
      </c>
      <c r="CE85" s="15" t="s">
        <v>290</v>
      </c>
      <c r="CF85" s="15" t="s">
        <v>290</v>
      </c>
      <c r="CG85" s="20"/>
    </row>
    <row r="86" spans="1:85" ht="30" customHeight="1" x14ac:dyDescent="0.25">
      <c r="A86" s="14"/>
      <c r="B86" s="12" t="s">
        <v>205</v>
      </c>
      <c r="C86" s="13" t="s">
        <v>206</v>
      </c>
      <c r="D86" s="12" t="s">
        <v>207</v>
      </c>
      <c r="E86" s="13" t="s">
        <v>208</v>
      </c>
      <c r="F86" s="12" t="s">
        <v>209</v>
      </c>
      <c r="G86" s="13" t="s">
        <v>210</v>
      </c>
      <c r="H86" s="12" t="s">
        <v>211</v>
      </c>
      <c r="I86" s="13" t="s">
        <v>212</v>
      </c>
      <c r="J86" s="12" t="s">
        <v>213</v>
      </c>
      <c r="K86" s="13" t="s">
        <v>214</v>
      </c>
      <c r="L86" s="12" t="s">
        <v>215</v>
      </c>
      <c r="M86" s="13" t="s">
        <v>216</v>
      </c>
      <c r="N86" s="12" t="s">
        <v>217</v>
      </c>
      <c r="O86" s="13" t="s">
        <v>218</v>
      </c>
      <c r="P86" s="12" t="s">
        <v>219</v>
      </c>
      <c r="Q86" s="13" t="s">
        <v>220</v>
      </c>
      <c r="R86" s="12" t="s">
        <v>221</v>
      </c>
      <c r="S86" s="13" t="s">
        <v>222</v>
      </c>
      <c r="T86" s="12" t="s">
        <v>223</v>
      </c>
      <c r="U86" s="13" t="s">
        <v>224</v>
      </c>
      <c r="V86" s="12" t="s">
        <v>225</v>
      </c>
      <c r="W86" s="13" t="s">
        <v>226</v>
      </c>
      <c r="X86" s="12" t="s">
        <v>227</v>
      </c>
      <c r="Y86" s="13" t="s">
        <v>228</v>
      </c>
      <c r="Z86" s="12" t="s">
        <v>229</v>
      </c>
      <c r="AA86" s="13" t="s">
        <v>230</v>
      </c>
      <c r="AB86" s="12" t="s">
        <v>231</v>
      </c>
      <c r="AC86" s="13" t="s">
        <v>232</v>
      </c>
      <c r="AD86" s="12" t="s">
        <v>233</v>
      </c>
      <c r="AE86" s="13" t="s">
        <v>234</v>
      </c>
      <c r="AF86" s="12" t="s">
        <v>235</v>
      </c>
      <c r="AG86" s="13" t="s">
        <v>236</v>
      </c>
      <c r="AH86" s="12" t="s">
        <v>237</v>
      </c>
      <c r="AI86" s="13" t="s">
        <v>238</v>
      </c>
      <c r="AJ86" s="12" t="s">
        <v>239</v>
      </c>
      <c r="AK86" s="13" t="s">
        <v>240</v>
      </c>
      <c r="AL86" s="12" t="s">
        <v>241</v>
      </c>
      <c r="AM86" s="13" t="s">
        <v>242</v>
      </c>
      <c r="AN86" s="12" t="s">
        <v>243</v>
      </c>
      <c r="AO86" s="13" t="s">
        <v>244</v>
      </c>
      <c r="AP86" s="12" t="s">
        <v>245</v>
      </c>
      <c r="AQ86" s="13" t="s">
        <v>246</v>
      </c>
      <c r="AR86" s="12" t="s">
        <v>247</v>
      </c>
      <c r="AS86" s="13" t="s">
        <v>248</v>
      </c>
      <c r="AT86" s="12" t="s">
        <v>249</v>
      </c>
      <c r="AU86" s="13" t="s">
        <v>250</v>
      </c>
      <c r="AV86" s="12" t="s">
        <v>251</v>
      </c>
      <c r="AW86" s="13" t="s">
        <v>252</v>
      </c>
      <c r="AX86" s="12" t="s">
        <v>253</v>
      </c>
      <c r="AY86" s="13" t="s">
        <v>254</v>
      </c>
      <c r="AZ86" s="12" t="s">
        <v>255</v>
      </c>
      <c r="BA86" s="13" t="s">
        <v>256</v>
      </c>
      <c r="BB86" s="12" t="s">
        <v>257</v>
      </c>
      <c r="BC86" s="13" t="s">
        <v>258</v>
      </c>
      <c r="BD86" s="12" t="s">
        <v>259</v>
      </c>
      <c r="BE86" s="13" t="s">
        <v>260</v>
      </c>
      <c r="BF86" s="12" t="s">
        <v>261</v>
      </c>
      <c r="BG86" s="13" t="s">
        <v>262</v>
      </c>
      <c r="BH86" s="12" t="s">
        <v>263</v>
      </c>
      <c r="BI86" s="13" t="s">
        <v>264</v>
      </c>
      <c r="BJ86" s="12" t="s">
        <v>265</v>
      </c>
      <c r="BK86" s="13" t="s">
        <v>266</v>
      </c>
      <c r="BL86" s="12" t="s">
        <v>267</v>
      </c>
      <c r="BM86" s="13" t="s">
        <v>268</v>
      </c>
      <c r="BN86" s="12" t="s">
        <v>269</v>
      </c>
      <c r="BO86" s="13" t="s">
        <v>270</v>
      </c>
      <c r="BP86" s="12" t="s">
        <v>271</v>
      </c>
      <c r="BQ86" s="13" t="s">
        <v>272</v>
      </c>
      <c r="BR86" s="12" t="s">
        <v>273</v>
      </c>
      <c r="BS86" s="13" t="s">
        <v>274</v>
      </c>
      <c r="BT86" s="12" t="s">
        <v>275</v>
      </c>
      <c r="BU86" s="13" t="s">
        <v>276</v>
      </c>
      <c r="BV86" s="12" t="s">
        <v>277</v>
      </c>
      <c r="BW86" s="13" t="s">
        <v>278</v>
      </c>
      <c r="BX86" s="12" t="s">
        <v>279</v>
      </c>
      <c r="BY86" s="13" t="s">
        <v>280</v>
      </c>
      <c r="BZ86" s="12" t="s">
        <v>281</v>
      </c>
      <c r="CA86" s="13" t="s">
        <v>282</v>
      </c>
      <c r="CB86" s="12" t="s">
        <v>283</v>
      </c>
      <c r="CC86" s="13" t="s">
        <v>284</v>
      </c>
      <c r="CD86" s="12" t="s">
        <v>285</v>
      </c>
      <c r="CE86" s="13" t="s">
        <v>286</v>
      </c>
      <c r="CF86" s="12" t="s">
        <v>287</v>
      </c>
      <c r="CG86" s="13" t="s">
        <v>288</v>
      </c>
    </row>
  </sheetData>
  <conditionalFormatting sqref="A1:CG86">
    <cfRule type="cellIs" dxfId="1" priority="1" operator="equal">
      <formula>"+"</formula>
    </cfRule>
    <cfRule type="cellIs" dxfId="0" priority="2" operator="equal">
      <formula>"-"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16F68-0703-4FDD-BE26-3EE2F29B0CD9}">
  <dimension ref="A1:Y87"/>
  <sheetViews>
    <sheetView zoomScale="55" zoomScaleNormal="55" workbookViewId="0">
      <selection activeCell="AQ93" sqref="AQ93:AR93"/>
    </sheetView>
  </sheetViews>
  <sheetFormatPr defaultColWidth="9.140625" defaultRowHeight="15" x14ac:dyDescent="0.25"/>
  <cols>
    <col min="1" max="22" width="9.140625" style="15"/>
    <col min="23" max="23" width="12.28515625" style="15" customWidth="1"/>
    <col min="24" max="24" width="12" style="15" customWidth="1"/>
    <col min="25" max="16384" width="9.140625" style="15"/>
  </cols>
  <sheetData>
    <row r="1" spans="1:25" x14ac:dyDescent="0.25">
      <c r="A1" s="45"/>
      <c r="B1" s="45" t="str">
        <f>'CR-TR_Interactions'!B1</f>
        <v>C1</v>
      </c>
      <c r="C1" s="45" t="str">
        <f>'CR-TR_Interactions'!C1</f>
        <v>C2</v>
      </c>
      <c r="D1" s="45" t="str">
        <f>'CR-TR_Interactions'!D1</f>
        <v>C3</v>
      </c>
      <c r="E1" s="45" t="str">
        <f>'CR-TR_Interactions'!E1</f>
        <v>C4</v>
      </c>
      <c r="F1" s="45" t="str">
        <f>'CR-TR_Interactions'!F1</f>
        <v>C5</v>
      </c>
      <c r="G1" s="45" t="str">
        <f>'CR-TR_Interactions'!G1</f>
        <v>C6</v>
      </c>
      <c r="H1" s="45" t="str">
        <f>'CR-TR_Interactions'!H1</f>
        <v>C7</v>
      </c>
      <c r="I1" s="45" t="str">
        <f>'CR-TR_Interactions'!I1</f>
        <v>C8</v>
      </c>
      <c r="J1" s="45" t="str">
        <f>'CR-TR_Interactions'!J1</f>
        <v>C9</v>
      </c>
      <c r="K1" s="45" t="str">
        <f>'CR-TR_Interactions'!K1</f>
        <v>C10</v>
      </c>
      <c r="L1" s="45" t="str">
        <f>'CR-TR_Interactions'!L1</f>
        <v>C11</v>
      </c>
      <c r="M1" s="45" t="str">
        <f>'CR-TR_Interactions'!M1</f>
        <v>C12</v>
      </c>
      <c r="N1" s="45" t="str">
        <f>'CR-TR_Interactions'!N1</f>
        <v>C13</v>
      </c>
      <c r="O1" s="45" t="str">
        <f>'CR-TR_Interactions'!O1</f>
        <v>C14</v>
      </c>
      <c r="P1" s="45" t="str">
        <f>'CR-TR_Interactions'!P1</f>
        <v>C15</v>
      </c>
      <c r="Q1" s="45" t="str">
        <f>'CR-TR_Interactions'!Q1</f>
        <v>C16</v>
      </c>
      <c r="R1" s="45" t="str">
        <f>'CR-TR_Interactions'!R1</f>
        <v>C17</v>
      </c>
      <c r="S1" s="45" t="str">
        <f>'CR-TR_Interactions'!S1</f>
        <v>C18</v>
      </c>
      <c r="T1" s="45" t="str">
        <f>'CR-TR_Interactions'!T1</f>
        <v>C19</v>
      </c>
      <c r="U1" s="45" t="str">
        <f>'CR-TR_Interactions'!U1</f>
        <v>C20</v>
      </c>
      <c r="V1" s="45" t="str">
        <f>'CR-TR_Interactions'!V1</f>
        <v>C21</v>
      </c>
      <c r="W1" s="45" t="s">
        <v>291</v>
      </c>
      <c r="X1" s="45" t="s">
        <v>426</v>
      </c>
      <c r="Y1" s="45" t="s">
        <v>45</v>
      </c>
    </row>
    <row r="2" spans="1:25" x14ac:dyDescent="0.25">
      <c r="A2" s="45" t="str">
        <f>'CR-TR_Interactions'!A2</f>
        <v>TR1</v>
      </c>
      <c r="B2" s="46">
        <f>'CR-TR_Interactions'!B2*Metrics_Voting!$C$3</f>
        <v>36</v>
      </c>
      <c r="C2" s="46">
        <f>'CR-TR_Interactions'!C2*Metrics_Voting!$C$4</f>
        <v>0</v>
      </c>
      <c r="D2" s="46">
        <f>'CR-TR_Interactions'!D2*Metrics_Voting!$C$5</f>
        <v>0</v>
      </c>
      <c r="E2" s="46">
        <f>'CR-TR_Interactions'!E2*Metrics_Voting!$C$7</f>
        <v>0</v>
      </c>
      <c r="F2" s="46">
        <f>'CR-TR_Interactions'!F2*Metrics_Voting!$C$8</f>
        <v>27</v>
      </c>
      <c r="G2" s="46">
        <f>'CR-TR_Interactions'!G2*Metrics_Voting!$C$9</f>
        <v>29.25</v>
      </c>
      <c r="H2" s="46">
        <f>'CR-TR_Interactions'!H2*Metrics_Voting!$C$11</f>
        <v>3.5</v>
      </c>
      <c r="I2" s="46">
        <f>'CR-TR_Interactions'!I2*Metrics_Voting!$C$12</f>
        <v>0</v>
      </c>
      <c r="J2" s="46">
        <f>'CR-TR_Interactions'!J2*Metrics_Voting!$C$13</f>
        <v>0</v>
      </c>
      <c r="K2" s="46">
        <f>'CR-TR_Interactions'!K2*Metrics_Voting!$C$15</f>
        <v>0</v>
      </c>
      <c r="L2" s="46">
        <f>'CR-TR_Interactions'!L2*Metrics_Voting!$C$16</f>
        <v>0</v>
      </c>
      <c r="M2" s="46">
        <f>'CR-TR_Interactions'!M2*Metrics_Voting!$C$17</f>
        <v>0</v>
      </c>
      <c r="N2" s="46">
        <f>'CR-TR_Interactions'!N2*Metrics_Voting!$C$19</f>
        <v>9.75</v>
      </c>
      <c r="O2" s="46">
        <f>'CR-TR_Interactions'!O2*Metrics_Voting!$C$20</f>
        <v>2.75</v>
      </c>
      <c r="P2" s="46">
        <f>'CR-TR_Interactions'!P2*Metrics_Voting!$C$21</f>
        <v>0</v>
      </c>
      <c r="Q2" s="46">
        <f>'CR-TR_Interactions'!Q2*Metrics_Voting!$C$23</f>
        <v>3.75</v>
      </c>
      <c r="R2" s="46">
        <f>'CR-TR_Interactions'!R2*Metrics_Voting!$C$24</f>
        <v>11.25</v>
      </c>
      <c r="S2" s="46">
        <f>'CR-TR_Interactions'!S2*Metrics_Voting!$C$25</f>
        <v>8.25</v>
      </c>
      <c r="T2" s="46">
        <f>'CR-TR_Interactions'!T2*Metrics_Voting!$C$27</f>
        <v>0</v>
      </c>
      <c r="U2" s="46">
        <f>'CR-TR_Interactions'!U2*Metrics_Voting!$C$28</f>
        <v>8.25</v>
      </c>
      <c r="V2" s="46">
        <f>'CR-TR_Interactions'!V2*Metrics_Voting!$C$29</f>
        <v>0</v>
      </c>
      <c r="W2" s="47">
        <f>SUM(B2:V2)</f>
        <v>139.75</v>
      </c>
      <c r="X2" s="48">
        <f>W2/$W$86</f>
        <v>1.3199216075181224E-2</v>
      </c>
      <c r="Y2" s="49">
        <f>_xlfn.RANK.EQ(W2, $W$2:$W$85)</f>
        <v>31</v>
      </c>
    </row>
    <row r="3" spans="1:25" x14ac:dyDescent="0.25">
      <c r="A3" s="45" t="str">
        <f>'CR-TR_Interactions'!A3</f>
        <v>TR2</v>
      </c>
      <c r="B3" s="46">
        <f>'CR-TR_Interactions'!B3*Metrics_Voting!$C$3</f>
        <v>36</v>
      </c>
      <c r="C3" s="46">
        <f>'CR-TR_Interactions'!C3*Metrics_Voting!$C$4</f>
        <v>3.25</v>
      </c>
      <c r="D3" s="46">
        <f>'CR-TR_Interactions'!D3*Metrics_Voting!$C$5</f>
        <v>0</v>
      </c>
      <c r="E3" s="46">
        <f>'CR-TR_Interactions'!E3*Metrics_Voting!$C$7</f>
        <v>11.25</v>
      </c>
      <c r="F3" s="46">
        <f>'CR-TR_Interactions'!F3*Metrics_Voting!$C$8</f>
        <v>27</v>
      </c>
      <c r="G3" s="46">
        <f>'CR-TR_Interactions'!G3*Metrics_Voting!$C$9</f>
        <v>29.25</v>
      </c>
      <c r="H3" s="46">
        <f>'CR-TR_Interactions'!H3*Metrics_Voting!$C$11</f>
        <v>3.5</v>
      </c>
      <c r="I3" s="46">
        <f>'CR-TR_Interactions'!I3*Metrics_Voting!$C$12</f>
        <v>0</v>
      </c>
      <c r="J3" s="46">
        <f>'CR-TR_Interactions'!J3*Metrics_Voting!$C$13</f>
        <v>0</v>
      </c>
      <c r="K3" s="46">
        <f>'CR-TR_Interactions'!K3*Metrics_Voting!$C$15</f>
        <v>0</v>
      </c>
      <c r="L3" s="46">
        <f>'CR-TR_Interactions'!L3*Metrics_Voting!$C$16</f>
        <v>0</v>
      </c>
      <c r="M3" s="46">
        <f>'CR-TR_Interactions'!M3*Metrics_Voting!$C$17</f>
        <v>0</v>
      </c>
      <c r="N3" s="46">
        <f>'CR-TR_Interactions'!N3*Metrics_Voting!$C$19</f>
        <v>9.75</v>
      </c>
      <c r="O3" s="46">
        <f>'CR-TR_Interactions'!O3*Metrics_Voting!$C$20</f>
        <v>8.25</v>
      </c>
      <c r="P3" s="46">
        <f>'CR-TR_Interactions'!P3*Metrics_Voting!$C$21</f>
        <v>10.5</v>
      </c>
      <c r="Q3" s="46">
        <f>'CR-TR_Interactions'!Q3*Metrics_Voting!$C$23</f>
        <v>11.25</v>
      </c>
      <c r="R3" s="46">
        <f>'CR-TR_Interactions'!R3*Metrics_Voting!$C$24</f>
        <v>11.25</v>
      </c>
      <c r="S3" s="46">
        <f>'CR-TR_Interactions'!S3*Metrics_Voting!$C$25</f>
        <v>8.25</v>
      </c>
      <c r="T3" s="46">
        <f>'CR-TR_Interactions'!T3*Metrics_Voting!$C$27</f>
        <v>0</v>
      </c>
      <c r="U3" s="46">
        <f>'CR-TR_Interactions'!U3*Metrics_Voting!$C$28</f>
        <v>8.25</v>
      </c>
      <c r="V3" s="46">
        <f>'CR-TR_Interactions'!V3*Metrics_Voting!$C$29</f>
        <v>0</v>
      </c>
      <c r="W3" s="47">
        <f>SUM(B3:V3)</f>
        <v>177.75</v>
      </c>
      <c r="X3" s="48">
        <f t="shared" ref="X3:X66" si="0">W3/$W$86</f>
        <v>1.6788269462350357E-2</v>
      </c>
      <c r="Y3" s="49">
        <f t="shared" ref="Y3:Y66" si="1">_xlfn.RANK.EQ(W3, $W$2:$W$85)</f>
        <v>11</v>
      </c>
    </row>
    <row r="4" spans="1:25" x14ac:dyDescent="0.25">
      <c r="A4" s="45" t="str">
        <f>'CR-TR_Interactions'!A4</f>
        <v>TR3</v>
      </c>
      <c r="B4" s="46">
        <f>'CR-TR_Interactions'!B4*Metrics_Voting!$C$3</f>
        <v>12</v>
      </c>
      <c r="C4" s="46">
        <f>'CR-TR_Interactions'!C4*Metrics_Voting!$C$4</f>
        <v>0</v>
      </c>
      <c r="D4" s="46">
        <f>'CR-TR_Interactions'!D4*Metrics_Voting!$C$5</f>
        <v>0</v>
      </c>
      <c r="E4" s="46">
        <f>'CR-TR_Interactions'!E4*Metrics_Voting!$C$7</f>
        <v>0</v>
      </c>
      <c r="F4" s="46">
        <f>'CR-TR_Interactions'!F4*Metrics_Voting!$C$8</f>
        <v>9</v>
      </c>
      <c r="G4" s="46">
        <f>'CR-TR_Interactions'!G4*Metrics_Voting!$C$9</f>
        <v>9.75</v>
      </c>
      <c r="H4" s="46">
        <f>'CR-TR_Interactions'!H4*Metrics_Voting!$C$11</f>
        <v>0</v>
      </c>
      <c r="I4" s="46">
        <f>'CR-TR_Interactions'!I4*Metrics_Voting!$C$12</f>
        <v>0</v>
      </c>
      <c r="J4" s="46">
        <f>'CR-TR_Interactions'!J4*Metrics_Voting!$C$13</f>
        <v>0</v>
      </c>
      <c r="K4" s="46">
        <f>'CR-TR_Interactions'!K4*Metrics_Voting!$C$15</f>
        <v>0</v>
      </c>
      <c r="L4" s="46">
        <f>'CR-TR_Interactions'!L4*Metrics_Voting!$C$16</f>
        <v>0</v>
      </c>
      <c r="M4" s="46">
        <f>'CR-TR_Interactions'!M4*Metrics_Voting!$C$17</f>
        <v>0</v>
      </c>
      <c r="N4" s="46">
        <f>'CR-TR_Interactions'!N4*Metrics_Voting!$C$19</f>
        <v>29.25</v>
      </c>
      <c r="O4" s="46">
        <f>'CR-TR_Interactions'!O4*Metrics_Voting!$C$20</f>
        <v>2.75</v>
      </c>
      <c r="P4" s="46">
        <f>'CR-TR_Interactions'!P4*Metrics_Voting!$C$21</f>
        <v>3.5</v>
      </c>
      <c r="Q4" s="46">
        <f>'CR-TR_Interactions'!Q4*Metrics_Voting!$C$23</f>
        <v>11.25</v>
      </c>
      <c r="R4" s="46">
        <f>'CR-TR_Interactions'!R4*Metrics_Voting!$C$24</f>
        <v>33.75</v>
      </c>
      <c r="S4" s="46">
        <f>'CR-TR_Interactions'!S4*Metrics_Voting!$C$25</f>
        <v>24.75</v>
      </c>
      <c r="T4" s="46">
        <f>'CR-TR_Interactions'!T4*Metrics_Voting!$C$27</f>
        <v>0</v>
      </c>
      <c r="U4" s="46">
        <f>'CR-TR_Interactions'!U4*Metrics_Voting!$C$28</f>
        <v>2.75</v>
      </c>
      <c r="V4" s="46">
        <f>'CR-TR_Interactions'!V4*Metrics_Voting!$C$29</f>
        <v>0</v>
      </c>
      <c r="W4" s="47">
        <f t="shared" ref="W4:W66" si="2">SUM(B4:V4)</f>
        <v>138.75</v>
      </c>
      <c r="X4" s="48">
        <f t="shared" si="0"/>
        <v>1.3104767301834668E-2</v>
      </c>
      <c r="Y4" s="49">
        <f t="shared" si="1"/>
        <v>32</v>
      </c>
    </row>
    <row r="5" spans="1:25" x14ac:dyDescent="0.25">
      <c r="A5" s="45" t="str">
        <f>'CR-TR_Interactions'!A5</f>
        <v>TR4</v>
      </c>
      <c r="B5" s="46">
        <f>'CR-TR_Interactions'!B5*Metrics_Voting!$C$3</f>
        <v>36</v>
      </c>
      <c r="C5" s="46">
        <f>'CR-TR_Interactions'!C5*Metrics_Voting!$C$4</f>
        <v>9.75</v>
      </c>
      <c r="D5" s="46">
        <f>'CR-TR_Interactions'!D5*Metrics_Voting!$C$5</f>
        <v>0</v>
      </c>
      <c r="E5" s="46">
        <f>'CR-TR_Interactions'!E5*Metrics_Voting!$C$7</f>
        <v>11.25</v>
      </c>
      <c r="F5" s="46">
        <f>'CR-TR_Interactions'!F5*Metrics_Voting!$C$8</f>
        <v>27</v>
      </c>
      <c r="G5" s="46">
        <f>'CR-TR_Interactions'!G5*Metrics_Voting!$C$9</f>
        <v>9.75</v>
      </c>
      <c r="H5" s="46">
        <f>'CR-TR_Interactions'!H5*Metrics_Voting!$C$11</f>
        <v>3.5</v>
      </c>
      <c r="I5" s="46">
        <f>'CR-TR_Interactions'!I5*Metrics_Voting!$C$12</f>
        <v>0</v>
      </c>
      <c r="J5" s="46">
        <f>'CR-TR_Interactions'!J5*Metrics_Voting!$C$13</f>
        <v>0</v>
      </c>
      <c r="K5" s="46">
        <f>'CR-TR_Interactions'!K5*Metrics_Voting!$C$15</f>
        <v>0</v>
      </c>
      <c r="L5" s="46">
        <f>'CR-TR_Interactions'!L5*Metrics_Voting!$C$16</f>
        <v>3.25</v>
      </c>
      <c r="M5" s="46">
        <f>'CR-TR_Interactions'!M5*Metrics_Voting!$C$17</f>
        <v>0</v>
      </c>
      <c r="N5" s="46">
        <f>'CR-TR_Interactions'!N5*Metrics_Voting!$C$19</f>
        <v>9.75</v>
      </c>
      <c r="O5" s="46">
        <f>'CR-TR_Interactions'!O5*Metrics_Voting!$C$20</f>
        <v>8.25</v>
      </c>
      <c r="P5" s="46">
        <f>'CR-TR_Interactions'!P5*Metrics_Voting!$C$21</f>
        <v>0</v>
      </c>
      <c r="Q5" s="46">
        <f>'CR-TR_Interactions'!Q5*Metrics_Voting!$C$23</f>
        <v>11.25</v>
      </c>
      <c r="R5" s="46">
        <f>'CR-TR_Interactions'!R5*Metrics_Voting!$C$24</f>
        <v>11.25</v>
      </c>
      <c r="S5" s="46">
        <f>'CR-TR_Interactions'!S5*Metrics_Voting!$C$25</f>
        <v>8.25</v>
      </c>
      <c r="T5" s="46">
        <f>'CR-TR_Interactions'!T5*Metrics_Voting!$C$27</f>
        <v>0</v>
      </c>
      <c r="U5" s="46">
        <f>'CR-TR_Interactions'!U5*Metrics_Voting!$C$28</f>
        <v>8.25</v>
      </c>
      <c r="V5" s="46">
        <f>'CR-TR_Interactions'!V5*Metrics_Voting!$C$29</f>
        <v>3.75</v>
      </c>
      <c r="W5" s="47">
        <f t="shared" si="2"/>
        <v>161.25</v>
      </c>
      <c r="X5" s="48">
        <f t="shared" si="0"/>
        <v>1.5229864702132181E-2</v>
      </c>
      <c r="Y5" s="49">
        <f t="shared" si="1"/>
        <v>19</v>
      </c>
    </row>
    <row r="6" spans="1:25" x14ac:dyDescent="0.25">
      <c r="A6" s="45" t="str">
        <f>'CR-TR_Interactions'!A6</f>
        <v>TR5</v>
      </c>
      <c r="B6" s="46">
        <f>'CR-TR_Interactions'!B6*Metrics_Voting!$C$3</f>
        <v>4</v>
      </c>
      <c r="C6" s="46">
        <f>'CR-TR_Interactions'!C6*Metrics_Voting!$C$4</f>
        <v>29.25</v>
      </c>
      <c r="D6" s="46">
        <f>'CR-TR_Interactions'!D6*Metrics_Voting!$C$5</f>
        <v>0</v>
      </c>
      <c r="E6" s="46">
        <f>'CR-TR_Interactions'!E6*Metrics_Voting!$C$7</f>
        <v>11.25</v>
      </c>
      <c r="F6" s="46">
        <f>'CR-TR_Interactions'!F6*Metrics_Voting!$C$8</f>
        <v>9</v>
      </c>
      <c r="G6" s="46">
        <f>'CR-TR_Interactions'!G6*Metrics_Voting!$C$9</f>
        <v>3.25</v>
      </c>
      <c r="H6" s="46">
        <f>'CR-TR_Interactions'!H6*Metrics_Voting!$C$11</f>
        <v>3.5</v>
      </c>
      <c r="I6" s="46">
        <f>'CR-TR_Interactions'!I6*Metrics_Voting!$C$12</f>
        <v>0</v>
      </c>
      <c r="J6" s="46">
        <f>'CR-TR_Interactions'!J6*Metrics_Voting!$C$13</f>
        <v>0</v>
      </c>
      <c r="K6" s="46">
        <f>'CR-TR_Interactions'!K6*Metrics_Voting!$C$15</f>
        <v>0</v>
      </c>
      <c r="L6" s="46">
        <f>'CR-TR_Interactions'!L6*Metrics_Voting!$C$16</f>
        <v>0</v>
      </c>
      <c r="M6" s="46">
        <f>'CR-TR_Interactions'!M6*Metrics_Voting!$C$17</f>
        <v>0</v>
      </c>
      <c r="N6" s="46">
        <f>'CR-TR_Interactions'!N6*Metrics_Voting!$C$19</f>
        <v>9.75</v>
      </c>
      <c r="O6" s="46">
        <f>'CR-TR_Interactions'!O6*Metrics_Voting!$C$20</f>
        <v>8.25</v>
      </c>
      <c r="P6" s="46">
        <f>'CR-TR_Interactions'!P6*Metrics_Voting!$C$21</f>
        <v>0</v>
      </c>
      <c r="Q6" s="46">
        <f>'CR-TR_Interactions'!Q6*Metrics_Voting!$C$23</f>
        <v>3.75</v>
      </c>
      <c r="R6" s="46">
        <f>'CR-TR_Interactions'!R6*Metrics_Voting!$C$24</f>
        <v>11.25</v>
      </c>
      <c r="S6" s="46">
        <f>'CR-TR_Interactions'!S6*Metrics_Voting!$C$25</f>
        <v>2.75</v>
      </c>
      <c r="T6" s="46">
        <f>'CR-TR_Interactions'!T6*Metrics_Voting!$C$27</f>
        <v>0</v>
      </c>
      <c r="U6" s="46">
        <f>'CR-TR_Interactions'!U6*Metrics_Voting!$C$28</f>
        <v>8.25</v>
      </c>
      <c r="V6" s="46">
        <f>'CR-TR_Interactions'!V6*Metrics_Voting!$C$29</f>
        <v>0</v>
      </c>
      <c r="W6" s="47">
        <f t="shared" si="2"/>
        <v>104.25</v>
      </c>
      <c r="X6" s="48">
        <f t="shared" si="0"/>
        <v>9.8462846213784802E-3</v>
      </c>
      <c r="Y6" s="49">
        <f t="shared" si="1"/>
        <v>53</v>
      </c>
    </row>
    <row r="7" spans="1:25" x14ac:dyDescent="0.25">
      <c r="A7" s="45" t="str">
        <f>'CR-TR_Interactions'!A7</f>
        <v>TR6</v>
      </c>
      <c r="B7" s="46">
        <f>'CR-TR_Interactions'!B7*Metrics_Voting!$C$3</f>
        <v>4</v>
      </c>
      <c r="C7" s="46">
        <f>'CR-TR_Interactions'!C7*Metrics_Voting!$C$4</f>
        <v>29.25</v>
      </c>
      <c r="D7" s="46">
        <f>'CR-TR_Interactions'!D7*Metrics_Voting!$C$5</f>
        <v>0</v>
      </c>
      <c r="E7" s="46">
        <f>'CR-TR_Interactions'!E7*Metrics_Voting!$C$7</f>
        <v>11.25</v>
      </c>
      <c r="F7" s="46">
        <f>'CR-TR_Interactions'!F7*Metrics_Voting!$C$8</f>
        <v>9</v>
      </c>
      <c r="G7" s="46">
        <f>'CR-TR_Interactions'!G7*Metrics_Voting!$C$9</f>
        <v>3.25</v>
      </c>
      <c r="H7" s="46">
        <f>'CR-TR_Interactions'!H7*Metrics_Voting!$C$11</f>
        <v>3.5</v>
      </c>
      <c r="I7" s="46">
        <f>'CR-TR_Interactions'!I7*Metrics_Voting!$C$12</f>
        <v>0</v>
      </c>
      <c r="J7" s="46">
        <f>'CR-TR_Interactions'!J7*Metrics_Voting!$C$13</f>
        <v>0</v>
      </c>
      <c r="K7" s="46">
        <f>'CR-TR_Interactions'!K7*Metrics_Voting!$C$15</f>
        <v>0</v>
      </c>
      <c r="L7" s="46">
        <f>'CR-TR_Interactions'!L7*Metrics_Voting!$C$16</f>
        <v>0</v>
      </c>
      <c r="M7" s="46">
        <f>'CR-TR_Interactions'!M7*Metrics_Voting!$C$17</f>
        <v>0</v>
      </c>
      <c r="N7" s="46">
        <f>'CR-TR_Interactions'!N7*Metrics_Voting!$C$19</f>
        <v>9.75</v>
      </c>
      <c r="O7" s="46">
        <f>'CR-TR_Interactions'!O7*Metrics_Voting!$C$20</f>
        <v>2.75</v>
      </c>
      <c r="P7" s="46">
        <f>'CR-TR_Interactions'!P7*Metrics_Voting!$C$21</f>
        <v>0</v>
      </c>
      <c r="Q7" s="46">
        <f>'CR-TR_Interactions'!Q7*Metrics_Voting!$C$23</f>
        <v>3.75</v>
      </c>
      <c r="R7" s="46">
        <f>'CR-TR_Interactions'!R7*Metrics_Voting!$C$24</f>
        <v>11.25</v>
      </c>
      <c r="S7" s="46">
        <f>'CR-TR_Interactions'!S7*Metrics_Voting!$C$25</f>
        <v>2.75</v>
      </c>
      <c r="T7" s="46">
        <f>'CR-TR_Interactions'!T7*Metrics_Voting!$C$27</f>
        <v>0</v>
      </c>
      <c r="U7" s="46">
        <f>'CR-TR_Interactions'!U7*Metrics_Voting!$C$28</f>
        <v>8.25</v>
      </c>
      <c r="V7" s="46">
        <f>'CR-TR_Interactions'!V7*Metrics_Voting!$C$29</f>
        <v>0</v>
      </c>
      <c r="W7" s="47">
        <f t="shared" si="2"/>
        <v>98.75</v>
      </c>
      <c r="X7" s="48">
        <f t="shared" si="0"/>
        <v>9.3268163679724216E-3</v>
      </c>
      <c r="Y7" s="49">
        <f t="shared" si="1"/>
        <v>60</v>
      </c>
    </row>
    <row r="8" spans="1:25" x14ac:dyDescent="0.25">
      <c r="A8" s="45" t="str">
        <f>'CR-TR_Interactions'!A8</f>
        <v>TR7</v>
      </c>
      <c r="B8" s="46">
        <f>'CR-TR_Interactions'!B8*Metrics_Voting!$C$3</f>
        <v>0</v>
      </c>
      <c r="C8" s="46">
        <f>'CR-TR_Interactions'!C8*Metrics_Voting!$C$4</f>
        <v>29.25</v>
      </c>
      <c r="D8" s="46">
        <f>'CR-TR_Interactions'!D8*Metrics_Voting!$C$5</f>
        <v>0</v>
      </c>
      <c r="E8" s="46">
        <f>'CR-TR_Interactions'!E8*Metrics_Voting!$C$7</f>
        <v>11.25</v>
      </c>
      <c r="F8" s="46">
        <f>'CR-TR_Interactions'!F8*Metrics_Voting!$C$8</f>
        <v>3</v>
      </c>
      <c r="G8" s="46">
        <f>'CR-TR_Interactions'!G8*Metrics_Voting!$C$9</f>
        <v>3.25</v>
      </c>
      <c r="H8" s="46">
        <f>'CR-TR_Interactions'!H8*Metrics_Voting!$C$11</f>
        <v>0</v>
      </c>
      <c r="I8" s="46">
        <f>'CR-TR_Interactions'!I8*Metrics_Voting!$C$12</f>
        <v>0</v>
      </c>
      <c r="J8" s="46">
        <f>'CR-TR_Interactions'!J8*Metrics_Voting!$C$13</f>
        <v>0</v>
      </c>
      <c r="K8" s="46">
        <f>'CR-TR_Interactions'!K8*Metrics_Voting!$C$15</f>
        <v>0</v>
      </c>
      <c r="L8" s="46">
        <f>'CR-TR_Interactions'!L8*Metrics_Voting!$C$16</f>
        <v>0</v>
      </c>
      <c r="M8" s="46">
        <f>'CR-TR_Interactions'!M8*Metrics_Voting!$C$17</f>
        <v>0</v>
      </c>
      <c r="N8" s="46">
        <f>'CR-TR_Interactions'!N8*Metrics_Voting!$C$19</f>
        <v>9.75</v>
      </c>
      <c r="O8" s="46">
        <f>'CR-TR_Interactions'!O8*Metrics_Voting!$C$20</f>
        <v>2.75</v>
      </c>
      <c r="P8" s="46">
        <f>'CR-TR_Interactions'!P8*Metrics_Voting!$C$21</f>
        <v>0</v>
      </c>
      <c r="Q8" s="46">
        <f>'CR-TR_Interactions'!Q8*Metrics_Voting!$C$23</f>
        <v>11.25</v>
      </c>
      <c r="R8" s="46">
        <f>'CR-TR_Interactions'!R8*Metrics_Voting!$C$24</f>
        <v>11.25</v>
      </c>
      <c r="S8" s="46">
        <f>'CR-TR_Interactions'!S8*Metrics_Voting!$C$25</f>
        <v>2.75</v>
      </c>
      <c r="T8" s="46">
        <f>'CR-TR_Interactions'!T8*Metrics_Voting!$C$27</f>
        <v>0</v>
      </c>
      <c r="U8" s="46">
        <f>'CR-TR_Interactions'!U8*Metrics_Voting!$C$28</f>
        <v>2.75</v>
      </c>
      <c r="V8" s="46">
        <f>'CR-TR_Interactions'!V8*Metrics_Voting!$C$29</f>
        <v>0</v>
      </c>
      <c r="W8" s="47">
        <f t="shared" si="2"/>
        <v>87.25</v>
      </c>
      <c r="X8" s="48">
        <f t="shared" si="0"/>
        <v>8.2406554744870256E-3</v>
      </c>
      <c r="Y8" s="49">
        <f t="shared" si="1"/>
        <v>62</v>
      </c>
    </row>
    <row r="9" spans="1:25" x14ac:dyDescent="0.25">
      <c r="A9" s="45" t="str">
        <f>'CR-TR_Interactions'!A9</f>
        <v>TR8</v>
      </c>
      <c r="B9" s="46">
        <f>'CR-TR_Interactions'!B9*Metrics_Voting!$C$3</f>
        <v>12</v>
      </c>
      <c r="C9" s="46">
        <f>'CR-TR_Interactions'!C9*Metrics_Voting!$C$4</f>
        <v>9.75</v>
      </c>
      <c r="D9" s="46">
        <f>'CR-TR_Interactions'!D9*Metrics_Voting!$C$5</f>
        <v>12</v>
      </c>
      <c r="E9" s="46">
        <f>'CR-TR_Interactions'!E9*Metrics_Voting!$C$7</f>
        <v>11.25</v>
      </c>
      <c r="F9" s="46">
        <f>'CR-TR_Interactions'!F9*Metrics_Voting!$C$8</f>
        <v>3</v>
      </c>
      <c r="G9" s="46">
        <f>'CR-TR_Interactions'!G9*Metrics_Voting!$C$9</f>
        <v>9.75</v>
      </c>
      <c r="H9" s="46">
        <f>'CR-TR_Interactions'!H9*Metrics_Voting!$C$11</f>
        <v>10.5</v>
      </c>
      <c r="I9" s="46">
        <f>'CR-TR_Interactions'!I9*Metrics_Voting!$C$12</f>
        <v>0</v>
      </c>
      <c r="J9" s="46">
        <f>'CR-TR_Interactions'!J9*Metrics_Voting!$C$13</f>
        <v>0</v>
      </c>
      <c r="K9" s="46">
        <f>'CR-TR_Interactions'!K9*Metrics_Voting!$C$15</f>
        <v>11.25</v>
      </c>
      <c r="L9" s="46">
        <f>'CR-TR_Interactions'!L9*Metrics_Voting!$C$16</f>
        <v>9.75</v>
      </c>
      <c r="M9" s="46">
        <f>'CR-TR_Interactions'!M9*Metrics_Voting!$C$17</f>
        <v>3.25</v>
      </c>
      <c r="N9" s="46">
        <f>'CR-TR_Interactions'!N9*Metrics_Voting!$C$19</f>
        <v>9.75</v>
      </c>
      <c r="O9" s="46">
        <f>'CR-TR_Interactions'!O9*Metrics_Voting!$C$20</f>
        <v>2.75</v>
      </c>
      <c r="P9" s="46">
        <f>'CR-TR_Interactions'!P9*Metrics_Voting!$C$21</f>
        <v>0</v>
      </c>
      <c r="Q9" s="46">
        <f>'CR-TR_Interactions'!Q9*Metrics_Voting!$C$23</f>
        <v>11.25</v>
      </c>
      <c r="R9" s="46">
        <f>'CR-TR_Interactions'!R9*Metrics_Voting!$C$24</f>
        <v>33.75</v>
      </c>
      <c r="S9" s="46">
        <f>'CR-TR_Interactions'!S9*Metrics_Voting!$C$25</f>
        <v>24.75</v>
      </c>
      <c r="T9" s="46">
        <f>'CR-TR_Interactions'!T9*Metrics_Voting!$C$27</f>
        <v>0</v>
      </c>
      <c r="U9" s="46">
        <f>'CR-TR_Interactions'!U9*Metrics_Voting!$C$28</f>
        <v>8.25</v>
      </c>
      <c r="V9" s="46">
        <f>'CR-TR_Interactions'!V9*Metrics_Voting!$C$29</f>
        <v>11.25</v>
      </c>
      <c r="W9" s="47">
        <f t="shared" si="2"/>
        <v>194.25</v>
      </c>
      <c r="X9" s="48">
        <f t="shared" si="0"/>
        <v>1.8346674222568533E-2</v>
      </c>
      <c r="Y9" s="49">
        <f t="shared" si="1"/>
        <v>5</v>
      </c>
    </row>
    <row r="10" spans="1:25" x14ac:dyDescent="0.25">
      <c r="A10" s="45" t="str">
        <f>'CR-TR_Interactions'!A10</f>
        <v>TR9</v>
      </c>
      <c r="B10" s="46">
        <f>'CR-TR_Interactions'!B10*Metrics_Voting!$C$3</f>
        <v>4</v>
      </c>
      <c r="C10" s="46">
        <f>'CR-TR_Interactions'!C10*Metrics_Voting!$C$4</f>
        <v>0</v>
      </c>
      <c r="D10" s="46">
        <f>'CR-TR_Interactions'!D10*Metrics_Voting!$C$5</f>
        <v>36</v>
      </c>
      <c r="E10" s="46">
        <f>'CR-TR_Interactions'!E10*Metrics_Voting!$C$7</f>
        <v>0</v>
      </c>
      <c r="F10" s="46">
        <f>'CR-TR_Interactions'!F10*Metrics_Voting!$C$8</f>
        <v>0</v>
      </c>
      <c r="G10" s="46">
        <f>'CR-TR_Interactions'!G10*Metrics_Voting!$C$9</f>
        <v>0</v>
      </c>
      <c r="H10" s="46">
        <f>'CR-TR_Interactions'!H10*Metrics_Voting!$C$11</f>
        <v>31.5</v>
      </c>
      <c r="I10" s="46">
        <f>'CR-TR_Interactions'!I10*Metrics_Voting!$C$12</f>
        <v>13.5</v>
      </c>
      <c r="J10" s="46">
        <f>'CR-TR_Interactions'!J10*Metrics_Voting!$C$13</f>
        <v>2</v>
      </c>
      <c r="K10" s="46">
        <f>'CR-TR_Interactions'!K10*Metrics_Voting!$C$15</f>
        <v>0</v>
      </c>
      <c r="L10" s="46">
        <f>'CR-TR_Interactions'!L10*Metrics_Voting!$C$16</f>
        <v>0</v>
      </c>
      <c r="M10" s="46">
        <f>'CR-TR_Interactions'!M10*Metrics_Voting!$C$17</f>
        <v>3.25</v>
      </c>
      <c r="N10" s="46">
        <f>'CR-TR_Interactions'!N10*Metrics_Voting!$C$19</f>
        <v>3.25</v>
      </c>
      <c r="O10" s="46">
        <f>'CR-TR_Interactions'!O10*Metrics_Voting!$C$20</f>
        <v>0</v>
      </c>
      <c r="P10" s="46">
        <f>'CR-TR_Interactions'!P10*Metrics_Voting!$C$21</f>
        <v>0</v>
      </c>
      <c r="Q10" s="46">
        <f>'CR-TR_Interactions'!Q10*Metrics_Voting!$C$23</f>
        <v>3.75</v>
      </c>
      <c r="R10" s="46">
        <f>'CR-TR_Interactions'!R10*Metrics_Voting!$C$24</f>
        <v>3.75</v>
      </c>
      <c r="S10" s="46">
        <f>'CR-TR_Interactions'!S10*Metrics_Voting!$C$25</f>
        <v>2.75</v>
      </c>
      <c r="T10" s="46">
        <f>'CR-TR_Interactions'!T10*Metrics_Voting!$C$27</f>
        <v>0</v>
      </c>
      <c r="U10" s="46">
        <f>'CR-TR_Interactions'!U10*Metrics_Voting!$C$28</f>
        <v>8.25</v>
      </c>
      <c r="V10" s="46">
        <f>'CR-TR_Interactions'!V10*Metrics_Voting!$C$29</f>
        <v>3.75</v>
      </c>
      <c r="W10" s="47">
        <f t="shared" si="2"/>
        <v>115.75</v>
      </c>
      <c r="X10" s="48">
        <f t="shared" si="0"/>
        <v>1.0932445514863876E-2</v>
      </c>
      <c r="Y10" s="49">
        <f t="shared" si="1"/>
        <v>50</v>
      </c>
    </row>
    <row r="11" spans="1:25" x14ac:dyDescent="0.25">
      <c r="A11" s="45" t="str">
        <f>'CR-TR_Interactions'!A11</f>
        <v>TR10</v>
      </c>
      <c r="B11" s="46">
        <f>'CR-TR_Interactions'!B11*Metrics_Voting!$C$3</f>
        <v>4</v>
      </c>
      <c r="C11" s="46">
        <f>'CR-TR_Interactions'!C11*Metrics_Voting!$C$4</f>
        <v>0</v>
      </c>
      <c r="D11" s="46">
        <f>'CR-TR_Interactions'!D11*Metrics_Voting!$C$5</f>
        <v>36</v>
      </c>
      <c r="E11" s="46">
        <f>'CR-TR_Interactions'!E11*Metrics_Voting!$C$7</f>
        <v>0</v>
      </c>
      <c r="F11" s="46">
        <f>'CR-TR_Interactions'!F11*Metrics_Voting!$C$8</f>
        <v>3</v>
      </c>
      <c r="G11" s="46">
        <f>'CR-TR_Interactions'!G11*Metrics_Voting!$C$9</f>
        <v>9.75</v>
      </c>
      <c r="H11" s="46">
        <f>'CR-TR_Interactions'!H11*Metrics_Voting!$C$11</f>
        <v>31.5</v>
      </c>
      <c r="I11" s="46">
        <f>'CR-TR_Interactions'!I11*Metrics_Voting!$C$12</f>
        <v>4.5</v>
      </c>
      <c r="J11" s="46">
        <f>'CR-TR_Interactions'!J11*Metrics_Voting!$C$13</f>
        <v>6</v>
      </c>
      <c r="K11" s="46">
        <f>'CR-TR_Interactions'!K11*Metrics_Voting!$C$15</f>
        <v>11.25</v>
      </c>
      <c r="L11" s="46">
        <f>'CR-TR_Interactions'!L11*Metrics_Voting!$C$16</f>
        <v>0</v>
      </c>
      <c r="M11" s="46">
        <f>'CR-TR_Interactions'!M11*Metrics_Voting!$C$17</f>
        <v>3.25</v>
      </c>
      <c r="N11" s="46">
        <f>'CR-TR_Interactions'!N11*Metrics_Voting!$C$19</f>
        <v>9.75</v>
      </c>
      <c r="O11" s="46">
        <f>'CR-TR_Interactions'!O11*Metrics_Voting!$C$20</f>
        <v>0</v>
      </c>
      <c r="P11" s="46">
        <f>'CR-TR_Interactions'!P11*Metrics_Voting!$C$21</f>
        <v>0</v>
      </c>
      <c r="Q11" s="46">
        <f>'CR-TR_Interactions'!Q11*Metrics_Voting!$C$23</f>
        <v>11.25</v>
      </c>
      <c r="R11" s="46">
        <f>'CR-TR_Interactions'!R11*Metrics_Voting!$C$24</f>
        <v>11.25</v>
      </c>
      <c r="S11" s="46">
        <f>'CR-TR_Interactions'!S11*Metrics_Voting!$C$25</f>
        <v>8.25</v>
      </c>
      <c r="T11" s="46">
        <f>'CR-TR_Interactions'!T11*Metrics_Voting!$C$27</f>
        <v>0</v>
      </c>
      <c r="U11" s="46">
        <f>'CR-TR_Interactions'!U11*Metrics_Voting!$C$28</f>
        <v>8.25</v>
      </c>
      <c r="V11" s="46">
        <f>'CR-TR_Interactions'!V11*Metrics_Voting!$C$29</f>
        <v>0</v>
      </c>
      <c r="W11" s="47">
        <f t="shared" si="2"/>
        <v>158</v>
      </c>
      <c r="X11" s="48">
        <f t="shared" si="0"/>
        <v>1.4922906188755873E-2</v>
      </c>
      <c r="Y11" s="49">
        <f t="shared" si="1"/>
        <v>21</v>
      </c>
    </row>
    <row r="12" spans="1:25" x14ac:dyDescent="0.25">
      <c r="A12" s="45" t="str">
        <f>'CR-TR_Interactions'!A12</f>
        <v>TR11</v>
      </c>
      <c r="B12" s="46">
        <f>'CR-TR_Interactions'!B12*Metrics_Voting!$C$3</f>
        <v>12</v>
      </c>
      <c r="C12" s="46">
        <f>'CR-TR_Interactions'!C12*Metrics_Voting!$C$4</f>
        <v>0</v>
      </c>
      <c r="D12" s="46">
        <f>'CR-TR_Interactions'!D12*Metrics_Voting!$C$5</f>
        <v>36</v>
      </c>
      <c r="E12" s="46">
        <f>'CR-TR_Interactions'!E12*Metrics_Voting!$C$7</f>
        <v>0</v>
      </c>
      <c r="F12" s="46">
        <f>'CR-TR_Interactions'!F12*Metrics_Voting!$C$8</f>
        <v>3</v>
      </c>
      <c r="G12" s="46">
        <f>'CR-TR_Interactions'!G12*Metrics_Voting!$C$9</f>
        <v>9.75</v>
      </c>
      <c r="H12" s="46">
        <f>'CR-TR_Interactions'!H12*Metrics_Voting!$C$11</f>
        <v>10.5</v>
      </c>
      <c r="I12" s="46">
        <f>'CR-TR_Interactions'!I12*Metrics_Voting!$C$12</f>
        <v>4.5</v>
      </c>
      <c r="J12" s="46">
        <f>'CR-TR_Interactions'!J12*Metrics_Voting!$C$13</f>
        <v>6</v>
      </c>
      <c r="K12" s="46">
        <f>'CR-TR_Interactions'!K12*Metrics_Voting!$C$15</f>
        <v>11.25</v>
      </c>
      <c r="L12" s="46">
        <f>'CR-TR_Interactions'!L12*Metrics_Voting!$C$16</f>
        <v>0</v>
      </c>
      <c r="M12" s="46">
        <f>'CR-TR_Interactions'!M12*Metrics_Voting!$C$17</f>
        <v>0</v>
      </c>
      <c r="N12" s="46">
        <f>'CR-TR_Interactions'!N12*Metrics_Voting!$C$19</f>
        <v>9.75</v>
      </c>
      <c r="O12" s="46">
        <f>'CR-TR_Interactions'!O12*Metrics_Voting!$C$20</f>
        <v>0</v>
      </c>
      <c r="P12" s="46">
        <f>'CR-TR_Interactions'!P12*Metrics_Voting!$C$21</f>
        <v>0</v>
      </c>
      <c r="Q12" s="46">
        <f>'CR-TR_Interactions'!Q12*Metrics_Voting!$C$23</f>
        <v>11.25</v>
      </c>
      <c r="R12" s="46">
        <f>'CR-TR_Interactions'!R12*Metrics_Voting!$C$24</f>
        <v>11.25</v>
      </c>
      <c r="S12" s="46">
        <f>'CR-TR_Interactions'!S12*Metrics_Voting!$C$25</f>
        <v>8.25</v>
      </c>
      <c r="T12" s="46">
        <f>'CR-TR_Interactions'!T12*Metrics_Voting!$C$27</f>
        <v>0</v>
      </c>
      <c r="U12" s="46">
        <f>'CR-TR_Interactions'!U12*Metrics_Voting!$C$28</f>
        <v>8.25</v>
      </c>
      <c r="V12" s="46">
        <f>'CR-TR_Interactions'!V12*Metrics_Voting!$C$29</f>
        <v>0</v>
      </c>
      <c r="W12" s="47">
        <f t="shared" si="2"/>
        <v>141.75</v>
      </c>
      <c r="X12" s="48">
        <f t="shared" si="0"/>
        <v>1.3388113621874335E-2</v>
      </c>
      <c r="Y12" s="49">
        <f t="shared" si="1"/>
        <v>28</v>
      </c>
    </row>
    <row r="13" spans="1:25" x14ac:dyDescent="0.25">
      <c r="A13" s="45" t="str">
        <f>'CR-TR_Interactions'!A13</f>
        <v>TR12</v>
      </c>
      <c r="B13" s="46">
        <f>'CR-TR_Interactions'!B13*Metrics_Voting!$C$3</f>
        <v>4</v>
      </c>
      <c r="C13" s="46">
        <f>'CR-TR_Interactions'!C13*Metrics_Voting!$C$4</f>
        <v>0</v>
      </c>
      <c r="D13" s="46">
        <f>'CR-TR_Interactions'!D13*Metrics_Voting!$C$5</f>
        <v>36</v>
      </c>
      <c r="E13" s="46">
        <f>'CR-TR_Interactions'!E13*Metrics_Voting!$C$7</f>
        <v>0</v>
      </c>
      <c r="F13" s="46">
        <f>'CR-TR_Interactions'!F13*Metrics_Voting!$C$8</f>
        <v>0</v>
      </c>
      <c r="G13" s="46">
        <f>'CR-TR_Interactions'!G13*Metrics_Voting!$C$9</f>
        <v>0</v>
      </c>
      <c r="H13" s="46">
        <f>'CR-TR_Interactions'!H13*Metrics_Voting!$C$11</f>
        <v>31.5</v>
      </c>
      <c r="I13" s="46">
        <f>'CR-TR_Interactions'!I13*Metrics_Voting!$C$12</f>
        <v>1.5</v>
      </c>
      <c r="J13" s="46">
        <f>'CR-TR_Interactions'!J13*Metrics_Voting!$C$13</f>
        <v>2</v>
      </c>
      <c r="K13" s="46">
        <f>'CR-TR_Interactions'!K13*Metrics_Voting!$C$15</f>
        <v>0</v>
      </c>
      <c r="L13" s="46">
        <f>'CR-TR_Interactions'!L13*Metrics_Voting!$C$16</f>
        <v>0</v>
      </c>
      <c r="M13" s="46">
        <f>'CR-TR_Interactions'!M13*Metrics_Voting!$C$17</f>
        <v>3.25</v>
      </c>
      <c r="N13" s="46">
        <f>'CR-TR_Interactions'!N13*Metrics_Voting!$C$19</f>
        <v>3.25</v>
      </c>
      <c r="O13" s="46">
        <f>'CR-TR_Interactions'!O13*Metrics_Voting!$C$20</f>
        <v>0</v>
      </c>
      <c r="P13" s="46">
        <f>'CR-TR_Interactions'!P13*Metrics_Voting!$C$21</f>
        <v>0</v>
      </c>
      <c r="Q13" s="46">
        <f>'CR-TR_Interactions'!Q13*Metrics_Voting!$C$23</f>
        <v>3.75</v>
      </c>
      <c r="R13" s="46">
        <f>'CR-TR_Interactions'!R13*Metrics_Voting!$C$24</f>
        <v>3.75</v>
      </c>
      <c r="S13" s="46">
        <f>'CR-TR_Interactions'!S13*Metrics_Voting!$C$25</f>
        <v>2.75</v>
      </c>
      <c r="T13" s="46">
        <f>'CR-TR_Interactions'!T13*Metrics_Voting!$C$27</f>
        <v>0</v>
      </c>
      <c r="U13" s="46">
        <f>'CR-TR_Interactions'!U13*Metrics_Voting!$C$28</f>
        <v>2.75</v>
      </c>
      <c r="V13" s="46">
        <f>'CR-TR_Interactions'!V13*Metrics_Voting!$C$29</f>
        <v>0</v>
      </c>
      <c r="W13" s="47">
        <f t="shared" si="2"/>
        <v>94.5</v>
      </c>
      <c r="X13" s="48">
        <f t="shared" si="0"/>
        <v>8.9254090812495579E-3</v>
      </c>
      <c r="Y13" s="49">
        <f t="shared" si="1"/>
        <v>61</v>
      </c>
    </row>
    <row r="14" spans="1:25" x14ac:dyDescent="0.25">
      <c r="A14" s="45" t="str">
        <f>'CR-TR_Interactions'!A14</f>
        <v>TR13</v>
      </c>
      <c r="B14" s="46">
        <f>'CR-TR_Interactions'!B14*Metrics_Voting!$C$3</f>
        <v>36</v>
      </c>
      <c r="C14" s="46">
        <f>'CR-TR_Interactions'!C14*Metrics_Voting!$C$4</f>
        <v>29.25</v>
      </c>
      <c r="D14" s="46">
        <f>'CR-TR_Interactions'!D14*Metrics_Voting!$C$5</f>
        <v>0</v>
      </c>
      <c r="E14" s="46">
        <f>'CR-TR_Interactions'!E14*Metrics_Voting!$C$7</f>
        <v>33.75</v>
      </c>
      <c r="F14" s="46">
        <f>'CR-TR_Interactions'!F14*Metrics_Voting!$C$8</f>
        <v>27</v>
      </c>
      <c r="G14" s="46">
        <f>'CR-TR_Interactions'!G14*Metrics_Voting!$C$9</f>
        <v>29.25</v>
      </c>
      <c r="H14" s="46">
        <f>'CR-TR_Interactions'!H14*Metrics_Voting!$C$11</f>
        <v>0</v>
      </c>
      <c r="I14" s="46">
        <f>'CR-TR_Interactions'!I14*Metrics_Voting!$C$12</f>
        <v>0</v>
      </c>
      <c r="J14" s="46">
        <f>'CR-TR_Interactions'!J14*Metrics_Voting!$C$13</f>
        <v>0</v>
      </c>
      <c r="K14" s="46">
        <f>'CR-TR_Interactions'!K14*Metrics_Voting!$C$15</f>
        <v>0</v>
      </c>
      <c r="L14" s="46">
        <f>'CR-TR_Interactions'!L14*Metrics_Voting!$C$16</f>
        <v>0</v>
      </c>
      <c r="M14" s="46">
        <f>'CR-TR_Interactions'!M14*Metrics_Voting!$C$17</f>
        <v>0</v>
      </c>
      <c r="N14" s="46">
        <f>'CR-TR_Interactions'!N14*Metrics_Voting!$C$19</f>
        <v>9.75</v>
      </c>
      <c r="O14" s="46">
        <f>'CR-TR_Interactions'!O14*Metrics_Voting!$C$20</f>
        <v>2.75</v>
      </c>
      <c r="P14" s="46">
        <f>'CR-TR_Interactions'!P14*Metrics_Voting!$C$21</f>
        <v>10.5</v>
      </c>
      <c r="Q14" s="46">
        <f>'CR-TR_Interactions'!Q14*Metrics_Voting!$C$23</f>
        <v>3.75</v>
      </c>
      <c r="R14" s="46">
        <f>'CR-TR_Interactions'!R14*Metrics_Voting!$C$24</f>
        <v>11.25</v>
      </c>
      <c r="S14" s="46">
        <f>'CR-TR_Interactions'!S14*Metrics_Voting!$C$25</f>
        <v>8.25</v>
      </c>
      <c r="T14" s="46">
        <f>'CR-TR_Interactions'!T14*Metrics_Voting!$C$27</f>
        <v>0</v>
      </c>
      <c r="U14" s="46">
        <f>'CR-TR_Interactions'!U14*Metrics_Voting!$C$28</f>
        <v>8.25</v>
      </c>
      <c r="V14" s="46">
        <f>'CR-TR_Interactions'!V14*Metrics_Voting!$C$29</f>
        <v>11.25</v>
      </c>
      <c r="W14" s="47">
        <f t="shared" si="2"/>
        <v>221</v>
      </c>
      <c r="X14" s="48">
        <f t="shared" si="0"/>
        <v>2.087317890958891E-2</v>
      </c>
      <c r="Y14" s="49">
        <f t="shared" si="1"/>
        <v>2</v>
      </c>
    </row>
    <row r="15" spans="1:25" x14ac:dyDescent="0.25">
      <c r="A15" s="45" t="str">
        <f>'CR-TR_Interactions'!A15</f>
        <v>TR14</v>
      </c>
      <c r="B15" s="46">
        <f>'CR-TR_Interactions'!B15*Metrics_Voting!$C$3</f>
        <v>36</v>
      </c>
      <c r="C15" s="46">
        <f>'CR-TR_Interactions'!C15*Metrics_Voting!$C$4</f>
        <v>29.25</v>
      </c>
      <c r="D15" s="46">
        <f>'CR-TR_Interactions'!D15*Metrics_Voting!$C$5</f>
        <v>0</v>
      </c>
      <c r="E15" s="46">
        <f>'CR-TR_Interactions'!E15*Metrics_Voting!$C$7</f>
        <v>33.75</v>
      </c>
      <c r="F15" s="46">
        <f>'CR-TR_Interactions'!F15*Metrics_Voting!$C$8</f>
        <v>27</v>
      </c>
      <c r="G15" s="46">
        <f>'CR-TR_Interactions'!G15*Metrics_Voting!$C$9</f>
        <v>29.25</v>
      </c>
      <c r="H15" s="46">
        <f>'CR-TR_Interactions'!H15*Metrics_Voting!$C$11</f>
        <v>0</v>
      </c>
      <c r="I15" s="46">
        <f>'CR-TR_Interactions'!I15*Metrics_Voting!$C$12</f>
        <v>0</v>
      </c>
      <c r="J15" s="46">
        <f>'CR-TR_Interactions'!J15*Metrics_Voting!$C$13</f>
        <v>0</v>
      </c>
      <c r="K15" s="46">
        <f>'CR-TR_Interactions'!K15*Metrics_Voting!$C$15</f>
        <v>0</v>
      </c>
      <c r="L15" s="46">
        <f>'CR-TR_Interactions'!L15*Metrics_Voting!$C$16</f>
        <v>0</v>
      </c>
      <c r="M15" s="46">
        <f>'CR-TR_Interactions'!M15*Metrics_Voting!$C$17</f>
        <v>0</v>
      </c>
      <c r="N15" s="46">
        <f>'CR-TR_Interactions'!N15*Metrics_Voting!$C$19</f>
        <v>9.75</v>
      </c>
      <c r="O15" s="46">
        <f>'CR-TR_Interactions'!O15*Metrics_Voting!$C$20</f>
        <v>2.75</v>
      </c>
      <c r="P15" s="46">
        <f>'CR-TR_Interactions'!P15*Metrics_Voting!$C$21</f>
        <v>0</v>
      </c>
      <c r="Q15" s="46">
        <f>'CR-TR_Interactions'!Q15*Metrics_Voting!$C$23</f>
        <v>3.75</v>
      </c>
      <c r="R15" s="46">
        <f>'CR-TR_Interactions'!R15*Metrics_Voting!$C$24</f>
        <v>11.25</v>
      </c>
      <c r="S15" s="46">
        <f>'CR-TR_Interactions'!S15*Metrics_Voting!$C$25</f>
        <v>2.75</v>
      </c>
      <c r="T15" s="46">
        <f>'CR-TR_Interactions'!T15*Metrics_Voting!$C$27</f>
        <v>0</v>
      </c>
      <c r="U15" s="46">
        <f>'CR-TR_Interactions'!U15*Metrics_Voting!$C$28</f>
        <v>2.75</v>
      </c>
      <c r="V15" s="46">
        <f>'CR-TR_Interactions'!V15*Metrics_Voting!$C$29</f>
        <v>3.75</v>
      </c>
      <c r="W15" s="47">
        <f t="shared" si="2"/>
        <v>192</v>
      </c>
      <c r="X15" s="48">
        <f t="shared" si="0"/>
        <v>1.8134164482538784E-2</v>
      </c>
      <c r="Y15" s="49">
        <f t="shared" si="1"/>
        <v>6</v>
      </c>
    </row>
    <row r="16" spans="1:25" x14ac:dyDescent="0.25">
      <c r="A16" s="45" t="str">
        <f>'CR-TR_Interactions'!A16</f>
        <v>TR15</v>
      </c>
      <c r="B16" s="46">
        <f>'CR-TR_Interactions'!B16*Metrics_Voting!$C$3</f>
        <v>12</v>
      </c>
      <c r="C16" s="46">
        <f>'CR-TR_Interactions'!C16*Metrics_Voting!$C$4</f>
        <v>29.25</v>
      </c>
      <c r="D16" s="46">
        <f>'CR-TR_Interactions'!D16*Metrics_Voting!$C$5</f>
        <v>0</v>
      </c>
      <c r="E16" s="46">
        <f>'CR-TR_Interactions'!E16*Metrics_Voting!$C$7</f>
        <v>33.75</v>
      </c>
      <c r="F16" s="46">
        <f>'CR-TR_Interactions'!F16*Metrics_Voting!$C$8</f>
        <v>27</v>
      </c>
      <c r="G16" s="46">
        <f>'CR-TR_Interactions'!G16*Metrics_Voting!$C$9</f>
        <v>29.25</v>
      </c>
      <c r="H16" s="46">
        <f>'CR-TR_Interactions'!H16*Metrics_Voting!$C$11</f>
        <v>0</v>
      </c>
      <c r="I16" s="46">
        <f>'CR-TR_Interactions'!I16*Metrics_Voting!$C$12</f>
        <v>0</v>
      </c>
      <c r="J16" s="46">
        <f>'CR-TR_Interactions'!J16*Metrics_Voting!$C$13</f>
        <v>0</v>
      </c>
      <c r="K16" s="46">
        <f>'CR-TR_Interactions'!K16*Metrics_Voting!$C$15</f>
        <v>0</v>
      </c>
      <c r="L16" s="46">
        <f>'CR-TR_Interactions'!L16*Metrics_Voting!$C$16</f>
        <v>0</v>
      </c>
      <c r="M16" s="46">
        <f>'CR-TR_Interactions'!M16*Metrics_Voting!$C$17</f>
        <v>0</v>
      </c>
      <c r="N16" s="46">
        <f>'CR-TR_Interactions'!N16*Metrics_Voting!$C$19</f>
        <v>9.75</v>
      </c>
      <c r="O16" s="46">
        <f>'CR-TR_Interactions'!O16*Metrics_Voting!$C$20</f>
        <v>2.75</v>
      </c>
      <c r="P16" s="46">
        <f>'CR-TR_Interactions'!P16*Metrics_Voting!$C$21</f>
        <v>10.5</v>
      </c>
      <c r="Q16" s="46">
        <f>'CR-TR_Interactions'!Q16*Metrics_Voting!$C$23</f>
        <v>3.75</v>
      </c>
      <c r="R16" s="46">
        <f>'CR-TR_Interactions'!R16*Metrics_Voting!$C$24</f>
        <v>11.25</v>
      </c>
      <c r="S16" s="46">
        <f>'CR-TR_Interactions'!S16*Metrics_Voting!$C$25</f>
        <v>8.25</v>
      </c>
      <c r="T16" s="46">
        <f>'CR-TR_Interactions'!T16*Metrics_Voting!$C$27</f>
        <v>0</v>
      </c>
      <c r="U16" s="46">
        <f>'CR-TR_Interactions'!U16*Metrics_Voting!$C$28</f>
        <v>2.75</v>
      </c>
      <c r="V16" s="46">
        <f>'CR-TR_Interactions'!V16*Metrics_Voting!$C$29</f>
        <v>0</v>
      </c>
      <c r="W16" s="47">
        <f t="shared" si="2"/>
        <v>180.25</v>
      </c>
      <c r="X16" s="48">
        <f t="shared" si="0"/>
        <v>1.7024391395716747E-2</v>
      </c>
      <c r="Y16" s="49">
        <f t="shared" si="1"/>
        <v>9</v>
      </c>
    </row>
    <row r="17" spans="1:25" x14ac:dyDescent="0.25">
      <c r="A17" s="45" t="str">
        <f>'CR-TR_Interactions'!A17</f>
        <v>TR16</v>
      </c>
      <c r="B17" s="46">
        <f>'CR-TR_Interactions'!B17*Metrics_Voting!$C$3</f>
        <v>12</v>
      </c>
      <c r="C17" s="46">
        <f>'CR-TR_Interactions'!C17*Metrics_Voting!$C$4</f>
        <v>29.25</v>
      </c>
      <c r="D17" s="46">
        <f>'CR-TR_Interactions'!D17*Metrics_Voting!$C$5</f>
        <v>0</v>
      </c>
      <c r="E17" s="46">
        <f>'CR-TR_Interactions'!E17*Metrics_Voting!$C$7</f>
        <v>33.75</v>
      </c>
      <c r="F17" s="46">
        <f>'CR-TR_Interactions'!F17*Metrics_Voting!$C$8</f>
        <v>27</v>
      </c>
      <c r="G17" s="46">
        <f>'CR-TR_Interactions'!G17*Metrics_Voting!$C$9</f>
        <v>29.25</v>
      </c>
      <c r="H17" s="46">
        <f>'CR-TR_Interactions'!H17*Metrics_Voting!$C$11</f>
        <v>0</v>
      </c>
      <c r="I17" s="46">
        <f>'CR-TR_Interactions'!I17*Metrics_Voting!$C$12</f>
        <v>0</v>
      </c>
      <c r="J17" s="46">
        <f>'CR-TR_Interactions'!J17*Metrics_Voting!$C$13</f>
        <v>0</v>
      </c>
      <c r="K17" s="46">
        <f>'CR-TR_Interactions'!K17*Metrics_Voting!$C$15</f>
        <v>0</v>
      </c>
      <c r="L17" s="46">
        <f>'CR-TR_Interactions'!L17*Metrics_Voting!$C$16</f>
        <v>0</v>
      </c>
      <c r="M17" s="46">
        <f>'CR-TR_Interactions'!M17*Metrics_Voting!$C$17</f>
        <v>0</v>
      </c>
      <c r="N17" s="46">
        <f>'CR-TR_Interactions'!N17*Metrics_Voting!$C$19</f>
        <v>9.75</v>
      </c>
      <c r="O17" s="46">
        <f>'CR-TR_Interactions'!O17*Metrics_Voting!$C$20</f>
        <v>2.75</v>
      </c>
      <c r="P17" s="46">
        <f>'CR-TR_Interactions'!P17*Metrics_Voting!$C$21</f>
        <v>10.5</v>
      </c>
      <c r="Q17" s="46">
        <f>'CR-TR_Interactions'!Q17*Metrics_Voting!$C$23</f>
        <v>3.75</v>
      </c>
      <c r="R17" s="46">
        <f>'CR-TR_Interactions'!R17*Metrics_Voting!$C$24</f>
        <v>3.75</v>
      </c>
      <c r="S17" s="46">
        <f>'CR-TR_Interactions'!S17*Metrics_Voting!$C$25</f>
        <v>2.75</v>
      </c>
      <c r="T17" s="46">
        <f>'CR-TR_Interactions'!T17*Metrics_Voting!$C$27</f>
        <v>0</v>
      </c>
      <c r="U17" s="46">
        <f>'CR-TR_Interactions'!U17*Metrics_Voting!$C$28</f>
        <v>8.25</v>
      </c>
      <c r="V17" s="46">
        <f>'CR-TR_Interactions'!V17*Metrics_Voting!$C$29</f>
        <v>11.25</v>
      </c>
      <c r="W17" s="47">
        <f t="shared" si="2"/>
        <v>184</v>
      </c>
      <c r="X17" s="48">
        <f t="shared" si="0"/>
        <v>1.7378574295766332E-2</v>
      </c>
      <c r="Y17" s="49">
        <f t="shared" si="1"/>
        <v>8</v>
      </c>
    </row>
    <row r="18" spans="1:25" x14ac:dyDescent="0.25">
      <c r="A18" s="45" t="str">
        <f>'CR-TR_Interactions'!A18</f>
        <v>TR17</v>
      </c>
      <c r="B18" s="46">
        <f>'CR-TR_Interactions'!B18*Metrics_Voting!$C$3</f>
        <v>4</v>
      </c>
      <c r="C18" s="46">
        <f>'CR-TR_Interactions'!C18*Metrics_Voting!$C$4</f>
        <v>9.75</v>
      </c>
      <c r="D18" s="46">
        <f>'CR-TR_Interactions'!D18*Metrics_Voting!$C$5</f>
        <v>0</v>
      </c>
      <c r="E18" s="46">
        <f>'CR-TR_Interactions'!E18*Metrics_Voting!$C$7</f>
        <v>11.25</v>
      </c>
      <c r="F18" s="46">
        <f>'CR-TR_Interactions'!F18*Metrics_Voting!$C$8</f>
        <v>27</v>
      </c>
      <c r="G18" s="46">
        <f>'CR-TR_Interactions'!G18*Metrics_Voting!$C$9</f>
        <v>9.75</v>
      </c>
      <c r="H18" s="46">
        <f>'CR-TR_Interactions'!H18*Metrics_Voting!$C$11</f>
        <v>0</v>
      </c>
      <c r="I18" s="46">
        <f>'CR-TR_Interactions'!I18*Metrics_Voting!$C$12</f>
        <v>0</v>
      </c>
      <c r="J18" s="46">
        <f>'CR-TR_Interactions'!J18*Metrics_Voting!$C$13</f>
        <v>0</v>
      </c>
      <c r="K18" s="46">
        <f>'CR-TR_Interactions'!K18*Metrics_Voting!$C$15</f>
        <v>0</v>
      </c>
      <c r="L18" s="46">
        <f>'CR-TR_Interactions'!L18*Metrics_Voting!$C$16</f>
        <v>0</v>
      </c>
      <c r="M18" s="46">
        <f>'CR-TR_Interactions'!M18*Metrics_Voting!$C$17</f>
        <v>0</v>
      </c>
      <c r="N18" s="46">
        <f>'CR-TR_Interactions'!N18*Metrics_Voting!$C$19</f>
        <v>29.25</v>
      </c>
      <c r="O18" s="46">
        <f>'CR-TR_Interactions'!O18*Metrics_Voting!$C$20</f>
        <v>8.25</v>
      </c>
      <c r="P18" s="46">
        <f>'CR-TR_Interactions'!P18*Metrics_Voting!$C$21</f>
        <v>0</v>
      </c>
      <c r="Q18" s="46">
        <f>'CR-TR_Interactions'!Q18*Metrics_Voting!$C$23</f>
        <v>11.25</v>
      </c>
      <c r="R18" s="46">
        <f>'CR-TR_Interactions'!R18*Metrics_Voting!$C$24</f>
        <v>11.25</v>
      </c>
      <c r="S18" s="46">
        <f>'CR-TR_Interactions'!S18*Metrics_Voting!$C$25</f>
        <v>8.25</v>
      </c>
      <c r="T18" s="46">
        <f>'CR-TR_Interactions'!T18*Metrics_Voting!$C$27</f>
        <v>0</v>
      </c>
      <c r="U18" s="46">
        <f>'CR-TR_Interactions'!U18*Metrics_Voting!$C$28</f>
        <v>2.75</v>
      </c>
      <c r="V18" s="46">
        <f>'CR-TR_Interactions'!V18*Metrics_Voting!$C$29</f>
        <v>0</v>
      </c>
      <c r="W18" s="47">
        <f t="shared" si="2"/>
        <v>132.75</v>
      </c>
      <c r="X18" s="48">
        <f t="shared" si="0"/>
        <v>1.2538074661755331E-2</v>
      </c>
      <c r="Y18" s="49">
        <f t="shared" si="1"/>
        <v>36</v>
      </c>
    </row>
    <row r="19" spans="1:25" x14ac:dyDescent="0.25">
      <c r="A19" s="45" t="str">
        <f>'CR-TR_Interactions'!A19</f>
        <v>TR18</v>
      </c>
      <c r="B19" s="46">
        <f>'CR-TR_Interactions'!B19*Metrics_Voting!$C$3</f>
        <v>12</v>
      </c>
      <c r="C19" s="46">
        <f>'CR-TR_Interactions'!C19*Metrics_Voting!$C$4</f>
        <v>9.75</v>
      </c>
      <c r="D19" s="46">
        <f>'CR-TR_Interactions'!D19*Metrics_Voting!$C$5</f>
        <v>0</v>
      </c>
      <c r="E19" s="46">
        <f>'CR-TR_Interactions'!E19*Metrics_Voting!$C$7</f>
        <v>11.25</v>
      </c>
      <c r="F19" s="46">
        <f>'CR-TR_Interactions'!F19*Metrics_Voting!$C$8</f>
        <v>27</v>
      </c>
      <c r="G19" s="46">
        <f>'CR-TR_Interactions'!G19*Metrics_Voting!$C$9</f>
        <v>9.75</v>
      </c>
      <c r="H19" s="46">
        <f>'CR-TR_Interactions'!H19*Metrics_Voting!$C$11</f>
        <v>0</v>
      </c>
      <c r="I19" s="46">
        <f>'CR-TR_Interactions'!I19*Metrics_Voting!$C$12</f>
        <v>0</v>
      </c>
      <c r="J19" s="46">
        <f>'CR-TR_Interactions'!J19*Metrics_Voting!$C$13</f>
        <v>0</v>
      </c>
      <c r="K19" s="46">
        <f>'CR-TR_Interactions'!K19*Metrics_Voting!$C$15</f>
        <v>0</v>
      </c>
      <c r="L19" s="46">
        <f>'CR-TR_Interactions'!L19*Metrics_Voting!$C$16</f>
        <v>0</v>
      </c>
      <c r="M19" s="46">
        <f>'CR-TR_Interactions'!M19*Metrics_Voting!$C$17</f>
        <v>0</v>
      </c>
      <c r="N19" s="46">
        <f>'CR-TR_Interactions'!N19*Metrics_Voting!$C$19</f>
        <v>9.75</v>
      </c>
      <c r="O19" s="46">
        <f>'CR-TR_Interactions'!O19*Metrics_Voting!$C$20</f>
        <v>8.25</v>
      </c>
      <c r="P19" s="46">
        <f>'CR-TR_Interactions'!P19*Metrics_Voting!$C$21</f>
        <v>0</v>
      </c>
      <c r="Q19" s="46">
        <f>'CR-TR_Interactions'!Q19*Metrics_Voting!$C$23</f>
        <v>11.25</v>
      </c>
      <c r="R19" s="46">
        <f>'CR-TR_Interactions'!R19*Metrics_Voting!$C$24</f>
        <v>11.25</v>
      </c>
      <c r="S19" s="46">
        <f>'CR-TR_Interactions'!S19*Metrics_Voting!$C$25</f>
        <v>8.25</v>
      </c>
      <c r="T19" s="46">
        <f>'CR-TR_Interactions'!T19*Metrics_Voting!$C$27</f>
        <v>0</v>
      </c>
      <c r="U19" s="46">
        <f>'CR-TR_Interactions'!U19*Metrics_Voting!$C$28</f>
        <v>8.25</v>
      </c>
      <c r="V19" s="46">
        <f>'CR-TR_Interactions'!V19*Metrics_Voting!$C$29</f>
        <v>0</v>
      </c>
      <c r="W19" s="47">
        <f t="shared" si="2"/>
        <v>126.75</v>
      </c>
      <c r="X19" s="48">
        <f t="shared" si="0"/>
        <v>1.1971382021675993E-2</v>
      </c>
      <c r="Y19" s="49">
        <f t="shared" si="1"/>
        <v>44</v>
      </c>
    </row>
    <row r="20" spans="1:25" x14ac:dyDescent="0.25">
      <c r="A20" s="45" t="str">
        <f>'CR-TR_Interactions'!A20</f>
        <v>TR19</v>
      </c>
      <c r="B20" s="46">
        <f>'CR-TR_Interactions'!B20*Metrics_Voting!$C$3</f>
        <v>12</v>
      </c>
      <c r="C20" s="46">
        <f>'CR-TR_Interactions'!C20*Metrics_Voting!$C$4</f>
        <v>9.75</v>
      </c>
      <c r="D20" s="46">
        <f>'CR-TR_Interactions'!D20*Metrics_Voting!$C$5</f>
        <v>0</v>
      </c>
      <c r="E20" s="46">
        <f>'CR-TR_Interactions'!E20*Metrics_Voting!$C$7</f>
        <v>11.25</v>
      </c>
      <c r="F20" s="46">
        <f>'CR-TR_Interactions'!F20*Metrics_Voting!$C$8</f>
        <v>27</v>
      </c>
      <c r="G20" s="46">
        <f>'CR-TR_Interactions'!G20*Metrics_Voting!$C$9</f>
        <v>29.25</v>
      </c>
      <c r="H20" s="46">
        <f>'CR-TR_Interactions'!H20*Metrics_Voting!$C$11</f>
        <v>10.5</v>
      </c>
      <c r="I20" s="46">
        <f>'CR-TR_Interactions'!I20*Metrics_Voting!$C$12</f>
        <v>1.5</v>
      </c>
      <c r="J20" s="46">
        <f>'CR-TR_Interactions'!J20*Metrics_Voting!$C$13</f>
        <v>0</v>
      </c>
      <c r="K20" s="46">
        <f>'CR-TR_Interactions'!K20*Metrics_Voting!$C$15</f>
        <v>0</v>
      </c>
      <c r="L20" s="46">
        <f>'CR-TR_Interactions'!L20*Metrics_Voting!$C$16</f>
        <v>0</v>
      </c>
      <c r="M20" s="46">
        <f>'CR-TR_Interactions'!M20*Metrics_Voting!$C$17</f>
        <v>0</v>
      </c>
      <c r="N20" s="46">
        <f>'CR-TR_Interactions'!N20*Metrics_Voting!$C$19</f>
        <v>9.75</v>
      </c>
      <c r="O20" s="46">
        <f>'CR-TR_Interactions'!O20*Metrics_Voting!$C$20</f>
        <v>8.25</v>
      </c>
      <c r="P20" s="46">
        <f>'CR-TR_Interactions'!P20*Metrics_Voting!$C$21</f>
        <v>0</v>
      </c>
      <c r="Q20" s="46">
        <f>'CR-TR_Interactions'!Q20*Metrics_Voting!$C$23</f>
        <v>11.25</v>
      </c>
      <c r="R20" s="46">
        <f>'CR-TR_Interactions'!R20*Metrics_Voting!$C$24</f>
        <v>11.25</v>
      </c>
      <c r="S20" s="46">
        <f>'CR-TR_Interactions'!S20*Metrics_Voting!$C$25</f>
        <v>8.25</v>
      </c>
      <c r="T20" s="46">
        <f>'CR-TR_Interactions'!T20*Metrics_Voting!$C$27</f>
        <v>0</v>
      </c>
      <c r="U20" s="46">
        <f>'CR-TR_Interactions'!U20*Metrics_Voting!$C$28</f>
        <v>8.25</v>
      </c>
      <c r="V20" s="46">
        <f>'CR-TR_Interactions'!V20*Metrics_Voting!$C$29</f>
        <v>3.75</v>
      </c>
      <c r="W20" s="47">
        <f t="shared" si="2"/>
        <v>162</v>
      </c>
      <c r="X20" s="48">
        <f t="shared" si="0"/>
        <v>1.5300701282142098E-2</v>
      </c>
      <c r="Y20" s="49">
        <f t="shared" si="1"/>
        <v>18</v>
      </c>
    </row>
    <row r="21" spans="1:25" x14ac:dyDescent="0.25">
      <c r="A21" s="45" t="str">
        <f>'CR-TR_Interactions'!A21</f>
        <v>TR20</v>
      </c>
      <c r="B21" s="46">
        <f>'CR-TR_Interactions'!B21*Metrics_Voting!$C$3</f>
        <v>12</v>
      </c>
      <c r="C21" s="46">
        <f>'CR-TR_Interactions'!C21*Metrics_Voting!$C$4</f>
        <v>29.25</v>
      </c>
      <c r="D21" s="46">
        <f>'CR-TR_Interactions'!D21*Metrics_Voting!$C$5</f>
        <v>0</v>
      </c>
      <c r="E21" s="46">
        <f>'CR-TR_Interactions'!E21*Metrics_Voting!$C$7</f>
        <v>11.25</v>
      </c>
      <c r="F21" s="46">
        <f>'CR-TR_Interactions'!F21*Metrics_Voting!$C$8</f>
        <v>27</v>
      </c>
      <c r="G21" s="46">
        <f>'CR-TR_Interactions'!G21*Metrics_Voting!$C$9</f>
        <v>29.25</v>
      </c>
      <c r="H21" s="46">
        <f>'CR-TR_Interactions'!H21*Metrics_Voting!$C$11</f>
        <v>3.5</v>
      </c>
      <c r="I21" s="46">
        <f>'CR-TR_Interactions'!I21*Metrics_Voting!$C$12</f>
        <v>0</v>
      </c>
      <c r="J21" s="46">
        <f>'CR-TR_Interactions'!J21*Metrics_Voting!$C$13</f>
        <v>0</v>
      </c>
      <c r="K21" s="46">
        <f>'CR-TR_Interactions'!K21*Metrics_Voting!$C$15</f>
        <v>0</v>
      </c>
      <c r="L21" s="46">
        <f>'CR-TR_Interactions'!L21*Metrics_Voting!$C$16</f>
        <v>0</v>
      </c>
      <c r="M21" s="46">
        <f>'CR-TR_Interactions'!M21*Metrics_Voting!$C$17</f>
        <v>0</v>
      </c>
      <c r="N21" s="46">
        <f>'CR-TR_Interactions'!N21*Metrics_Voting!$C$19</f>
        <v>9.75</v>
      </c>
      <c r="O21" s="46">
        <f>'CR-TR_Interactions'!O21*Metrics_Voting!$C$20</f>
        <v>8.25</v>
      </c>
      <c r="P21" s="46">
        <f>'CR-TR_Interactions'!P21*Metrics_Voting!$C$21</f>
        <v>0</v>
      </c>
      <c r="Q21" s="46">
        <f>'CR-TR_Interactions'!Q21*Metrics_Voting!$C$23</f>
        <v>11.25</v>
      </c>
      <c r="R21" s="46">
        <f>'CR-TR_Interactions'!R21*Metrics_Voting!$C$24</f>
        <v>11.25</v>
      </c>
      <c r="S21" s="46">
        <f>'CR-TR_Interactions'!S21*Metrics_Voting!$C$25</f>
        <v>8.25</v>
      </c>
      <c r="T21" s="46">
        <f>'CR-TR_Interactions'!T21*Metrics_Voting!$C$27</f>
        <v>0</v>
      </c>
      <c r="U21" s="46">
        <f>'CR-TR_Interactions'!U21*Metrics_Voting!$C$28</f>
        <v>8.25</v>
      </c>
      <c r="V21" s="46">
        <f>'CR-TR_Interactions'!V21*Metrics_Voting!$C$29</f>
        <v>3.75</v>
      </c>
      <c r="W21" s="47">
        <f t="shared" si="2"/>
        <v>173</v>
      </c>
      <c r="X21" s="48">
        <f t="shared" si="0"/>
        <v>1.6339637788954215E-2</v>
      </c>
      <c r="Y21" s="49">
        <f t="shared" si="1"/>
        <v>14</v>
      </c>
    </row>
    <row r="22" spans="1:25" x14ac:dyDescent="0.25">
      <c r="A22" s="45" t="str">
        <f>'CR-TR_Interactions'!A22</f>
        <v>TR21</v>
      </c>
      <c r="B22" s="46">
        <f>'CR-TR_Interactions'!B22*Metrics_Voting!$C$3</f>
        <v>12</v>
      </c>
      <c r="C22" s="46">
        <f>'CR-TR_Interactions'!C22*Metrics_Voting!$C$4</f>
        <v>3.25</v>
      </c>
      <c r="D22" s="46">
        <f>'CR-TR_Interactions'!D22*Metrics_Voting!$C$5</f>
        <v>0</v>
      </c>
      <c r="E22" s="46">
        <f>'CR-TR_Interactions'!E22*Metrics_Voting!$C$7</f>
        <v>11.25</v>
      </c>
      <c r="F22" s="46">
        <f>'CR-TR_Interactions'!F22*Metrics_Voting!$C$8</f>
        <v>9</v>
      </c>
      <c r="G22" s="46">
        <f>'CR-TR_Interactions'!G22*Metrics_Voting!$C$9</f>
        <v>29.25</v>
      </c>
      <c r="H22" s="46">
        <f>'CR-TR_Interactions'!H22*Metrics_Voting!$C$11</f>
        <v>0</v>
      </c>
      <c r="I22" s="46">
        <f>'CR-TR_Interactions'!I22*Metrics_Voting!$C$12</f>
        <v>0</v>
      </c>
      <c r="J22" s="46">
        <f>'CR-TR_Interactions'!J22*Metrics_Voting!$C$13</f>
        <v>0</v>
      </c>
      <c r="K22" s="46">
        <f>'CR-TR_Interactions'!K22*Metrics_Voting!$C$15</f>
        <v>0</v>
      </c>
      <c r="L22" s="46">
        <f>'CR-TR_Interactions'!L22*Metrics_Voting!$C$16</f>
        <v>0</v>
      </c>
      <c r="M22" s="46">
        <f>'CR-TR_Interactions'!M22*Metrics_Voting!$C$17</f>
        <v>0</v>
      </c>
      <c r="N22" s="46">
        <f>'CR-TR_Interactions'!N22*Metrics_Voting!$C$19</f>
        <v>9.75</v>
      </c>
      <c r="O22" s="46">
        <f>'CR-TR_Interactions'!O22*Metrics_Voting!$C$20</f>
        <v>2.75</v>
      </c>
      <c r="P22" s="46">
        <f>'CR-TR_Interactions'!P22*Metrics_Voting!$C$21</f>
        <v>0</v>
      </c>
      <c r="Q22" s="46">
        <f>'CR-TR_Interactions'!Q22*Metrics_Voting!$C$23</f>
        <v>11.25</v>
      </c>
      <c r="R22" s="46">
        <f>'CR-TR_Interactions'!R22*Metrics_Voting!$C$24</f>
        <v>11.25</v>
      </c>
      <c r="S22" s="46">
        <f>'CR-TR_Interactions'!S22*Metrics_Voting!$C$25</f>
        <v>24.75</v>
      </c>
      <c r="T22" s="46">
        <f>'CR-TR_Interactions'!T22*Metrics_Voting!$C$27</f>
        <v>0</v>
      </c>
      <c r="U22" s="46">
        <f>'CR-TR_Interactions'!U22*Metrics_Voting!$C$28</f>
        <v>2.75</v>
      </c>
      <c r="V22" s="46">
        <f>'CR-TR_Interactions'!V22*Metrics_Voting!$C$29</f>
        <v>0</v>
      </c>
      <c r="W22" s="47">
        <f t="shared" si="2"/>
        <v>127.25</v>
      </c>
      <c r="X22" s="48">
        <f t="shared" si="0"/>
        <v>1.2018606408349272E-2</v>
      </c>
      <c r="Y22" s="49">
        <f t="shared" si="1"/>
        <v>42</v>
      </c>
    </row>
    <row r="23" spans="1:25" x14ac:dyDescent="0.25">
      <c r="A23" s="45" t="str">
        <f>'CR-TR_Interactions'!A23</f>
        <v>TR22</v>
      </c>
      <c r="B23" s="46">
        <f>'CR-TR_Interactions'!B23*Metrics_Voting!$C$3</f>
        <v>12</v>
      </c>
      <c r="C23" s="46">
        <f>'CR-TR_Interactions'!C23*Metrics_Voting!$C$4</f>
        <v>3.25</v>
      </c>
      <c r="D23" s="46">
        <f>'CR-TR_Interactions'!D23*Metrics_Voting!$C$5</f>
        <v>0</v>
      </c>
      <c r="E23" s="46">
        <f>'CR-TR_Interactions'!E23*Metrics_Voting!$C$7</f>
        <v>11.25</v>
      </c>
      <c r="F23" s="46">
        <f>'CR-TR_Interactions'!F23*Metrics_Voting!$C$8</f>
        <v>9</v>
      </c>
      <c r="G23" s="46">
        <f>'CR-TR_Interactions'!G23*Metrics_Voting!$C$9</f>
        <v>29.25</v>
      </c>
      <c r="H23" s="46">
        <f>'CR-TR_Interactions'!H23*Metrics_Voting!$C$11</f>
        <v>0</v>
      </c>
      <c r="I23" s="46">
        <f>'CR-TR_Interactions'!I23*Metrics_Voting!$C$12</f>
        <v>0</v>
      </c>
      <c r="J23" s="46">
        <f>'CR-TR_Interactions'!J23*Metrics_Voting!$C$13</f>
        <v>0</v>
      </c>
      <c r="K23" s="46">
        <f>'CR-TR_Interactions'!K23*Metrics_Voting!$C$15</f>
        <v>0</v>
      </c>
      <c r="L23" s="46">
        <f>'CR-TR_Interactions'!L23*Metrics_Voting!$C$16</f>
        <v>0</v>
      </c>
      <c r="M23" s="46">
        <f>'CR-TR_Interactions'!M23*Metrics_Voting!$C$17</f>
        <v>0</v>
      </c>
      <c r="N23" s="46">
        <f>'CR-TR_Interactions'!N23*Metrics_Voting!$C$19</f>
        <v>9.75</v>
      </c>
      <c r="O23" s="46">
        <f>'CR-TR_Interactions'!O23*Metrics_Voting!$C$20</f>
        <v>2.75</v>
      </c>
      <c r="P23" s="46">
        <f>'CR-TR_Interactions'!P23*Metrics_Voting!$C$21</f>
        <v>0</v>
      </c>
      <c r="Q23" s="46">
        <f>'CR-TR_Interactions'!Q23*Metrics_Voting!$C$23</f>
        <v>11.25</v>
      </c>
      <c r="R23" s="46">
        <f>'CR-TR_Interactions'!R23*Metrics_Voting!$C$24</f>
        <v>11.25</v>
      </c>
      <c r="S23" s="46">
        <f>'CR-TR_Interactions'!S23*Metrics_Voting!$C$25</f>
        <v>24.75</v>
      </c>
      <c r="T23" s="46">
        <f>'CR-TR_Interactions'!T23*Metrics_Voting!$C$27</f>
        <v>0</v>
      </c>
      <c r="U23" s="46">
        <f>'CR-TR_Interactions'!U23*Metrics_Voting!$C$28</f>
        <v>2.75</v>
      </c>
      <c r="V23" s="46">
        <f>'CR-TR_Interactions'!V23*Metrics_Voting!$C$29</f>
        <v>0</v>
      </c>
      <c r="W23" s="47">
        <f t="shared" si="2"/>
        <v>127.25</v>
      </c>
      <c r="X23" s="48">
        <f t="shared" si="0"/>
        <v>1.2018606408349272E-2</v>
      </c>
      <c r="Y23" s="49">
        <f t="shared" si="1"/>
        <v>42</v>
      </c>
    </row>
    <row r="24" spans="1:25" x14ac:dyDescent="0.25">
      <c r="A24" s="45" t="str">
        <f>'CR-TR_Interactions'!A24</f>
        <v>TR23</v>
      </c>
      <c r="B24" s="46">
        <f>'CR-TR_Interactions'!B24*Metrics_Voting!$C$3</f>
        <v>4</v>
      </c>
      <c r="C24" s="46">
        <f>'CR-TR_Interactions'!C24*Metrics_Voting!$C$4</f>
        <v>9.75</v>
      </c>
      <c r="D24" s="46">
        <f>'CR-TR_Interactions'!D24*Metrics_Voting!$C$5</f>
        <v>0</v>
      </c>
      <c r="E24" s="46">
        <f>'CR-TR_Interactions'!E24*Metrics_Voting!$C$7</f>
        <v>11.25</v>
      </c>
      <c r="F24" s="46">
        <f>'CR-TR_Interactions'!F24*Metrics_Voting!$C$8</f>
        <v>9</v>
      </c>
      <c r="G24" s="46">
        <f>'CR-TR_Interactions'!G24*Metrics_Voting!$C$9</f>
        <v>29.25</v>
      </c>
      <c r="H24" s="46">
        <f>'CR-TR_Interactions'!H24*Metrics_Voting!$C$11</f>
        <v>3.5</v>
      </c>
      <c r="I24" s="46">
        <f>'CR-TR_Interactions'!I24*Metrics_Voting!$C$12</f>
        <v>0</v>
      </c>
      <c r="J24" s="46">
        <f>'CR-TR_Interactions'!J24*Metrics_Voting!$C$13</f>
        <v>0</v>
      </c>
      <c r="K24" s="46">
        <f>'CR-TR_Interactions'!K24*Metrics_Voting!$C$15</f>
        <v>0</v>
      </c>
      <c r="L24" s="46">
        <f>'CR-TR_Interactions'!L24*Metrics_Voting!$C$16</f>
        <v>0</v>
      </c>
      <c r="M24" s="46">
        <f>'CR-TR_Interactions'!M24*Metrics_Voting!$C$17</f>
        <v>0</v>
      </c>
      <c r="N24" s="46">
        <f>'CR-TR_Interactions'!N24*Metrics_Voting!$C$19</f>
        <v>9.75</v>
      </c>
      <c r="O24" s="46">
        <f>'CR-TR_Interactions'!O24*Metrics_Voting!$C$20</f>
        <v>2.75</v>
      </c>
      <c r="P24" s="46">
        <f>'CR-TR_Interactions'!P24*Metrics_Voting!$C$21</f>
        <v>0</v>
      </c>
      <c r="Q24" s="46">
        <f>'CR-TR_Interactions'!Q24*Metrics_Voting!$C$23</f>
        <v>3.75</v>
      </c>
      <c r="R24" s="46">
        <f>'CR-TR_Interactions'!R24*Metrics_Voting!$C$24</f>
        <v>11.25</v>
      </c>
      <c r="S24" s="46">
        <f>'CR-TR_Interactions'!S24*Metrics_Voting!$C$25</f>
        <v>2.75</v>
      </c>
      <c r="T24" s="46">
        <f>'CR-TR_Interactions'!T24*Metrics_Voting!$C$27</f>
        <v>0</v>
      </c>
      <c r="U24" s="46">
        <f>'CR-TR_Interactions'!U24*Metrics_Voting!$C$28</f>
        <v>2.75</v>
      </c>
      <c r="V24" s="46">
        <f>'CR-TR_Interactions'!V24*Metrics_Voting!$C$29</f>
        <v>0</v>
      </c>
      <c r="W24" s="47">
        <f t="shared" si="2"/>
        <v>99.75</v>
      </c>
      <c r="X24" s="48">
        <f t="shared" si="0"/>
        <v>9.4212651413189772E-3</v>
      </c>
      <c r="Y24" s="49">
        <f t="shared" si="1"/>
        <v>58</v>
      </c>
    </row>
    <row r="25" spans="1:25" x14ac:dyDescent="0.25">
      <c r="A25" s="45" t="str">
        <f>'CR-TR_Interactions'!A25</f>
        <v>TR24</v>
      </c>
      <c r="B25" s="46">
        <f>'CR-TR_Interactions'!B25*Metrics_Voting!$C$3</f>
        <v>12</v>
      </c>
      <c r="C25" s="46">
        <f>'CR-TR_Interactions'!C25*Metrics_Voting!$C$4</f>
        <v>29.25</v>
      </c>
      <c r="D25" s="46">
        <f>'CR-TR_Interactions'!D25*Metrics_Voting!$C$5</f>
        <v>0</v>
      </c>
      <c r="E25" s="46">
        <f>'CR-TR_Interactions'!E25*Metrics_Voting!$C$7</f>
        <v>11.25</v>
      </c>
      <c r="F25" s="46">
        <f>'CR-TR_Interactions'!F25*Metrics_Voting!$C$8</f>
        <v>27</v>
      </c>
      <c r="G25" s="46">
        <f>'CR-TR_Interactions'!G25*Metrics_Voting!$C$9</f>
        <v>29.25</v>
      </c>
      <c r="H25" s="46">
        <f>'CR-TR_Interactions'!H25*Metrics_Voting!$C$11</f>
        <v>3.5</v>
      </c>
      <c r="I25" s="46">
        <f>'CR-TR_Interactions'!I25*Metrics_Voting!$C$12</f>
        <v>0</v>
      </c>
      <c r="J25" s="46">
        <f>'CR-TR_Interactions'!J25*Metrics_Voting!$C$13</f>
        <v>0</v>
      </c>
      <c r="K25" s="46">
        <f>'CR-TR_Interactions'!K25*Metrics_Voting!$C$15</f>
        <v>0</v>
      </c>
      <c r="L25" s="46">
        <f>'CR-TR_Interactions'!L25*Metrics_Voting!$C$16</f>
        <v>0</v>
      </c>
      <c r="M25" s="46">
        <f>'CR-TR_Interactions'!M25*Metrics_Voting!$C$17</f>
        <v>0</v>
      </c>
      <c r="N25" s="46">
        <f>'CR-TR_Interactions'!N25*Metrics_Voting!$C$19</f>
        <v>9.75</v>
      </c>
      <c r="O25" s="46">
        <f>'CR-TR_Interactions'!O25*Metrics_Voting!$C$20</f>
        <v>2.75</v>
      </c>
      <c r="P25" s="46">
        <f>'CR-TR_Interactions'!P25*Metrics_Voting!$C$21</f>
        <v>0</v>
      </c>
      <c r="Q25" s="46">
        <f>'CR-TR_Interactions'!Q25*Metrics_Voting!$C$23</f>
        <v>3.75</v>
      </c>
      <c r="R25" s="46">
        <f>'CR-TR_Interactions'!R25*Metrics_Voting!$C$24</f>
        <v>11.25</v>
      </c>
      <c r="S25" s="46">
        <f>'CR-TR_Interactions'!S25*Metrics_Voting!$C$25</f>
        <v>8.25</v>
      </c>
      <c r="T25" s="46">
        <f>'CR-TR_Interactions'!T25*Metrics_Voting!$C$27</f>
        <v>0</v>
      </c>
      <c r="U25" s="46">
        <f>'CR-TR_Interactions'!U25*Metrics_Voting!$C$28</f>
        <v>8.25</v>
      </c>
      <c r="V25" s="46">
        <f>'CR-TR_Interactions'!V25*Metrics_Voting!$C$29</f>
        <v>3.75</v>
      </c>
      <c r="W25" s="47">
        <f t="shared" si="2"/>
        <v>160</v>
      </c>
      <c r="X25" s="48">
        <f t="shared" si="0"/>
        <v>1.5111803735448986E-2</v>
      </c>
      <c r="Y25" s="49">
        <f t="shared" si="1"/>
        <v>20</v>
      </c>
    </row>
    <row r="26" spans="1:25" x14ac:dyDescent="0.25">
      <c r="A26" s="45" t="str">
        <f>'CR-TR_Interactions'!A26</f>
        <v>TR25</v>
      </c>
      <c r="B26" s="46">
        <f>'CR-TR_Interactions'!B26*Metrics_Voting!$C$3</f>
        <v>0</v>
      </c>
      <c r="C26" s="46">
        <f>'CR-TR_Interactions'!C26*Metrics_Voting!$C$4</f>
        <v>0</v>
      </c>
      <c r="D26" s="46">
        <f>'CR-TR_Interactions'!D26*Metrics_Voting!$C$5</f>
        <v>12</v>
      </c>
      <c r="E26" s="46">
        <f>'CR-TR_Interactions'!E26*Metrics_Voting!$C$7</f>
        <v>0</v>
      </c>
      <c r="F26" s="46">
        <f>'CR-TR_Interactions'!F26*Metrics_Voting!$C$8</f>
        <v>0</v>
      </c>
      <c r="G26" s="46">
        <f>'CR-TR_Interactions'!G26*Metrics_Voting!$C$9</f>
        <v>0</v>
      </c>
      <c r="H26" s="46">
        <f>'CR-TR_Interactions'!H26*Metrics_Voting!$C$11</f>
        <v>31.5</v>
      </c>
      <c r="I26" s="46">
        <f>'CR-TR_Interactions'!I26*Metrics_Voting!$C$12</f>
        <v>4.5</v>
      </c>
      <c r="J26" s="46">
        <f>'CR-TR_Interactions'!J26*Metrics_Voting!$C$13</f>
        <v>6</v>
      </c>
      <c r="K26" s="46">
        <f>'CR-TR_Interactions'!K26*Metrics_Voting!$C$15</f>
        <v>0</v>
      </c>
      <c r="L26" s="46">
        <f>'CR-TR_Interactions'!L26*Metrics_Voting!$C$16</f>
        <v>0</v>
      </c>
      <c r="M26" s="46">
        <f>'CR-TR_Interactions'!M26*Metrics_Voting!$C$17</f>
        <v>9.75</v>
      </c>
      <c r="N26" s="46">
        <f>'CR-TR_Interactions'!N26*Metrics_Voting!$C$19</f>
        <v>0</v>
      </c>
      <c r="O26" s="46">
        <f>'CR-TR_Interactions'!O26*Metrics_Voting!$C$20</f>
        <v>0</v>
      </c>
      <c r="P26" s="46">
        <f>'CR-TR_Interactions'!P26*Metrics_Voting!$C$21</f>
        <v>0</v>
      </c>
      <c r="Q26" s="46">
        <f>'CR-TR_Interactions'!Q26*Metrics_Voting!$C$23</f>
        <v>11.25</v>
      </c>
      <c r="R26" s="46">
        <f>'CR-TR_Interactions'!R26*Metrics_Voting!$C$24</f>
        <v>3.75</v>
      </c>
      <c r="S26" s="46">
        <f>'CR-TR_Interactions'!S26*Metrics_Voting!$C$25</f>
        <v>2.75</v>
      </c>
      <c r="T26" s="46">
        <f>'CR-TR_Interactions'!T26*Metrics_Voting!$C$27</f>
        <v>0</v>
      </c>
      <c r="U26" s="46">
        <f>'CR-TR_Interactions'!U26*Metrics_Voting!$C$28</f>
        <v>8.25</v>
      </c>
      <c r="V26" s="46">
        <f>'CR-TR_Interactions'!V26*Metrics_Voting!$C$29</f>
        <v>11.25</v>
      </c>
      <c r="W26" s="47">
        <f t="shared" si="2"/>
        <v>101</v>
      </c>
      <c r="X26" s="48">
        <f t="shared" si="0"/>
        <v>9.5393261080021722E-3</v>
      </c>
      <c r="Y26" s="49">
        <f t="shared" si="1"/>
        <v>55</v>
      </c>
    </row>
    <row r="27" spans="1:25" x14ac:dyDescent="0.25">
      <c r="A27" s="45" t="str">
        <f>'CR-TR_Interactions'!A27</f>
        <v>TR26</v>
      </c>
      <c r="B27" s="46">
        <f>'CR-TR_Interactions'!B27*Metrics_Voting!$C$3</f>
        <v>4</v>
      </c>
      <c r="C27" s="46">
        <f>'CR-TR_Interactions'!C27*Metrics_Voting!$C$4</f>
        <v>9.75</v>
      </c>
      <c r="D27" s="46">
        <f>'CR-TR_Interactions'!D27*Metrics_Voting!$C$5</f>
        <v>12</v>
      </c>
      <c r="E27" s="46">
        <f>'CR-TR_Interactions'!E27*Metrics_Voting!$C$7</f>
        <v>0</v>
      </c>
      <c r="F27" s="46">
        <f>'CR-TR_Interactions'!F27*Metrics_Voting!$C$8</f>
        <v>3</v>
      </c>
      <c r="G27" s="46">
        <f>'CR-TR_Interactions'!G27*Metrics_Voting!$C$9</f>
        <v>0</v>
      </c>
      <c r="H27" s="46">
        <f>'CR-TR_Interactions'!H27*Metrics_Voting!$C$11</f>
        <v>31.5</v>
      </c>
      <c r="I27" s="46">
        <f>'CR-TR_Interactions'!I27*Metrics_Voting!$C$12</f>
        <v>13.5</v>
      </c>
      <c r="J27" s="46">
        <f>'CR-TR_Interactions'!J27*Metrics_Voting!$C$13</f>
        <v>6</v>
      </c>
      <c r="K27" s="46">
        <f>'CR-TR_Interactions'!K27*Metrics_Voting!$C$15</f>
        <v>0</v>
      </c>
      <c r="L27" s="46">
        <f>'CR-TR_Interactions'!L27*Metrics_Voting!$C$16</f>
        <v>0</v>
      </c>
      <c r="M27" s="46">
        <f>'CR-TR_Interactions'!M27*Metrics_Voting!$C$17</f>
        <v>3.25</v>
      </c>
      <c r="N27" s="46">
        <f>'CR-TR_Interactions'!N27*Metrics_Voting!$C$19</f>
        <v>9.75</v>
      </c>
      <c r="O27" s="46">
        <f>'CR-TR_Interactions'!O27*Metrics_Voting!$C$20</f>
        <v>0</v>
      </c>
      <c r="P27" s="46">
        <f>'CR-TR_Interactions'!P27*Metrics_Voting!$C$21</f>
        <v>0</v>
      </c>
      <c r="Q27" s="46">
        <f>'CR-TR_Interactions'!Q27*Metrics_Voting!$C$23</f>
        <v>11.25</v>
      </c>
      <c r="R27" s="46">
        <f>'CR-TR_Interactions'!R27*Metrics_Voting!$C$24</f>
        <v>11.25</v>
      </c>
      <c r="S27" s="46">
        <f>'CR-TR_Interactions'!S27*Metrics_Voting!$C$25</f>
        <v>2.75</v>
      </c>
      <c r="T27" s="46">
        <f>'CR-TR_Interactions'!T27*Metrics_Voting!$C$27</f>
        <v>0</v>
      </c>
      <c r="U27" s="46">
        <f>'CR-TR_Interactions'!U27*Metrics_Voting!$C$28</f>
        <v>24.75</v>
      </c>
      <c r="V27" s="46">
        <f>'CR-TR_Interactions'!V27*Metrics_Voting!$C$29</f>
        <v>33.75</v>
      </c>
      <c r="W27" s="47">
        <f t="shared" si="2"/>
        <v>176.5</v>
      </c>
      <c r="X27" s="48">
        <f t="shared" si="0"/>
        <v>1.6670208495667162E-2</v>
      </c>
      <c r="Y27" s="49">
        <f t="shared" si="1"/>
        <v>12</v>
      </c>
    </row>
    <row r="28" spans="1:25" x14ac:dyDescent="0.25">
      <c r="A28" s="45" t="str">
        <f>'CR-TR_Interactions'!A28</f>
        <v>TR27</v>
      </c>
      <c r="B28" s="46">
        <f>'CR-TR_Interactions'!B28*Metrics_Voting!$C$3</f>
        <v>4</v>
      </c>
      <c r="C28" s="46">
        <f>'CR-TR_Interactions'!C28*Metrics_Voting!$C$4</f>
        <v>0</v>
      </c>
      <c r="D28" s="46">
        <f>'CR-TR_Interactions'!D28*Metrics_Voting!$C$5</f>
        <v>12</v>
      </c>
      <c r="E28" s="46">
        <f>'CR-TR_Interactions'!E28*Metrics_Voting!$C$7</f>
        <v>0</v>
      </c>
      <c r="F28" s="46">
        <f>'CR-TR_Interactions'!F28*Metrics_Voting!$C$8</f>
        <v>3</v>
      </c>
      <c r="G28" s="46">
        <f>'CR-TR_Interactions'!G28*Metrics_Voting!$C$9</f>
        <v>0</v>
      </c>
      <c r="H28" s="46">
        <f>'CR-TR_Interactions'!H28*Metrics_Voting!$C$11</f>
        <v>31.5</v>
      </c>
      <c r="I28" s="46">
        <f>'CR-TR_Interactions'!I28*Metrics_Voting!$C$12</f>
        <v>13.5</v>
      </c>
      <c r="J28" s="46">
        <f>'CR-TR_Interactions'!J28*Metrics_Voting!$C$13</f>
        <v>6</v>
      </c>
      <c r="K28" s="46">
        <f>'CR-TR_Interactions'!K28*Metrics_Voting!$C$15</f>
        <v>0</v>
      </c>
      <c r="L28" s="46">
        <f>'CR-TR_Interactions'!L28*Metrics_Voting!$C$16</f>
        <v>0</v>
      </c>
      <c r="M28" s="46">
        <f>'CR-TR_Interactions'!M28*Metrics_Voting!$C$17</f>
        <v>3.25</v>
      </c>
      <c r="N28" s="46">
        <f>'CR-TR_Interactions'!N28*Metrics_Voting!$C$19</f>
        <v>0</v>
      </c>
      <c r="O28" s="46">
        <f>'CR-TR_Interactions'!O28*Metrics_Voting!$C$20</f>
        <v>0</v>
      </c>
      <c r="P28" s="46">
        <f>'CR-TR_Interactions'!P28*Metrics_Voting!$C$21</f>
        <v>0</v>
      </c>
      <c r="Q28" s="46">
        <f>'CR-TR_Interactions'!Q28*Metrics_Voting!$C$23</f>
        <v>3.75</v>
      </c>
      <c r="R28" s="46">
        <f>'CR-TR_Interactions'!R28*Metrics_Voting!$C$24</f>
        <v>3.75</v>
      </c>
      <c r="S28" s="46">
        <f>'CR-TR_Interactions'!S28*Metrics_Voting!$C$25</f>
        <v>2.75</v>
      </c>
      <c r="T28" s="46">
        <f>'CR-TR_Interactions'!T28*Metrics_Voting!$C$27</f>
        <v>0</v>
      </c>
      <c r="U28" s="46">
        <f>'CR-TR_Interactions'!U28*Metrics_Voting!$C$28</f>
        <v>2.75</v>
      </c>
      <c r="V28" s="46">
        <f>'CR-TR_Interactions'!V28*Metrics_Voting!$C$29</f>
        <v>0</v>
      </c>
      <c r="W28" s="47">
        <f t="shared" si="2"/>
        <v>86.25</v>
      </c>
      <c r="X28" s="48">
        <f t="shared" si="0"/>
        <v>8.1462067011404682E-3</v>
      </c>
      <c r="Y28" s="49">
        <f t="shared" si="1"/>
        <v>64</v>
      </c>
    </row>
    <row r="29" spans="1:25" x14ac:dyDescent="0.25">
      <c r="A29" s="45" t="str">
        <f>'CR-TR_Interactions'!A29</f>
        <v>TR28</v>
      </c>
      <c r="B29" s="46">
        <f>'CR-TR_Interactions'!B29*Metrics_Voting!$C$3</f>
        <v>4</v>
      </c>
      <c r="C29" s="46">
        <f>'CR-TR_Interactions'!C29*Metrics_Voting!$C$4</f>
        <v>0</v>
      </c>
      <c r="D29" s="46">
        <f>'CR-TR_Interactions'!D29*Metrics_Voting!$C$5</f>
        <v>36</v>
      </c>
      <c r="E29" s="46">
        <f>'CR-TR_Interactions'!E29*Metrics_Voting!$C$7</f>
        <v>0</v>
      </c>
      <c r="F29" s="46">
        <f>'CR-TR_Interactions'!F29*Metrics_Voting!$C$8</f>
        <v>3</v>
      </c>
      <c r="G29" s="46">
        <f>'CR-TR_Interactions'!G29*Metrics_Voting!$C$9</f>
        <v>0</v>
      </c>
      <c r="H29" s="46">
        <f>'CR-TR_Interactions'!H29*Metrics_Voting!$C$11</f>
        <v>31.5</v>
      </c>
      <c r="I29" s="46">
        <f>'CR-TR_Interactions'!I29*Metrics_Voting!$C$12</f>
        <v>13.5</v>
      </c>
      <c r="J29" s="46">
        <f>'CR-TR_Interactions'!J29*Metrics_Voting!$C$13</f>
        <v>18</v>
      </c>
      <c r="K29" s="46">
        <f>'CR-TR_Interactions'!K29*Metrics_Voting!$C$15</f>
        <v>0</v>
      </c>
      <c r="L29" s="46">
        <f>'CR-TR_Interactions'!L29*Metrics_Voting!$C$16</f>
        <v>0</v>
      </c>
      <c r="M29" s="46">
        <f>'CR-TR_Interactions'!M29*Metrics_Voting!$C$17</f>
        <v>3.25</v>
      </c>
      <c r="N29" s="46">
        <f>'CR-TR_Interactions'!N29*Metrics_Voting!$C$19</f>
        <v>0</v>
      </c>
      <c r="O29" s="46">
        <f>'CR-TR_Interactions'!O29*Metrics_Voting!$C$20</f>
        <v>0</v>
      </c>
      <c r="P29" s="46">
        <f>'CR-TR_Interactions'!P29*Metrics_Voting!$C$21</f>
        <v>0</v>
      </c>
      <c r="Q29" s="46">
        <f>'CR-TR_Interactions'!Q29*Metrics_Voting!$C$23</f>
        <v>3.75</v>
      </c>
      <c r="R29" s="46">
        <f>'CR-TR_Interactions'!R29*Metrics_Voting!$C$24</f>
        <v>3.75</v>
      </c>
      <c r="S29" s="46">
        <f>'CR-TR_Interactions'!S29*Metrics_Voting!$C$25</f>
        <v>2.75</v>
      </c>
      <c r="T29" s="46">
        <f>'CR-TR_Interactions'!T29*Metrics_Voting!$C$27</f>
        <v>0</v>
      </c>
      <c r="U29" s="46">
        <f>'CR-TR_Interactions'!U29*Metrics_Voting!$C$28</f>
        <v>8.25</v>
      </c>
      <c r="V29" s="46">
        <f>'CR-TR_Interactions'!V29*Metrics_Voting!$C$29</f>
        <v>3.75</v>
      </c>
      <c r="W29" s="47">
        <f t="shared" si="2"/>
        <v>131.5</v>
      </c>
      <c r="X29" s="48">
        <f t="shared" si="0"/>
        <v>1.2420013695072136E-2</v>
      </c>
      <c r="Y29" s="49">
        <f t="shared" si="1"/>
        <v>38</v>
      </c>
    </row>
    <row r="30" spans="1:25" x14ac:dyDescent="0.25">
      <c r="A30" s="45" t="str">
        <f>'CR-TR_Interactions'!A30</f>
        <v>TR29</v>
      </c>
      <c r="B30" s="46">
        <f>'CR-TR_Interactions'!B30*Metrics_Voting!$C$3</f>
        <v>0</v>
      </c>
      <c r="C30" s="46">
        <f>'CR-TR_Interactions'!C30*Metrics_Voting!$C$4</f>
        <v>0</v>
      </c>
      <c r="D30" s="46">
        <f>'CR-TR_Interactions'!D30*Metrics_Voting!$C$5</f>
        <v>12</v>
      </c>
      <c r="E30" s="46">
        <f>'CR-TR_Interactions'!E30*Metrics_Voting!$C$7</f>
        <v>0</v>
      </c>
      <c r="F30" s="46">
        <f>'CR-TR_Interactions'!F30*Metrics_Voting!$C$8</f>
        <v>3</v>
      </c>
      <c r="G30" s="46">
        <f>'CR-TR_Interactions'!G30*Metrics_Voting!$C$9</f>
        <v>0</v>
      </c>
      <c r="H30" s="46">
        <f>'CR-TR_Interactions'!H30*Metrics_Voting!$C$11</f>
        <v>10.5</v>
      </c>
      <c r="I30" s="46">
        <f>'CR-TR_Interactions'!I30*Metrics_Voting!$C$12</f>
        <v>13.5</v>
      </c>
      <c r="J30" s="46">
        <f>'CR-TR_Interactions'!J30*Metrics_Voting!$C$13</f>
        <v>6</v>
      </c>
      <c r="K30" s="46">
        <f>'CR-TR_Interactions'!K30*Metrics_Voting!$C$15</f>
        <v>0</v>
      </c>
      <c r="L30" s="46">
        <f>'CR-TR_Interactions'!L30*Metrics_Voting!$C$16</f>
        <v>0</v>
      </c>
      <c r="M30" s="46">
        <f>'CR-TR_Interactions'!M30*Metrics_Voting!$C$17</f>
        <v>0</v>
      </c>
      <c r="N30" s="46">
        <f>'CR-TR_Interactions'!N30*Metrics_Voting!$C$19</f>
        <v>0</v>
      </c>
      <c r="O30" s="46">
        <f>'CR-TR_Interactions'!O30*Metrics_Voting!$C$20</f>
        <v>0</v>
      </c>
      <c r="P30" s="46">
        <f>'CR-TR_Interactions'!P30*Metrics_Voting!$C$21</f>
        <v>0</v>
      </c>
      <c r="Q30" s="46">
        <f>'CR-TR_Interactions'!Q30*Metrics_Voting!$C$23</f>
        <v>3.75</v>
      </c>
      <c r="R30" s="46">
        <f>'CR-TR_Interactions'!R30*Metrics_Voting!$C$24</f>
        <v>3.75</v>
      </c>
      <c r="S30" s="46">
        <f>'CR-TR_Interactions'!S30*Metrics_Voting!$C$25</f>
        <v>2.75</v>
      </c>
      <c r="T30" s="46">
        <f>'CR-TR_Interactions'!T30*Metrics_Voting!$C$27</f>
        <v>0</v>
      </c>
      <c r="U30" s="46">
        <f>'CR-TR_Interactions'!U30*Metrics_Voting!$C$28</f>
        <v>8.25</v>
      </c>
      <c r="V30" s="46">
        <f>'CR-TR_Interactions'!V30*Metrics_Voting!$C$29</f>
        <v>0</v>
      </c>
      <c r="W30" s="47">
        <f t="shared" si="2"/>
        <v>63.5</v>
      </c>
      <c r="X30" s="48">
        <f t="shared" si="0"/>
        <v>5.9974971075063164E-3</v>
      </c>
      <c r="Y30" s="49">
        <f t="shared" si="1"/>
        <v>81</v>
      </c>
    </row>
    <row r="31" spans="1:25" x14ac:dyDescent="0.25">
      <c r="A31" s="45" t="str">
        <f>'CR-TR_Interactions'!A31</f>
        <v>TR30</v>
      </c>
      <c r="B31" s="46">
        <f>'CR-TR_Interactions'!B31*Metrics_Voting!$C$3</f>
        <v>4</v>
      </c>
      <c r="C31" s="46">
        <f>'CR-TR_Interactions'!C31*Metrics_Voting!$C$4</f>
        <v>0</v>
      </c>
      <c r="D31" s="46">
        <f>'CR-TR_Interactions'!D31*Metrics_Voting!$C$5</f>
        <v>12</v>
      </c>
      <c r="E31" s="46">
        <f>'CR-TR_Interactions'!E31*Metrics_Voting!$C$7</f>
        <v>0</v>
      </c>
      <c r="F31" s="46">
        <f>'CR-TR_Interactions'!F31*Metrics_Voting!$C$8</f>
        <v>3</v>
      </c>
      <c r="G31" s="46">
        <f>'CR-TR_Interactions'!G31*Metrics_Voting!$C$9</f>
        <v>0</v>
      </c>
      <c r="H31" s="46">
        <f>'CR-TR_Interactions'!H31*Metrics_Voting!$C$11</f>
        <v>10.5</v>
      </c>
      <c r="I31" s="46">
        <f>'CR-TR_Interactions'!I31*Metrics_Voting!$C$12</f>
        <v>13.5</v>
      </c>
      <c r="J31" s="46">
        <f>'CR-TR_Interactions'!J31*Metrics_Voting!$C$13</f>
        <v>6</v>
      </c>
      <c r="K31" s="46">
        <f>'CR-TR_Interactions'!K31*Metrics_Voting!$C$15</f>
        <v>0</v>
      </c>
      <c r="L31" s="46">
        <f>'CR-TR_Interactions'!L31*Metrics_Voting!$C$16</f>
        <v>0</v>
      </c>
      <c r="M31" s="46">
        <f>'CR-TR_Interactions'!M31*Metrics_Voting!$C$17</f>
        <v>0</v>
      </c>
      <c r="N31" s="46">
        <f>'CR-TR_Interactions'!N31*Metrics_Voting!$C$19</f>
        <v>0</v>
      </c>
      <c r="O31" s="46">
        <f>'CR-TR_Interactions'!O31*Metrics_Voting!$C$20</f>
        <v>0</v>
      </c>
      <c r="P31" s="46">
        <f>'CR-TR_Interactions'!P31*Metrics_Voting!$C$21</f>
        <v>0</v>
      </c>
      <c r="Q31" s="46">
        <f>'CR-TR_Interactions'!Q31*Metrics_Voting!$C$23</f>
        <v>3.75</v>
      </c>
      <c r="R31" s="46">
        <f>'CR-TR_Interactions'!R31*Metrics_Voting!$C$24</f>
        <v>11.25</v>
      </c>
      <c r="S31" s="46">
        <f>'CR-TR_Interactions'!S31*Metrics_Voting!$C$25</f>
        <v>2.75</v>
      </c>
      <c r="T31" s="46">
        <f>'CR-TR_Interactions'!T31*Metrics_Voting!$C$27</f>
        <v>0</v>
      </c>
      <c r="U31" s="46">
        <f>'CR-TR_Interactions'!U31*Metrics_Voting!$C$28</f>
        <v>8.25</v>
      </c>
      <c r="V31" s="46">
        <f>'CR-TR_Interactions'!V31*Metrics_Voting!$C$29</f>
        <v>11.25</v>
      </c>
      <c r="W31" s="47">
        <f t="shared" si="2"/>
        <v>86.25</v>
      </c>
      <c r="X31" s="48">
        <f t="shared" si="0"/>
        <v>8.1462067011404682E-3</v>
      </c>
      <c r="Y31" s="49">
        <f t="shared" si="1"/>
        <v>64</v>
      </c>
    </row>
    <row r="32" spans="1:25" x14ac:dyDescent="0.25">
      <c r="A32" s="45" t="str">
        <f>'CR-TR_Interactions'!A32</f>
        <v>TR31</v>
      </c>
      <c r="B32" s="46">
        <f>'CR-TR_Interactions'!B32*Metrics_Voting!$C$3</f>
        <v>0</v>
      </c>
      <c r="C32" s="46">
        <f>'CR-TR_Interactions'!C32*Metrics_Voting!$C$4</f>
        <v>0</v>
      </c>
      <c r="D32" s="46">
        <f>'CR-TR_Interactions'!D32*Metrics_Voting!$C$5</f>
        <v>12</v>
      </c>
      <c r="E32" s="46">
        <f>'CR-TR_Interactions'!E32*Metrics_Voting!$C$7</f>
        <v>0</v>
      </c>
      <c r="F32" s="46">
        <f>'CR-TR_Interactions'!F32*Metrics_Voting!$C$8</f>
        <v>3</v>
      </c>
      <c r="G32" s="46">
        <f>'CR-TR_Interactions'!G32*Metrics_Voting!$C$9</f>
        <v>0</v>
      </c>
      <c r="H32" s="46">
        <f>'CR-TR_Interactions'!H32*Metrics_Voting!$C$11</f>
        <v>31.5</v>
      </c>
      <c r="I32" s="46">
        <f>'CR-TR_Interactions'!I32*Metrics_Voting!$C$12</f>
        <v>13.5</v>
      </c>
      <c r="J32" s="46">
        <f>'CR-TR_Interactions'!J32*Metrics_Voting!$C$13</f>
        <v>18</v>
      </c>
      <c r="K32" s="46">
        <f>'CR-TR_Interactions'!K32*Metrics_Voting!$C$15</f>
        <v>0</v>
      </c>
      <c r="L32" s="46">
        <f>'CR-TR_Interactions'!L32*Metrics_Voting!$C$16</f>
        <v>0</v>
      </c>
      <c r="M32" s="46">
        <f>'CR-TR_Interactions'!M32*Metrics_Voting!$C$17</f>
        <v>0</v>
      </c>
      <c r="N32" s="46">
        <f>'CR-TR_Interactions'!N32*Metrics_Voting!$C$19</f>
        <v>0</v>
      </c>
      <c r="O32" s="46">
        <f>'CR-TR_Interactions'!O32*Metrics_Voting!$C$20</f>
        <v>0</v>
      </c>
      <c r="P32" s="46">
        <f>'CR-TR_Interactions'!P32*Metrics_Voting!$C$21</f>
        <v>0</v>
      </c>
      <c r="Q32" s="46">
        <f>'CR-TR_Interactions'!Q32*Metrics_Voting!$C$23</f>
        <v>3.75</v>
      </c>
      <c r="R32" s="46">
        <f>'CR-TR_Interactions'!R32*Metrics_Voting!$C$24</f>
        <v>3.75</v>
      </c>
      <c r="S32" s="46">
        <f>'CR-TR_Interactions'!S32*Metrics_Voting!$C$25</f>
        <v>2.75</v>
      </c>
      <c r="T32" s="46">
        <f>'CR-TR_Interactions'!T32*Metrics_Voting!$C$27</f>
        <v>0</v>
      </c>
      <c r="U32" s="46">
        <f>'CR-TR_Interactions'!U32*Metrics_Voting!$C$28</f>
        <v>24.75</v>
      </c>
      <c r="V32" s="46">
        <f>'CR-TR_Interactions'!V32*Metrics_Voting!$C$29</f>
        <v>33.75</v>
      </c>
      <c r="W32" s="47">
        <f t="shared" si="2"/>
        <v>146.75</v>
      </c>
      <c r="X32" s="48">
        <f t="shared" si="0"/>
        <v>1.3860357488607117E-2</v>
      </c>
      <c r="Y32" s="49">
        <f t="shared" si="1"/>
        <v>25</v>
      </c>
    </row>
    <row r="33" spans="1:25" x14ac:dyDescent="0.25">
      <c r="A33" s="45" t="str">
        <f>'CR-TR_Interactions'!A33</f>
        <v>TR32</v>
      </c>
      <c r="B33" s="46">
        <f>'CR-TR_Interactions'!B33*Metrics_Voting!$C$3</f>
        <v>0</v>
      </c>
      <c r="C33" s="46">
        <f>'CR-TR_Interactions'!C33*Metrics_Voting!$C$4</f>
        <v>0</v>
      </c>
      <c r="D33" s="46">
        <f>'CR-TR_Interactions'!D33*Metrics_Voting!$C$5</f>
        <v>0</v>
      </c>
      <c r="E33" s="46">
        <f>'CR-TR_Interactions'!E33*Metrics_Voting!$C$7</f>
        <v>0</v>
      </c>
      <c r="F33" s="46">
        <f>'CR-TR_Interactions'!F33*Metrics_Voting!$C$8</f>
        <v>3</v>
      </c>
      <c r="G33" s="46">
        <f>'CR-TR_Interactions'!G33*Metrics_Voting!$C$9</f>
        <v>0</v>
      </c>
      <c r="H33" s="46">
        <f>'CR-TR_Interactions'!H33*Metrics_Voting!$C$11</f>
        <v>10.5</v>
      </c>
      <c r="I33" s="46">
        <f>'CR-TR_Interactions'!I33*Metrics_Voting!$C$12</f>
        <v>4.5</v>
      </c>
      <c r="J33" s="46">
        <f>'CR-TR_Interactions'!J33*Metrics_Voting!$C$13</f>
        <v>6</v>
      </c>
      <c r="K33" s="46">
        <f>'CR-TR_Interactions'!K33*Metrics_Voting!$C$15</f>
        <v>0</v>
      </c>
      <c r="L33" s="46">
        <f>'CR-TR_Interactions'!L33*Metrics_Voting!$C$16</f>
        <v>0</v>
      </c>
      <c r="M33" s="46">
        <f>'CR-TR_Interactions'!M33*Metrics_Voting!$C$17</f>
        <v>0</v>
      </c>
      <c r="N33" s="46">
        <f>'CR-TR_Interactions'!N33*Metrics_Voting!$C$19</f>
        <v>0</v>
      </c>
      <c r="O33" s="46">
        <f>'CR-TR_Interactions'!O33*Metrics_Voting!$C$20</f>
        <v>0</v>
      </c>
      <c r="P33" s="46">
        <f>'CR-TR_Interactions'!P33*Metrics_Voting!$C$21</f>
        <v>0</v>
      </c>
      <c r="Q33" s="46">
        <f>'CR-TR_Interactions'!Q33*Metrics_Voting!$C$23</f>
        <v>3.75</v>
      </c>
      <c r="R33" s="46">
        <f>'CR-TR_Interactions'!R33*Metrics_Voting!$C$24</f>
        <v>0</v>
      </c>
      <c r="S33" s="46">
        <f>'CR-TR_Interactions'!S33*Metrics_Voting!$C$25</f>
        <v>2.75</v>
      </c>
      <c r="T33" s="46">
        <f>'CR-TR_Interactions'!T33*Metrics_Voting!$C$27</f>
        <v>0</v>
      </c>
      <c r="U33" s="46">
        <f>'CR-TR_Interactions'!U33*Metrics_Voting!$C$28</f>
        <v>24.75</v>
      </c>
      <c r="V33" s="46">
        <f>'CR-TR_Interactions'!V33*Metrics_Voting!$C$29</f>
        <v>11.25</v>
      </c>
      <c r="W33" s="47">
        <f t="shared" si="2"/>
        <v>66.5</v>
      </c>
      <c r="X33" s="48">
        <f t="shared" si="0"/>
        <v>6.2808434275459851E-3</v>
      </c>
      <c r="Y33" s="49">
        <f t="shared" si="1"/>
        <v>77</v>
      </c>
    </row>
    <row r="34" spans="1:25" x14ac:dyDescent="0.25">
      <c r="A34" s="45" t="str">
        <f>'CR-TR_Interactions'!A34</f>
        <v>TR33</v>
      </c>
      <c r="B34" s="46">
        <f>'CR-TR_Interactions'!B34*Metrics_Voting!$C$3</f>
        <v>0</v>
      </c>
      <c r="C34" s="46">
        <f>'CR-TR_Interactions'!C34*Metrics_Voting!$C$4</f>
        <v>0</v>
      </c>
      <c r="D34" s="46">
        <f>'CR-TR_Interactions'!D34*Metrics_Voting!$C$5</f>
        <v>0</v>
      </c>
      <c r="E34" s="46">
        <f>'CR-TR_Interactions'!E34*Metrics_Voting!$C$7</f>
        <v>0</v>
      </c>
      <c r="F34" s="46">
        <f>'CR-TR_Interactions'!F34*Metrics_Voting!$C$8</f>
        <v>3</v>
      </c>
      <c r="G34" s="46">
        <f>'CR-TR_Interactions'!G34*Metrics_Voting!$C$9</f>
        <v>0</v>
      </c>
      <c r="H34" s="46">
        <f>'CR-TR_Interactions'!H34*Metrics_Voting!$C$11</f>
        <v>10.5</v>
      </c>
      <c r="I34" s="46">
        <f>'CR-TR_Interactions'!I34*Metrics_Voting!$C$12</f>
        <v>1.5</v>
      </c>
      <c r="J34" s="46">
        <f>'CR-TR_Interactions'!J34*Metrics_Voting!$C$13</f>
        <v>18</v>
      </c>
      <c r="K34" s="46">
        <f>'CR-TR_Interactions'!K34*Metrics_Voting!$C$15</f>
        <v>0</v>
      </c>
      <c r="L34" s="46">
        <f>'CR-TR_Interactions'!L34*Metrics_Voting!$C$16</f>
        <v>0</v>
      </c>
      <c r="M34" s="46">
        <f>'CR-TR_Interactions'!M34*Metrics_Voting!$C$17</f>
        <v>3.25</v>
      </c>
      <c r="N34" s="46">
        <f>'CR-TR_Interactions'!N34*Metrics_Voting!$C$19</f>
        <v>0</v>
      </c>
      <c r="O34" s="46">
        <f>'CR-TR_Interactions'!O34*Metrics_Voting!$C$20</f>
        <v>0</v>
      </c>
      <c r="P34" s="46">
        <f>'CR-TR_Interactions'!P34*Metrics_Voting!$C$21</f>
        <v>0</v>
      </c>
      <c r="Q34" s="46">
        <f>'CR-TR_Interactions'!Q34*Metrics_Voting!$C$23</f>
        <v>3.75</v>
      </c>
      <c r="R34" s="46">
        <f>'CR-TR_Interactions'!R34*Metrics_Voting!$C$24</f>
        <v>0</v>
      </c>
      <c r="S34" s="46">
        <f>'CR-TR_Interactions'!S34*Metrics_Voting!$C$25</f>
        <v>2.75</v>
      </c>
      <c r="T34" s="46">
        <f>'CR-TR_Interactions'!T34*Metrics_Voting!$C$27</f>
        <v>0</v>
      </c>
      <c r="U34" s="46">
        <f>'CR-TR_Interactions'!U34*Metrics_Voting!$C$28</f>
        <v>8.25</v>
      </c>
      <c r="V34" s="46">
        <f>'CR-TR_Interactions'!V34*Metrics_Voting!$C$29</f>
        <v>3.75</v>
      </c>
      <c r="W34" s="47">
        <f t="shared" si="2"/>
        <v>54.75</v>
      </c>
      <c r="X34" s="48">
        <f t="shared" si="0"/>
        <v>5.1710703407239498E-3</v>
      </c>
      <c r="Y34" s="49">
        <f t="shared" si="1"/>
        <v>83</v>
      </c>
    </row>
    <row r="35" spans="1:25" x14ac:dyDescent="0.25">
      <c r="A35" s="45" t="str">
        <f>'CR-TR_Interactions'!A35</f>
        <v>TR34</v>
      </c>
      <c r="B35" s="46">
        <f>'CR-TR_Interactions'!B35*Metrics_Voting!$C$3</f>
        <v>0</v>
      </c>
      <c r="C35" s="46">
        <f>'CR-TR_Interactions'!C35*Metrics_Voting!$C$4</f>
        <v>0</v>
      </c>
      <c r="D35" s="46">
        <f>'CR-TR_Interactions'!D35*Metrics_Voting!$C$5</f>
        <v>0</v>
      </c>
      <c r="E35" s="46">
        <f>'CR-TR_Interactions'!E35*Metrics_Voting!$C$7</f>
        <v>0</v>
      </c>
      <c r="F35" s="46">
        <f>'CR-TR_Interactions'!F35*Metrics_Voting!$C$8</f>
        <v>3</v>
      </c>
      <c r="G35" s="46">
        <f>'CR-TR_Interactions'!G35*Metrics_Voting!$C$9</f>
        <v>0</v>
      </c>
      <c r="H35" s="46">
        <f>'CR-TR_Interactions'!H35*Metrics_Voting!$C$11</f>
        <v>31.5</v>
      </c>
      <c r="I35" s="46">
        <f>'CR-TR_Interactions'!I35*Metrics_Voting!$C$12</f>
        <v>1.5</v>
      </c>
      <c r="J35" s="46">
        <f>'CR-TR_Interactions'!J35*Metrics_Voting!$C$13</f>
        <v>18</v>
      </c>
      <c r="K35" s="46">
        <f>'CR-TR_Interactions'!K35*Metrics_Voting!$C$15</f>
        <v>0</v>
      </c>
      <c r="L35" s="46">
        <f>'CR-TR_Interactions'!L35*Metrics_Voting!$C$16</f>
        <v>0</v>
      </c>
      <c r="M35" s="46">
        <f>'CR-TR_Interactions'!M35*Metrics_Voting!$C$17</f>
        <v>0</v>
      </c>
      <c r="N35" s="46">
        <f>'CR-TR_Interactions'!N35*Metrics_Voting!$C$19</f>
        <v>0</v>
      </c>
      <c r="O35" s="46">
        <f>'CR-TR_Interactions'!O35*Metrics_Voting!$C$20</f>
        <v>0</v>
      </c>
      <c r="P35" s="46">
        <f>'CR-TR_Interactions'!P35*Metrics_Voting!$C$21</f>
        <v>0</v>
      </c>
      <c r="Q35" s="46">
        <f>'CR-TR_Interactions'!Q35*Metrics_Voting!$C$23</f>
        <v>3.75</v>
      </c>
      <c r="R35" s="46">
        <f>'CR-TR_Interactions'!R35*Metrics_Voting!$C$24</f>
        <v>0</v>
      </c>
      <c r="S35" s="46">
        <f>'CR-TR_Interactions'!S35*Metrics_Voting!$C$25</f>
        <v>2.75</v>
      </c>
      <c r="T35" s="46">
        <f>'CR-TR_Interactions'!T35*Metrics_Voting!$C$27</f>
        <v>0</v>
      </c>
      <c r="U35" s="46">
        <f>'CR-TR_Interactions'!U35*Metrics_Voting!$C$28</f>
        <v>8.25</v>
      </c>
      <c r="V35" s="46">
        <f>'CR-TR_Interactions'!V35*Metrics_Voting!$C$29</f>
        <v>11.25</v>
      </c>
      <c r="W35" s="47">
        <f t="shared" si="2"/>
        <v>80</v>
      </c>
      <c r="X35" s="48">
        <f t="shared" si="0"/>
        <v>7.5559018677244932E-3</v>
      </c>
      <c r="Y35" s="49">
        <f t="shared" si="1"/>
        <v>71</v>
      </c>
    </row>
    <row r="36" spans="1:25" x14ac:dyDescent="0.25">
      <c r="A36" s="45" t="str">
        <f>'CR-TR_Interactions'!A36</f>
        <v>TR35</v>
      </c>
      <c r="B36" s="46">
        <f>'CR-TR_Interactions'!B36*Metrics_Voting!$C$3</f>
        <v>4</v>
      </c>
      <c r="C36" s="46">
        <f>'CR-TR_Interactions'!C36*Metrics_Voting!$C$4</f>
        <v>0</v>
      </c>
      <c r="D36" s="46">
        <f>'CR-TR_Interactions'!D36*Metrics_Voting!$C$5</f>
        <v>36</v>
      </c>
      <c r="E36" s="46">
        <f>'CR-TR_Interactions'!E36*Metrics_Voting!$C$7</f>
        <v>0</v>
      </c>
      <c r="F36" s="46">
        <f>'CR-TR_Interactions'!F36*Metrics_Voting!$C$8</f>
        <v>3</v>
      </c>
      <c r="G36" s="46">
        <f>'CR-TR_Interactions'!G36*Metrics_Voting!$C$9</f>
        <v>0</v>
      </c>
      <c r="H36" s="46">
        <f>'CR-TR_Interactions'!H36*Metrics_Voting!$C$11</f>
        <v>31.5</v>
      </c>
      <c r="I36" s="46">
        <f>'CR-TR_Interactions'!I36*Metrics_Voting!$C$12</f>
        <v>13.5</v>
      </c>
      <c r="J36" s="46">
        <f>'CR-TR_Interactions'!J36*Metrics_Voting!$C$13</f>
        <v>18</v>
      </c>
      <c r="K36" s="46">
        <f>'CR-TR_Interactions'!K36*Metrics_Voting!$C$15</f>
        <v>0</v>
      </c>
      <c r="L36" s="46">
        <f>'CR-TR_Interactions'!L36*Metrics_Voting!$C$16</f>
        <v>0</v>
      </c>
      <c r="M36" s="46">
        <f>'CR-TR_Interactions'!M36*Metrics_Voting!$C$17</f>
        <v>3.25</v>
      </c>
      <c r="N36" s="46">
        <f>'CR-TR_Interactions'!N36*Metrics_Voting!$C$19</f>
        <v>0</v>
      </c>
      <c r="O36" s="46">
        <f>'CR-TR_Interactions'!O36*Metrics_Voting!$C$20</f>
        <v>0</v>
      </c>
      <c r="P36" s="46">
        <f>'CR-TR_Interactions'!P36*Metrics_Voting!$C$21</f>
        <v>0</v>
      </c>
      <c r="Q36" s="46">
        <f>'CR-TR_Interactions'!Q36*Metrics_Voting!$C$23</f>
        <v>3.75</v>
      </c>
      <c r="R36" s="46">
        <f>'CR-TR_Interactions'!R36*Metrics_Voting!$C$24</f>
        <v>3.75</v>
      </c>
      <c r="S36" s="46">
        <f>'CR-TR_Interactions'!S36*Metrics_Voting!$C$25</f>
        <v>2.75</v>
      </c>
      <c r="T36" s="46">
        <f>'CR-TR_Interactions'!T36*Metrics_Voting!$C$27</f>
        <v>0</v>
      </c>
      <c r="U36" s="46">
        <f>'CR-TR_Interactions'!U36*Metrics_Voting!$C$28</f>
        <v>8.25</v>
      </c>
      <c r="V36" s="46">
        <f>'CR-TR_Interactions'!V36*Metrics_Voting!$C$29</f>
        <v>3.75</v>
      </c>
      <c r="W36" s="47">
        <f t="shared" si="2"/>
        <v>131.5</v>
      </c>
      <c r="X36" s="48">
        <f t="shared" si="0"/>
        <v>1.2420013695072136E-2</v>
      </c>
      <c r="Y36" s="49">
        <f t="shared" si="1"/>
        <v>38</v>
      </c>
    </row>
    <row r="37" spans="1:25" x14ac:dyDescent="0.25">
      <c r="A37" s="45" t="str">
        <f>'CR-TR_Interactions'!A37</f>
        <v>TR36</v>
      </c>
      <c r="B37" s="46">
        <f>'CR-TR_Interactions'!B37*Metrics_Voting!$C$3</f>
        <v>0</v>
      </c>
      <c r="C37" s="46">
        <f>'CR-TR_Interactions'!C37*Metrics_Voting!$C$4</f>
        <v>0</v>
      </c>
      <c r="D37" s="46">
        <f>'CR-TR_Interactions'!D37*Metrics_Voting!$C$5</f>
        <v>12</v>
      </c>
      <c r="E37" s="46">
        <f>'CR-TR_Interactions'!E37*Metrics_Voting!$C$7</f>
        <v>0</v>
      </c>
      <c r="F37" s="46">
        <f>'CR-TR_Interactions'!F37*Metrics_Voting!$C$8</f>
        <v>3</v>
      </c>
      <c r="G37" s="46">
        <f>'CR-TR_Interactions'!G37*Metrics_Voting!$C$9</f>
        <v>0</v>
      </c>
      <c r="H37" s="46">
        <f>'CR-TR_Interactions'!H37*Metrics_Voting!$C$11</f>
        <v>31.5</v>
      </c>
      <c r="I37" s="46">
        <f>'CR-TR_Interactions'!I37*Metrics_Voting!$C$12</f>
        <v>4.5</v>
      </c>
      <c r="J37" s="46">
        <f>'CR-TR_Interactions'!J37*Metrics_Voting!$C$13</f>
        <v>6</v>
      </c>
      <c r="K37" s="46">
        <f>'CR-TR_Interactions'!K37*Metrics_Voting!$C$15</f>
        <v>0</v>
      </c>
      <c r="L37" s="46">
        <f>'CR-TR_Interactions'!L37*Metrics_Voting!$C$16</f>
        <v>0</v>
      </c>
      <c r="M37" s="46">
        <f>'CR-TR_Interactions'!M37*Metrics_Voting!$C$17</f>
        <v>0</v>
      </c>
      <c r="N37" s="46">
        <f>'CR-TR_Interactions'!N37*Metrics_Voting!$C$19</f>
        <v>0</v>
      </c>
      <c r="O37" s="46">
        <f>'CR-TR_Interactions'!O37*Metrics_Voting!$C$20</f>
        <v>0</v>
      </c>
      <c r="P37" s="46">
        <f>'CR-TR_Interactions'!P37*Metrics_Voting!$C$21</f>
        <v>0</v>
      </c>
      <c r="Q37" s="46">
        <f>'CR-TR_Interactions'!Q37*Metrics_Voting!$C$23</f>
        <v>3.75</v>
      </c>
      <c r="R37" s="46">
        <f>'CR-TR_Interactions'!R37*Metrics_Voting!$C$24</f>
        <v>3.75</v>
      </c>
      <c r="S37" s="46">
        <f>'CR-TR_Interactions'!S37*Metrics_Voting!$C$25</f>
        <v>2.75</v>
      </c>
      <c r="T37" s="46">
        <f>'CR-TR_Interactions'!T37*Metrics_Voting!$C$27</f>
        <v>0</v>
      </c>
      <c r="U37" s="46">
        <f>'CR-TR_Interactions'!U37*Metrics_Voting!$C$28</f>
        <v>8.25</v>
      </c>
      <c r="V37" s="46">
        <f>'CR-TR_Interactions'!V37*Metrics_Voting!$C$29</f>
        <v>33.75</v>
      </c>
      <c r="W37" s="47">
        <f t="shared" si="2"/>
        <v>109.25</v>
      </c>
      <c r="X37" s="48">
        <f t="shared" si="0"/>
        <v>1.031852848811126E-2</v>
      </c>
      <c r="Y37" s="49">
        <f t="shared" si="1"/>
        <v>52</v>
      </c>
    </row>
    <row r="38" spans="1:25" x14ac:dyDescent="0.25">
      <c r="A38" s="45" t="str">
        <f>'CR-TR_Interactions'!A38</f>
        <v>TR37</v>
      </c>
      <c r="B38" s="46">
        <f>'CR-TR_Interactions'!B38*Metrics_Voting!$C$3</f>
        <v>4</v>
      </c>
      <c r="C38" s="46">
        <f>'CR-TR_Interactions'!C38*Metrics_Voting!$C$4</f>
        <v>3.25</v>
      </c>
      <c r="D38" s="46">
        <f>'CR-TR_Interactions'!D38*Metrics_Voting!$C$5</f>
        <v>0</v>
      </c>
      <c r="E38" s="46">
        <f>'CR-TR_Interactions'!E38*Metrics_Voting!$C$7</f>
        <v>11.25</v>
      </c>
      <c r="F38" s="46">
        <f>'CR-TR_Interactions'!F38*Metrics_Voting!$C$8</f>
        <v>3</v>
      </c>
      <c r="G38" s="46">
        <f>'CR-TR_Interactions'!G38*Metrics_Voting!$C$9</f>
        <v>9.75</v>
      </c>
      <c r="H38" s="46">
        <f>'CR-TR_Interactions'!H38*Metrics_Voting!$C$11</f>
        <v>0</v>
      </c>
      <c r="I38" s="46">
        <f>'CR-TR_Interactions'!I38*Metrics_Voting!$C$12</f>
        <v>0</v>
      </c>
      <c r="J38" s="46">
        <f>'CR-TR_Interactions'!J38*Metrics_Voting!$C$13</f>
        <v>0</v>
      </c>
      <c r="K38" s="46">
        <f>'CR-TR_Interactions'!K38*Metrics_Voting!$C$15</f>
        <v>33.75</v>
      </c>
      <c r="L38" s="46">
        <f>'CR-TR_Interactions'!L38*Metrics_Voting!$C$16</f>
        <v>9.75</v>
      </c>
      <c r="M38" s="46">
        <f>'CR-TR_Interactions'!M38*Metrics_Voting!$C$17</f>
        <v>9.75</v>
      </c>
      <c r="N38" s="46">
        <f>'CR-TR_Interactions'!N38*Metrics_Voting!$C$19</f>
        <v>9.75</v>
      </c>
      <c r="O38" s="46">
        <f>'CR-TR_Interactions'!O38*Metrics_Voting!$C$20</f>
        <v>2.75</v>
      </c>
      <c r="P38" s="46">
        <f>'CR-TR_Interactions'!P38*Metrics_Voting!$C$21</f>
        <v>0</v>
      </c>
      <c r="Q38" s="46">
        <f>'CR-TR_Interactions'!Q38*Metrics_Voting!$C$23</f>
        <v>11.25</v>
      </c>
      <c r="R38" s="46">
        <f>'CR-TR_Interactions'!R38*Metrics_Voting!$C$24</f>
        <v>33.75</v>
      </c>
      <c r="S38" s="46">
        <f>'CR-TR_Interactions'!S38*Metrics_Voting!$C$25</f>
        <v>24.75</v>
      </c>
      <c r="T38" s="46">
        <f>'CR-TR_Interactions'!T38*Metrics_Voting!$C$27</f>
        <v>0</v>
      </c>
      <c r="U38" s="46">
        <f>'CR-TR_Interactions'!U38*Metrics_Voting!$C$28</f>
        <v>8.25</v>
      </c>
      <c r="V38" s="46">
        <f>'CR-TR_Interactions'!V38*Metrics_Voting!$C$29</f>
        <v>3.75</v>
      </c>
      <c r="W38" s="47">
        <f t="shared" si="2"/>
        <v>178.75</v>
      </c>
      <c r="X38" s="48">
        <f t="shared" si="0"/>
        <v>1.6882718235696915E-2</v>
      </c>
      <c r="Y38" s="49">
        <f t="shared" si="1"/>
        <v>10</v>
      </c>
    </row>
    <row r="39" spans="1:25" x14ac:dyDescent="0.25">
      <c r="A39" s="45" t="str">
        <f>'CR-TR_Interactions'!A39</f>
        <v>TR38</v>
      </c>
      <c r="B39" s="46">
        <f>'CR-TR_Interactions'!B39*Metrics_Voting!$C$3</f>
        <v>12</v>
      </c>
      <c r="C39" s="46">
        <f>'CR-TR_Interactions'!C39*Metrics_Voting!$C$4</f>
        <v>9.75</v>
      </c>
      <c r="D39" s="46">
        <f>'CR-TR_Interactions'!D39*Metrics_Voting!$C$5</f>
        <v>0</v>
      </c>
      <c r="E39" s="46">
        <f>'CR-TR_Interactions'!E39*Metrics_Voting!$C$7</f>
        <v>11.25</v>
      </c>
      <c r="F39" s="46">
        <f>'CR-TR_Interactions'!F39*Metrics_Voting!$C$8</f>
        <v>3</v>
      </c>
      <c r="G39" s="46">
        <f>'CR-TR_Interactions'!G39*Metrics_Voting!$C$9</f>
        <v>9.75</v>
      </c>
      <c r="H39" s="46">
        <f>'CR-TR_Interactions'!H39*Metrics_Voting!$C$11</f>
        <v>10.5</v>
      </c>
      <c r="I39" s="46">
        <f>'CR-TR_Interactions'!I39*Metrics_Voting!$C$12</f>
        <v>0</v>
      </c>
      <c r="J39" s="46">
        <f>'CR-TR_Interactions'!J39*Metrics_Voting!$C$13</f>
        <v>0</v>
      </c>
      <c r="K39" s="46">
        <f>'CR-TR_Interactions'!K39*Metrics_Voting!$C$15</f>
        <v>33.75</v>
      </c>
      <c r="L39" s="46">
        <f>'CR-TR_Interactions'!L39*Metrics_Voting!$C$16</f>
        <v>29.25</v>
      </c>
      <c r="M39" s="46">
        <f>'CR-TR_Interactions'!M39*Metrics_Voting!$C$17</f>
        <v>9.75</v>
      </c>
      <c r="N39" s="46">
        <f>'CR-TR_Interactions'!N39*Metrics_Voting!$C$19</f>
        <v>9.75</v>
      </c>
      <c r="O39" s="46">
        <f>'CR-TR_Interactions'!O39*Metrics_Voting!$C$20</f>
        <v>2.75</v>
      </c>
      <c r="P39" s="46">
        <f>'CR-TR_Interactions'!P39*Metrics_Voting!$C$21</f>
        <v>0</v>
      </c>
      <c r="Q39" s="46">
        <f>'CR-TR_Interactions'!Q39*Metrics_Voting!$C$23</f>
        <v>11.25</v>
      </c>
      <c r="R39" s="46">
        <f>'CR-TR_Interactions'!R39*Metrics_Voting!$C$24</f>
        <v>33.75</v>
      </c>
      <c r="S39" s="46">
        <f>'CR-TR_Interactions'!S39*Metrics_Voting!$C$25</f>
        <v>24.75</v>
      </c>
      <c r="T39" s="46">
        <f>'CR-TR_Interactions'!T39*Metrics_Voting!$C$27</f>
        <v>0</v>
      </c>
      <c r="U39" s="46">
        <f>'CR-TR_Interactions'!U39*Metrics_Voting!$C$28</f>
        <v>8.25</v>
      </c>
      <c r="V39" s="46">
        <f>'CR-TR_Interactions'!V39*Metrics_Voting!$C$29</f>
        <v>11.25</v>
      </c>
      <c r="W39" s="47">
        <f t="shared" si="2"/>
        <v>230.75</v>
      </c>
      <c r="X39" s="48">
        <f t="shared" si="0"/>
        <v>2.1794054449717833E-2</v>
      </c>
      <c r="Y39" s="49">
        <f t="shared" si="1"/>
        <v>1</v>
      </c>
    </row>
    <row r="40" spans="1:25" x14ac:dyDescent="0.25">
      <c r="A40" s="45" t="str">
        <f>'CR-TR_Interactions'!A40</f>
        <v>TR39</v>
      </c>
      <c r="B40" s="46">
        <f>'CR-TR_Interactions'!B40*Metrics_Voting!$C$3</f>
        <v>4</v>
      </c>
      <c r="C40" s="46">
        <f>'CR-TR_Interactions'!C40*Metrics_Voting!$C$4</f>
        <v>0</v>
      </c>
      <c r="D40" s="46">
        <f>'CR-TR_Interactions'!D40*Metrics_Voting!$C$5</f>
        <v>0</v>
      </c>
      <c r="E40" s="46">
        <f>'CR-TR_Interactions'!E40*Metrics_Voting!$C$7</f>
        <v>11.25</v>
      </c>
      <c r="F40" s="46">
        <f>'CR-TR_Interactions'!F40*Metrics_Voting!$C$8</f>
        <v>3</v>
      </c>
      <c r="G40" s="46">
        <f>'CR-TR_Interactions'!G40*Metrics_Voting!$C$9</f>
        <v>9.75</v>
      </c>
      <c r="H40" s="46">
        <f>'CR-TR_Interactions'!H40*Metrics_Voting!$C$11</f>
        <v>0</v>
      </c>
      <c r="I40" s="46">
        <f>'CR-TR_Interactions'!I40*Metrics_Voting!$C$12</f>
        <v>0</v>
      </c>
      <c r="J40" s="46">
        <f>'CR-TR_Interactions'!J40*Metrics_Voting!$C$13</f>
        <v>0</v>
      </c>
      <c r="K40" s="46">
        <f>'CR-TR_Interactions'!K40*Metrics_Voting!$C$15</f>
        <v>33.75</v>
      </c>
      <c r="L40" s="46">
        <f>'CR-TR_Interactions'!L40*Metrics_Voting!$C$16</f>
        <v>3.25</v>
      </c>
      <c r="M40" s="46">
        <f>'CR-TR_Interactions'!M40*Metrics_Voting!$C$17</f>
        <v>3.25</v>
      </c>
      <c r="N40" s="46">
        <f>'CR-TR_Interactions'!N40*Metrics_Voting!$C$19</f>
        <v>9.75</v>
      </c>
      <c r="O40" s="46">
        <f>'CR-TR_Interactions'!O40*Metrics_Voting!$C$20</f>
        <v>2.75</v>
      </c>
      <c r="P40" s="46">
        <f>'CR-TR_Interactions'!P40*Metrics_Voting!$C$21</f>
        <v>0</v>
      </c>
      <c r="Q40" s="46">
        <f>'CR-TR_Interactions'!Q40*Metrics_Voting!$C$23</f>
        <v>11.25</v>
      </c>
      <c r="R40" s="46">
        <f>'CR-TR_Interactions'!R40*Metrics_Voting!$C$24</f>
        <v>33.75</v>
      </c>
      <c r="S40" s="46">
        <f>'CR-TR_Interactions'!S40*Metrics_Voting!$C$25</f>
        <v>8.25</v>
      </c>
      <c r="T40" s="46">
        <f>'CR-TR_Interactions'!T40*Metrics_Voting!$C$27</f>
        <v>0</v>
      </c>
      <c r="U40" s="46">
        <f>'CR-TR_Interactions'!U40*Metrics_Voting!$C$28</f>
        <v>2.75</v>
      </c>
      <c r="V40" s="46">
        <f>'CR-TR_Interactions'!V40*Metrics_Voting!$C$29</f>
        <v>0</v>
      </c>
      <c r="W40" s="47">
        <f t="shared" si="2"/>
        <v>136.75</v>
      </c>
      <c r="X40" s="48">
        <f t="shared" si="0"/>
        <v>1.2915869755141555E-2</v>
      </c>
      <c r="Y40" s="49">
        <f t="shared" si="1"/>
        <v>34</v>
      </c>
    </row>
    <row r="41" spans="1:25" x14ac:dyDescent="0.25">
      <c r="A41" s="45" t="str">
        <f>'CR-TR_Interactions'!A41</f>
        <v>TR40</v>
      </c>
      <c r="B41" s="46">
        <f>'CR-TR_Interactions'!B41*Metrics_Voting!$C$3</f>
        <v>0</v>
      </c>
      <c r="C41" s="46">
        <f>'CR-TR_Interactions'!C41*Metrics_Voting!$C$4</f>
        <v>0</v>
      </c>
      <c r="D41" s="46">
        <f>'CR-TR_Interactions'!D41*Metrics_Voting!$C$5</f>
        <v>0</v>
      </c>
      <c r="E41" s="46">
        <f>'CR-TR_Interactions'!E41*Metrics_Voting!$C$7</f>
        <v>11.25</v>
      </c>
      <c r="F41" s="46">
        <f>'CR-TR_Interactions'!F41*Metrics_Voting!$C$8</f>
        <v>3</v>
      </c>
      <c r="G41" s="46">
        <f>'CR-TR_Interactions'!G41*Metrics_Voting!$C$9</f>
        <v>3.25</v>
      </c>
      <c r="H41" s="46">
        <f>'CR-TR_Interactions'!H41*Metrics_Voting!$C$11</f>
        <v>0</v>
      </c>
      <c r="I41" s="46">
        <f>'CR-TR_Interactions'!I41*Metrics_Voting!$C$12</f>
        <v>0</v>
      </c>
      <c r="J41" s="46">
        <f>'CR-TR_Interactions'!J41*Metrics_Voting!$C$13</f>
        <v>0</v>
      </c>
      <c r="K41" s="46">
        <f>'CR-TR_Interactions'!K41*Metrics_Voting!$C$15</f>
        <v>33.75</v>
      </c>
      <c r="L41" s="46">
        <f>'CR-TR_Interactions'!L41*Metrics_Voting!$C$16</f>
        <v>3.25</v>
      </c>
      <c r="M41" s="46">
        <f>'CR-TR_Interactions'!M41*Metrics_Voting!$C$17</f>
        <v>0</v>
      </c>
      <c r="N41" s="46">
        <f>'CR-TR_Interactions'!N41*Metrics_Voting!$C$19</f>
        <v>3.25</v>
      </c>
      <c r="O41" s="46">
        <f>'CR-TR_Interactions'!O41*Metrics_Voting!$C$20</f>
        <v>2.75</v>
      </c>
      <c r="P41" s="46">
        <f>'CR-TR_Interactions'!P41*Metrics_Voting!$C$21</f>
        <v>0</v>
      </c>
      <c r="Q41" s="46">
        <f>'CR-TR_Interactions'!Q41*Metrics_Voting!$C$23</f>
        <v>33.75</v>
      </c>
      <c r="R41" s="46">
        <f>'CR-TR_Interactions'!R41*Metrics_Voting!$C$24</f>
        <v>33.75</v>
      </c>
      <c r="S41" s="46">
        <f>'CR-TR_Interactions'!S41*Metrics_Voting!$C$25</f>
        <v>24.75</v>
      </c>
      <c r="T41" s="46">
        <f>'CR-TR_Interactions'!T41*Metrics_Voting!$C$27</f>
        <v>0</v>
      </c>
      <c r="U41" s="46">
        <f>'CR-TR_Interactions'!U41*Metrics_Voting!$C$28</f>
        <v>2.75</v>
      </c>
      <c r="V41" s="46">
        <f>'CR-TR_Interactions'!V41*Metrics_Voting!$C$29</f>
        <v>0</v>
      </c>
      <c r="W41" s="47">
        <f t="shared" si="2"/>
        <v>155.5</v>
      </c>
      <c r="X41" s="48">
        <f t="shared" si="0"/>
        <v>1.4686784255389483E-2</v>
      </c>
      <c r="Y41" s="49">
        <f t="shared" si="1"/>
        <v>24</v>
      </c>
    </row>
    <row r="42" spans="1:25" x14ac:dyDescent="0.25">
      <c r="A42" s="45" t="str">
        <f>'CR-TR_Interactions'!A42</f>
        <v>TR41</v>
      </c>
      <c r="B42" s="46">
        <f>'CR-TR_Interactions'!B42*Metrics_Voting!$C$3</f>
        <v>4</v>
      </c>
      <c r="C42" s="46">
        <f>'CR-TR_Interactions'!C42*Metrics_Voting!$C$4</f>
        <v>3.25</v>
      </c>
      <c r="D42" s="46">
        <f>'CR-TR_Interactions'!D42*Metrics_Voting!$C$5</f>
        <v>0</v>
      </c>
      <c r="E42" s="46">
        <f>'CR-TR_Interactions'!E42*Metrics_Voting!$C$7</f>
        <v>11.25</v>
      </c>
      <c r="F42" s="46">
        <f>'CR-TR_Interactions'!F42*Metrics_Voting!$C$8</f>
        <v>3</v>
      </c>
      <c r="G42" s="46">
        <f>'CR-TR_Interactions'!G42*Metrics_Voting!$C$9</f>
        <v>9.75</v>
      </c>
      <c r="H42" s="46">
        <f>'CR-TR_Interactions'!H42*Metrics_Voting!$C$11</f>
        <v>0</v>
      </c>
      <c r="I42" s="46">
        <f>'CR-TR_Interactions'!I42*Metrics_Voting!$C$12</f>
        <v>0</v>
      </c>
      <c r="J42" s="46">
        <f>'CR-TR_Interactions'!J42*Metrics_Voting!$C$13</f>
        <v>0</v>
      </c>
      <c r="K42" s="46">
        <f>'CR-TR_Interactions'!K42*Metrics_Voting!$C$15</f>
        <v>11.25</v>
      </c>
      <c r="L42" s="46">
        <f>'CR-TR_Interactions'!L42*Metrics_Voting!$C$16</f>
        <v>29.25</v>
      </c>
      <c r="M42" s="46">
        <f>'CR-TR_Interactions'!M42*Metrics_Voting!$C$17</f>
        <v>0</v>
      </c>
      <c r="N42" s="46">
        <f>'CR-TR_Interactions'!N42*Metrics_Voting!$C$19</f>
        <v>29.25</v>
      </c>
      <c r="O42" s="46">
        <f>'CR-TR_Interactions'!O42*Metrics_Voting!$C$20</f>
        <v>2.75</v>
      </c>
      <c r="P42" s="46">
        <f>'CR-TR_Interactions'!P42*Metrics_Voting!$C$21</f>
        <v>0</v>
      </c>
      <c r="Q42" s="46">
        <f>'CR-TR_Interactions'!Q42*Metrics_Voting!$C$23</f>
        <v>11.25</v>
      </c>
      <c r="R42" s="46">
        <f>'CR-TR_Interactions'!R42*Metrics_Voting!$C$24</f>
        <v>33.75</v>
      </c>
      <c r="S42" s="46">
        <f>'CR-TR_Interactions'!S42*Metrics_Voting!$C$25</f>
        <v>24.75</v>
      </c>
      <c r="T42" s="46">
        <f>'CR-TR_Interactions'!T42*Metrics_Voting!$C$27</f>
        <v>0</v>
      </c>
      <c r="U42" s="46">
        <f>'CR-TR_Interactions'!U42*Metrics_Voting!$C$28</f>
        <v>8.25</v>
      </c>
      <c r="V42" s="46">
        <f>'CR-TR_Interactions'!V42*Metrics_Voting!$C$29</f>
        <v>3.75</v>
      </c>
      <c r="W42" s="47">
        <f t="shared" si="2"/>
        <v>185.5</v>
      </c>
      <c r="X42" s="48">
        <f t="shared" si="0"/>
        <v>1.7520247455786168E-2</v>
      </c>
      <c r="Y42" s="49">
        <f t="shared" si="1"/>
        <v>7</v>
      </c>
    </row>
    <row r="43" spans="1:25" x14ac:dyDescent="0.25">
      <c r="A43" s="45" t="str">
        <f>'CR-TR_Interactions'!A43</f>
        <v>TR42</v>
      </c>
      <c r="B43" s="46">
        <f>'CR-TR_Interactions'!B43*Metrics_Voting!$C$3</f>
        <v>4</v>
      </c>
      <c r="C43" s="46">
        <f>'CR-TR_Interactions'!C43*Metrics_Voting!$C$4</f>
        <v>3.25</v>
      </c>
      <c r="D43" s="46">
        <f>'CR-TR_Interactions'!D43*Metrics_Voting!$C$5</f>
        <v>0</v>
      </c>
      <c r="E43" s="46">
        <f>'CR-TR_Interactions'!E43*Metrics_Voting!$C$7</f>
        <v>11.25</v>
      </c>
      <c r="F43" s="46">
        <f>'CR-TR_Interactions'!F43*Metrics_Voting!$C$8</f>
        <v>3</v>
      </c>
      <c r="G43" s="46">
        <f>'CR-TR_Interactions'!G43*Metrics_Voting!$C$9</f>
        <v>3.25</v>
      </c>
      <c r="H43" s="46">
        <f>'CR-TR_Interactions'!H43*Metrics_Voting!$C$11</f>
        <v>0</v>
      </c>
      <c r="I43" s="46">
        <f>'CR-TR_Interactions'!I43*Metrics_Voting!$C$12</f>
        <v>0</v>
      </c>
      <c r="J43" s="46">
        <f>'CR-TR_Interactions'!J43*Metrics_Voting!$C$13</f>
        <v>0</v>
      </c>
      <c r="K43" s="46">
        <f>'CR-TR_Interactions'!K43*Metrics_Voting!$C$15</f>
        <v>11.25</v>
      </c>
      <c r="L43" s="46">
        <f>'CR-TR_Interactions'!L43*Metrics_Voting!$C$16</f>
        <v>29.25</v>
      </c>
      <c r="M43" s="46">
        <f>'CR-TR_Interactions'!M43*Metrics_Voting!$C$17</f>
        <v>0</v>
      </c>
      <c r="N43" s="46">
        <f>'CR-TR_Interactions'!N43*Metrics_Voting!$C$19</f>
        <v>29.25</v>
      </c>
      <c r="O43" s="46">
        <f>'CR-TR_Interactions'!O43*Metrics_Voting!$C$20</f>
        <v>2.75</v>
      </c>
      <c r="P43" s="46">
        <f>'CR-TR_Interactions'!P43*Metrics_Voting!$C$21</f>
        <v>0</v>
      </c>
      <c r="Q43" s="46">
        <f>'CR-TR_Interactions'!Q43*Metrics_Voting!$C$23</f>
        <v>11.25</v>
      </c>
      <c r="R43" s="46">
        <f>'CR-TR_Interactions'!R43*Metrics_Voting!$C$24</f>
        <v>11.25</v>
      </c>
      <c r="S43" s="46">
        <f>'CR-TR_Interactions'!S43*Metrics_Voting!$C$25</f>
        <v>24.75</v>
      </c>
      <c r="T43" s="46">
        <f>'CR-TR_Interactions'!T43*Metrics_Voting!$C$27</f>
        <v>0</v>
      </c>
      <c r="U43" s="46">
        <f>'CR-TR_Interactions'!U43*Metrics_Voting!$C$28</f>
        <v>8.25</v>
      </c>
      <c r="V43" s="46">
        <f>'CR-TR_Interactions'!V43*Metrics_Voting!$C$29</f>
        <v>3.75</v>
      </c>
      <c r="W43" s="47">
        <f t="shared" si="2"/>
        <v>156.5</v>
      </c>
      <c r="X43" s="48">
        <f t="shared" si="0"/>
        <v>1.4781233028736039E-2</v>
      </c>
      <c r="Y43" s="49">
        <f t="shared" si="1"/>
        <v>23</v>
      </c>
    </row>
    <row r="44" spans="1:25" x14ac:dyDescent="0.25">
      <c r="A44" s="45" t="str">
        <f>'CR-TR_Interactions'!A44</f>
        <v>TR43</v>
      </c>
      <c r="B44" s="46">
        <f>'CR-TR_Interactions'!B44*Metrics_Voting!$C$3</f>
        <v>4</v>
      </c>
      <c r="C44" s="46">
        <f>'CR-TR_Interactions'!C44*Metrics_Voting!$C$4</f>
        <v>0</v>
      </c>
      <c r="D44" s="46">
        <f>'CR-TR_Interactions'!D44*Metrics_Voting!$C$5</f>
        <v>0</v>
      </c>
      <c r="E44" s="46">
        <f>'CR-TR_Interactions'!E44*Metrics_Voting!$C$7</f>
        <v>11.25</v>
      </c>
      <c r="F44" s="46">
        <f>'CR-TR_Interactions'!F44*Metrics_Voting!$C$8</f>
        <v>3</v>
      </c>
      <c r="G44" s="46">
        <f>'CR-TR_Interactions'!G44*Metrics_Voting!$C$9</f>
        <v>3.25</v>
      </c>
      <c r="H44" s="46">
        <f>'CR-TR_Interactions'!H44*Metrics_Voting!$C$11</f>
        <v>0</v>
      </c>
      <c r="I44" s="46">
        <f>'CR-TR_Interactions'!I44*Metrics_Voting!$C$12</f>
        <v>0</v>
      </c>
      <c r="J44" s="46">
        <f>'CR-TR_Interactions'!J44*Metrics_Voting!$C$13</f>
        <v>0</v>
      </c>
      <c r="K44" s="46">
        <f>'CR-TR_Interactions'!K44*Metrics_Voting!$C$15</f>
        <v>11.25</v>
      </c>
      <c r="L44" s="46">
        <f>'CR-TR_Interactions'!L44*Metrics_Voting!$C$16</f>
        <v>29.25</v>
      </c>
      <c r="M44" s="46">
        <f>'CR-TR_Interactions'!M44*Metrics_Voting!$C$17</f>
        <v>0</v>
      </c>
      <c r="N44" s="46">
        <f>'CR-TR_Interactions'!N44*Metrics_Voting!$C$19</f>
        <v>29.25</v>
      </c>
      <c r="O44" s="46">
        <f>'CR-TR_Interactions'!O44*Metrics_Voting!$C$20</f>
        <v>2.75</v>
      </c>
      <c r="P44" s="46">
        <f>'CR-TR_Interactions'!P44*Metrics_Voting!$C$21</f>
        <v>0</v>
      </c>
      <c r="Q44" s="46">
        <f>'CR-TR_Interactions'!Q44*Metrics_Voting!$C$23</f>
        <v>33.75</v>
      </c>
      <c r="R44" s="46">
        <f>'CR-TR_Interactions'!R44*Metrics_Voting!$C$24</f>
        <v>33.75</v>
      </c>
      <c r="S44" s="46">
        <f>'CR-TR_Interactions'!S44*Metrics_Voting!$C$25</f>
        <v>24.75</v>
      </c>
      <c r="T44" s="46">
        <f>'CR-TR_Interactions'!T44*Metrics_Voting!$C$27</f>
        <v>0</v>
      </c>
      <c r="U44" s="46">
        <f>'CR-TR_Interactions'!U44*Metrics_Voting!$C$28</f>
        <v>8.25</v>
      </c>
      <c r="V44" s="46">
        <f>'CR-TR_Interactions'!V44*Metrics_Voting!$C$29</f>
        <v>3.75</v>
      </c>
      <c r="W44" s="47">
        <f t="shared" si="2"/>
        <v>198.25</v>
      </c>
      <c r="X44" s="48">
        <f t="shared" si="0"/>
        <v>1.8724469315954759E-2</v>
      </c>
      <c r="Y44" s="49">
        <f t="shared" si="1"/>
        <v>4</v>
      </c>
    </row>
    <row r="45" spans="1:25" x14ac:dyDescent="0.25">
      <c r="A45" s="45" t="str">
        <f>'CR-TR_Interactions'!A45</f>
        <v>TR44</v>
      </c>
      <c r="B45" s="46">
        <f>'CR-TR_Interactions'!B45*Metrics_Voting!$C$3</f>
        <v>0</v>
      </c>
      <c r="C45" s="46">
        <f>'CR-TR_Interactions'!C45*Metrics_Voting!$C$4</f>
        <v>0</v>
      </c>
      <c r="D45" s="46">
        <f>'CR-TR_Interactions'!D45*Metrics_Voting!$C$5</f>
        <v>0</v>
      </c>
      <c r="E45" s="46">
        <f>'CR-TR_Interactions'!E45*Metrics_Voting!$C$7</f>
        <v>11.25</v>
      </c>
      <c r="F45" s="46">
        <f>'CR-TR_Interactions'!F45*Metrics_Voting!$C$8</f>
        <v>3</v>
      </c>
      <c r="G45" s="46">
        <f>'CR-TR_Interactions'!G45*Metrics_Voting!$C$9</f>
        <v>3.25</v>
      </c>
      <c r="H45" s="46">
        <f>'CR-TR_Interactions'!H45*Metrics_Voting!$C$11</f>
        <v>0</v>
      </c>
      <c r="I45" s="46">
        <f>'CR-TR_Interactions'!I45*Metrics_Voting!$C$12</f>
        <v>0</v>
      </c>
      <c r="J45" s="46">
        <f>'CR-TR_Interactions'!J45*Metrics_Voting!$C$13</f>
        <v>0</v>
      </c>
      <c r="K45" s="46">
        <f>'CR-TR_Interactions'!K45*Metrics_Voting!$C$15</f>
        <v>11.25</v>
      </c>
      <c r="L45" s="46">
        <f>'CR-TR_Interactions'!L45*Metrics_Voting!$C$16</f>
        <v>29.25</v>
      </c>
      <c r="M45" s="46">
        <f>'CR-TR_Interactions'!M45*Metrics_Voting!$C$17</f>
        <v>0</v>
      </c>
      <c r="N45" s="46">
        <f>'CR-TR_Interactions'!N45*Metrics_Voting!$C$19</f>
        <v>0</v>
      </c>
      <c r="O45" s="46">
        <f>'CR-TR_Interactions'!O45*Metrics_Voting!$C$20</f>
        <v>2.75</v>
      </c>
      <c r="P45" s="46">
        <f>'CR-TR_Interactions'!P45*Metrics_Voting!$C$21</f>
        <v>0</v>
      </c>
      <c r="Q45" s="46">
        <f>'CR-TR_Interactions'!Q45*Metrics_Voting!$C$23</f>
        <v>11.25</v>
      </c>
      <c r="R45" s="46">
        <f>'CR-TR_Interactions'!R45*Metrics_Voting!$C$24</f>
        <v>11.25</v>
      </c>
      <c r="S45" s="46">
        <f>'CR-TR_Interactions'!S45*Metrics_Voting!$C$25</f>
        <v>8.25</v>
      </c>
      <c r="T45" s="46">
        <f>'CR-TR_Interactions'!T45*Metrics_Voting!$C$27</f>
        <v>0</v>
      </c>
      <c r="U45" s="46">
        <f>'CR-TR_Interactions'!U45*Metrics_Voting!$C$28</f>
        <v>8.25</v>
      </c>
      <c r="V45" s="46">
        <f>'CR-TR_Interactions'!V45*Metrics_Voting!$C$29</f>
        <v>0</v>
      </c>
      <c r="W45" s="47">
        <f t="shared" si="2"/>
        <v>99.75</v>
      </c>
      <c r="X45" s="48">
        <f t="shared" si="0"/>
        <v>9.4212651413189772E-3</v>
      </c>
      <c r="Y45" s="49">
        <f t="shared" si="1"/>
        <v>58</v>
      </c>
    </row>
    <row r="46" spans="1:25" x14ac:dyDescent="0.25">
      <c r="A46" s="45" t="str">
        <f>'CR-TR_Interactions'!A46</f>
        <v>TR45</v>
      </c>
      <c r="B46" s="46">
        <f>'CR-TR_Interactions'!B46*Metrics_Voting!$C$3</f>
        <v>4</v>
      </c>
      <c r="C46" s="46">
        <f>'CR-TR_Interactions'!C46*Metrics_Voting!$C$4</f>
        <v>3.25</v>
      </c>
      <c r="D46" s="46">
        <f>'CR-TR_Interactions'!D46*Metrics_Voting!$C$5</f>
        <v>12</v>
      </c>
      <c r="E46" s="46">
        <f>'CR-TR_Interactions'!E46*Metrics_Voting!$C$7</f>
        <v>11.25</v>
      </c>
      <c r="F46" s="46">
        <f>'CR-TR_Interactions'!F46*Metrics_Voting!$C$8</f>
        <v>3</v>
      </c>
      <c r="G46" s="46">
        <f>'CR-TR_Interactions'!G46*Metrics_Voting!$C$9</f>
        <v>9.75</v>
      </c>
      <c r="H46" s="46">
        <f>'CR-TR_Interactions'!H46*Metrics_Voting!$C$11</f>
        <v>10.5</v>
      </c>
      <c r="I46" s="46">
        <f>'CR-TR_Interactions'!I46*Metrics_Voting!$C$12</f>
        <v>0</v>
      </c>
      <c r="J46" s="46">
        <f>'CR-TR_Interactions'!J46*Metrics_Voting!$C$13</f>
        <v>2</v>
      </c>
      <c r="K46" s="46">
        <f>'CR-TR_Interactions'!K46*Metrics_Voting!$C$15</f>
        <v>33.75</v>
      </c>
      <c r="L46" s="46">
        <f>'CR-TR_Interactions'!L46*Metrics_Voting!$C$16</f>
        <v>3.25</v>
      </c>
      <c r="M46" s="46">
        <f>'CR-TR_Interactions'!M46*Metrics_Voting!$C$17</f>
        <v>29.25</v>
      </c>
      <c r="N46" s="46">
        <f>'CR-TR_Interactions'!N46*Metrics_Voting!$C$19</f>
        <v>0</v>
      </c>
      <c r="O46" s="46">
        <f>'CR-TR_Interactions'!O46*Metrics_Voting!$C$20</f>
        <v>2.75</v>
      </c>
      <c r="P46" s="46">
        <f>'CR-TR_Interactions'!P46*Metrics_Voting!$C$21</f>
        <v>0</v>
      </c>
      <c r="Q46" s="46">
        <f>'CR-TR_Interactions'!Q46*Metrics_Voting!$C$23</f>
        <v>11.25</v>
      </c>
      <c r="R46" s="46">
        <f>'CR-TR_Interactions'!R46*Metrics_Voting!$C$24</f>
        <v>11.25</v>
      </c>
      <c r="S46" s="46">
        <f>'CR-TR_Interactions'!S46*Metrics_Voting!$C$25</f>
        <v>8.25</v>
      </c>
      <c r="T46" s="46">
        <f>'CR-TR_Interactions'!T46*Metrics_Voting!$C$27</f>
        <v>0</v>
      </c>
      <c r="U46" s="46">
        <f>'CR-TR_Interactions'!U46*Metrics_Voting!$C$28</f>
        <v>8.25</v>
      </c>
      <c r="V46" s="46">
        <f>'CR-TR_Interactions'!V46*Metrics_Voting!$C$29</f>
        <v>11.25</v>
      </c>
      <c r="W46" s="47">
        <f t="shared" si="2"/>
        <v>175</v>
      </c>
      <c r="X46" s="48">
        <f t="shared" si="0"/>
        <v>1.652853533564733E-2</v>
      </c>
      <c r="Y46" s="49">
        <f t="shared" si="1"/>
        <v>13</v>
      </c>
    </row>
    <row r="47" spans="1:25" x14ac:dyDescent="0.25">
      <c r="A47" s="45" t="str">
        <f>'CR-TR_Interactions'!A47</f>
        <v>TR46</v>
      </c>
      <c r="B47" s="46">
        <f>'CR-TR_Interactions'!B47*Metrics_Voting!$C$3</f>
        <v>0</v>
      </c>
      <c r="C47" s="46">
        <f>'CR-TR_Interactions'!C47*Metrics_Voting!$C$4</f>
        <v>0</v>
      </c>
      <c r="D47" s="46">
        <f>'CR-TR_Interactions'!D47*Metrics_Voting!$C$5</f>
        <v>0</v>
      </c>
      <c r="E47" s="46">
        <f>'CR-TR_Interactions'!E47*Metrics_Voting!$C$7</f>
        <v>11.25</v>
      </c>
      <c r="F47" s="46">
        <f>'CR-TR_Interactions'!F47*Metrics_Voting!$C$8</f>
        <v>3</v>
      </c>
      <c r="G47" s="46">
        <f>'CR-TR_Interactions'!G47*Metrics_Voting!$C$9</f>
        <v>9.75</v>
      </c>
      <c r="H47" s="46">
        <f>'CR-TR_Interactions'!H47*Metrics_Voting!$C$11</f>
        <v>31.5</v>
      </c>
      <c r="I47" s="46">
        <f>'CR-TR_Interactions'!I47*Metrics_Voting!$C$12</f>
        <v>4.5</v>
      </c>
      <c r="J47" s="46">
        <f>'CR-TR_Interactions'!J47*Metrics_Voting!$C$13</f>
        <v>6</v>
      </c>
      <c r="K47" s="46">
        <f>'CR-TR_Interactions'!K47*Metrics_Voting!$C$15</f>
        <v>11.25</v>
      </c>
      <c r="L47" s="46">
        <f>'CR-TR_Interactions'!L47*Metrics_Voting!$C$16</f>
        <v>3.25</v>
      </c>
      <c r="M47" s="46">
        <f>'CR-TR_Interactions'!M47*Metrics_Voting!$C$17</f>
        <v>29.25</v>
      </c>
      <c r="N47" s="46">
        <f>'CR-TR_Interactions'!N47*Metrics_Voting!$C$19</f>
        <v>0</v>
      </c>
      <c r="O47" s="46">
        <f>'CR-TR_Interactions'!O47*Metrics_Voting!$C$20</f>
        <v>2.75</v>
      </c>
      <c r="P47" s="46">
        <f>'CR-TR_Interactions'!P47*Metrics_Voting!$C$21</f>
        <v>0</v>
      </c>
      <c r="Q47" s="46">
        <f>'CR-TR_Interactions'!Q47*Metrics_Voting!$C$23</f>
        <v>3.75</v>
      </c>
      <c r="R47" s="46">
        <f>'CR-TR_Interactions'!R47*Metrics_Voting!$C$24</f>
        <v>11.25</v>
      </c>
      <c r="S47" s="46">
        <f>'CR-TR_Interactions'!S47*Metrics_Voting!$C$25</f>
        <v>2.75</v>
      </c>
      <c r="T47" s="46">
        <f>'CR-TR_Interactions'!T47*Metrics_Voting!$C$27</f>
        <v>0</v>
      </c>
      <c r="U47" s="46">
        <f>'CR-TR_Interactions'!U47*Metrics_Voting!$C$28</f>
        <v>8.25</v>
      </c>
      <c r="V47" s="46">
        <f>'CR-TR_Interactions'!V47*Metrics_Voting!$C$29</f>
        <v>33.75</v>
      </c>
      <c r="W47" s="47">
        <f t="shared" si="2"/>
        <v>172.25</v>
      </c>
      <c r="X47" s="48">
        <f t="shared" si="0"/>
        <v>1.6268801208944299E-2</v>
      </c>
      <c r="Y47" s="49">
        <f t="shared" si="1"/>
        <v>15</v>
      </c>
    </row>
    <row r="48" spans="1:25" x14ac:dyDescent="0.25">
      <c r="A48" s="45" t="str">
        <f>'CR-TR_Interactions'!A48</f>
        <v>TR47</v>
      </c>
      <c r="B48" s="46">
        <f>'CR-TR_Interactions'!B48*Metrics_Voting!$C$3</f>
        <v>4</v>
      </c>
      <c r="C48" s="46">
        <f>'CR-TR_Interactions'!C48*Metrics_Voting!$C$4</f>
        <v>0</v>
      </c>
      <c r="D48" s="46">
        <f>'CR-TR_Interactions'!D48*Metrics_Voting!$C$5</f>
        <v>12</v>
      </c>
      <c r="E48" s="46">
        <f>'CR-TR_Interactions'!E48*Metrics_Voting!$C$7</f>
        <v>11.25</v>
      </c>
      <c r="F48" s="46">
        <f>'CR-TR_Interactions'!F48*Metrics_Voting!$C$8</f>
        <v>3</v>
      </c>
      <c r="G48" s="46">
        <f>'CR-TR_Interactions'!G48*Metrics_Voting!$C$9</f>
        <v>9.75</v>
      </c>
      <c r="H48" s="46">
        <f>'CR-TR_Interactions'!H48*Metrics_Voting!$C$11</f>
        <v>31.5</v>
      </c>
      <c r="I48" s="46">
        <f>'CR-TR_Interactions'!I48*Metrics_Voting!$C$12</f>
        <v>4.5</v>
      </c>
      <c r="J48" s="46">
        <f>'CR-TR_Interactions'!J48*Metrics_Voting!$C$13</f>
        <v>6</v>
      </c>
      <c r="K48" s="46">
        <f>'CR-TR_Interactions'!K48*Metrics_Voting!$C$15</f>
        <v>11.25</v>
      </c>
      <c r="L48" s="46">
        <f>'CR-TR_Interactions'!L48*Metrics_Voting!$C$16</f>
        <v>3.25</v>
      </c>
      <c r="M48" s="46">
        <f>'CR-TR_Interactions'!M48*Metrics_Voting!$C$17</f>
        <v>29.25</v>
      </c>
      <c r="N48" s="46">
        <f>'CR-TR_Interactions'!N48*Metrics_Voting!$C$19</f>
        <v>0</v>
      </c>
      <c r="O48" s="46">
        <f>'CR-TR_Interactions'!O48*Metrics_Voting!$C$20</f>
        <v>2.75</v>
      </c>
      <c r="P48" s="46">
        <f>'CR-TR_Interactions'!P48*Metrics_Voting!$C$21</f>
        <v>0</v>
      </c>
      <c r="Q48" s="46">
        <f>'CR-TR_Interactions'!Q48*Metrics_Voting!$C$23</f>
        <v>11.25</v>
      </c>
      <c r="R48" s="46">
        <f>'CR-TR_Interactions'!R48*Metrics_Voting!$C$24</f>
        <v>11.25</v>
      </c>
      <c r="S48" s="46">
        <f>'CR-TR_Interactions'!S48*Metrics_Voting!$C$25</f>
        <v>8.25</v>
      </c>
      <c r="T48" s="46">
        <f>'CR-TR_Interactions'!T48*Metrics_Voting!$C$27</f>
        <v>0</v>
      </c>
      <c r="U48" s="46">
        <f>'CR-TR_Interactions'!U48*Metrics_Voting!$C$28</f>
        <v>24.75</v>
      </c>
      <c r="V48" s="46">
        <f>'CR-TR_Interactions'!V48*Metrics_Voting!$C$29</f>
        <v>33.75</v>
      </c>
      <c r="W48" s="47">
        <f t="shared" si="2"/>
        <v>217.75</v>
      </c>
      <c r="X48" s="48">
        <f t="shared" si="0"/>
        <v>2.0566220396212604E-2</v>
      </c>
      <c r="Y48" s="49">
        <f t="shared" si="1"/>
        <v>3</v>
      </c>
    </row>
    <row r="49" spans="1:25" x14ac:dyDescent="0.25">
      <c r="A49" s="45" t="str">
        <f>'CR-TR_Interactions'!A49</f>
        <v>TR48</v>
      </c>
      <c r="B49" s="46">
        <f>'CR-TR_Interactions'!B49*Metrics_Voting!$C$3</f>
        <v>0</v>
      </c>
      <c r="C49" s="46">
        <f>'CR-TR_Interactions'!C49*Metrics_Voting!$C$4</f>
        <v>0</v>
      </c>
      <c r="D49" s="46">
        <f>'CR-TR_Interactions'!D49*Metrics_Voting!$C$5</f>
        <v>0</v>
      </c>
      <c r="E49" s="46">
        <f>'CR-TR_Interactions'!E49*Metrics_Voting!$C$7</f>
        <v>11.25</v>
      </c>
      <c r="F49" s="46">
        <f>'CR-TR_Interactions'!F49*Metrics_Voting!$C$8</f>
        <v>3</v>
      </c>
      <c r="G49" s="46">
        <f>'CR-TR_Interactions'!G49*Metrics_Voting!$C$9</f>
        <v>9.75</v>
      </c>
      <c r="H49" s="46">
        <f>'CR-TR_Interactions'!H49*Metrics_Voting!$C$11</f>
        <v>31.5</v>
      </c>
      <c r="I49" s="46">
        <f>'CR-TR_Interactions'!I49*Metrics_Voting!$C$12</f>
        <v>1.5</v>
      </c>
      <c r="J49" s="46">
        <f>'CR-TR_Interactions'!J49*Metrics_Voting!$C$13</f>
        <v>6</v>
      </c>
      <c r="K49" s="46">
        <f>'CR-TR_Interactions'!K49*Metrics_Voting!$C$15</f>
        <v>11.25</v>
      </c>
      <c r="L49" s="46">
        <f>'CR-TR_Interactions'!L49*Metrics_Voting!$C$16</f>
        <v>3.25</v>
      </c>
      <c r="M49" s="46">
        <f>'CR-TR_Interactions'!M49*Metrics_Voting!$C$17</f>
        <v>29.25</v>
      </c>
      <c r="N49" s="46">
        <f>'CR-TR_Interactions'!N49*Metrics_Voting!$C$19</f>
        <v>0</v>
      </c>
      <c r="O49" s="46">
        <f>'CR-TR_Interactions'!O49*Metrics_Voting!$C$20</f>
        <v>2.75</v>
      </c>
      <c r="P49" s="46">
        <f>'CR-TR_Interactions'!P49*Metrics_Voting!$C$21</f>
        <v>0</v>
      </c>
      <c r="Q49" s="46">
        <f>'CR-TR_Interactions'!Q49*Metrics_Voting!$C$23</f>
        <v>3.75</v>
      </c>
      <c r="R49" s="46">
        <f>'CR-TR_Interactions'!R49*Metrics_Voting!$C$24</f>
        <v>11.25</v>
      </c>
      <c r="S49" s="46">
        <f>'CR-TR_Interactions'!S49*Metrics_Voting!$C$25</f>
        <v>2.75</v>
      </c>
      <c r="T49" s="46">
        <f>'CR-TR_Interactions'!T49*Metrics_Voting!$C$27</f>
        <v>0</v>
      </c>
      <c r="U49" s="46">
        <f>'CR-TR_Interactions'!U49*Metrics_Voting!$C$28</f>
        <v>8.25</v>
      </c>
      <c r="V49" s="46">
        <f>'CR-TR_Interactions'!V49*Metrics_Voting!$C$29</f>
        <v>33.75</v>
      </c>
      <c r="W49" s="47">
        <f t="shared" si="2"/>
        <v>169.25</v>
      </c>
      <c r="X49" s="48">
        <f t="shared" si="0"/>
        <v>1.598545488890463E-2</v>
      </c>
      <c r="Y49" s="49">
        <f t="shared" si="1"/>
        <v>17</v>
      </c>
    </row>
    <row r="50" spans="1:25" x14ac:dyDescent="0.25">
      <c r="A50" s="45" t="str">
        <f>'CR-TR_Interactions'!A50</f>
        <v>TR49</v>
      </c>
      <c r="B50" s="46">
        <f>'CR-TR_Interactions'!B50*Metrics_Voting!$C$3</f>
        <v>0</v>
      </c>
      <c r="C50" s="46">
        <f>'CR-TR_Interactions'!C50*Metrics_Voting!$C$4</f>
        <v>0</v>
      </c>
      <c r="D50" s="46">
        <f>'CR-TR_Interactions'!D50*Metrics_Voting!$C$5</f>
        <v>0</v>
      </c>
      <c r="E50" s="46">
        <f>'CR-TR_Interactions'!E50*Metrics_Voting!$C$7</f>
        <v>0</v>
      </c>
      <c r="F50" s="46">
        <f>'CR-TR_Interactions'!F50*Metrics_Voting!$C$8</f>
        <v>3</v>
      </c>
      <c r="G50" s="46">
        <f>'CR-TR_Interactions'!G50*Metrics_Voting!$C$9</f>
        <v>3.25</v>
      </c>
      <c r="H50" s="46">
        <f>'CR-TR_Interactions'!H50*Metrics_Voting!$C$11</f>
        <v>0</v>
      </c>
      <c r="I50" s="46">
        <f>'CR-TR_Interactions'!I50*Metrics_Voting!$C$12</f>
        <v>0</v>
      </c>
      <c r="J50" s="46">
        <f>'CR-TR_Interactions'!J50*Metrics_Voting!$C$13</f>
        <v>0</v>
      </c>
      <c r="K50" s="46">
        <f>'CR-TR_Interactions'!K50*Metrics_Voting!$C$15</f>
        <v>0</v>
      </c>
      <c r="L50" s="46">
        <f>'CR-TR_Interactions'!L50*Metrics_Voting!$C$16</f>
        <v>0</v>
      </c>
      <c r="M50" s="46">
        <f>'CR-TR_Interactions'!M50*Metrics_Voting!$C$17</f>
        <v>0</v>
      </c>
      <c r="N50" s="46">
        <f>'CR-TR_Interactions'!N50*Metrics_Voting!$C$19</f>
        <v>29.25</v>
      </c>
      <c r="O50" s="46">
        <f>'CR-TR_Interactions'!O50*Metrics_Voting!$C$20</f>
        <v>8.25</v>
      </c>
      <c r="P50" s="46">
        <f>'CR-TR_Interactions'!P50*Metrics_Voting!$C$21</f>
        <v>10.5</v>
      </c>
      <c r="Q50" s="46">
        <f>'CR-TR_Interactions'!Q50*Metrics_Voting!$C$23</f>
        <v>3.75</v>
      </c>
      <c r="R50" s="46">
        <f>'CR-TR_Interactions'!R50*Metrics_Voting!$C$24</f>
        <v>0</v>
      </c>
      <c r="S50" s="46">
        <f>'CR-TR_Interactions'!S50*Metrics_Voting!$C$25</f>
        <v>24.75</v>
      </c>
      <c r="T50" s="46">
        <f>'CR-TR_Interactions'!T50*Metrics_Voting!$C$27</f>
        <v>0</v>
      </c>
      <c r="U50" s="46">
        <f>'CR-TR_Interactions'!U50*Metrics_Voting!$C$28</f>
        <v>2.75</v>
      </c>
      <c r="V50" s="46">
        <f>'CR-TR_Interactions'!V50*Metrics_Voting!$C$29</f>
        <v>0</v>
      </c>
      <c r="W50" s="47">
        <f t="shared" si="2"/>
        <v>85.5</v>
      </c>
      <c r="X50" s="48">
        <f t="shared" si="0"/>
        <v>8.0753701211305519E-3</v>
      </c>
      <c r="Y50" s="49">
        <f t="shared" si="1"/>
        <v>66</v>
      </c>
    </row>
    <row r="51" spans="1:25" x14ac:dyDescent="0.25">
      <c r="A51" s="45" t="str">
        <f>'CR-TR_Interactions'!A51</f>
        <v>TR50</v>
      </c>
      <c r="B51" s="46">
        <f>'CR-TR_Interactions'!B51*Metrics_Voting!$C$3</f>
        <v>0</v>
      </c>
      <c r="C51" s="46">
        <f>'CR-TR_Interactions'!C51*Metrics_Voting!$C$4</f>
        <v>0</v>
      </c>
      <c r="D51" s="46">
        <f>'CR-TR_Interactions'!D51*Metrics_Voting!$C$5</f>
        <v>0</v>
      </c>
      <c r="E51" s="46">
        <f>'CR-TR_Interactions'!E51*Metrics_Voting!$C$7</f>
        <v>0</v>
      </c>
      <c r="F51" s="46">
        <f>'CR-TR_Interactions'!F51*Metrics_Voting!$C$8</f>
        <v>3</v>
      </c>
      <c r="G51" s="46">
        <f>'CR-TR_Interactions'!G51*Metrics_Voting!$C$9</f>
        <v>3.25</v>
      </c>
      <c r="H51" s="46">
        <f>'CR-TR_Interactions'!H51*Metrics_Voting!$C$11</f>
        <v>0</v>
      </c>
      <c r="I51" s="46">
        <f>'CR-TR_Interactions'!I51*Metrics_Voting!$C$12</f>
        <v>0</v>
      </c>
      <c r="J51" s="46">
        <f>'CR-TR_Interactions'!J51*Metrics_Voting!$C$13</f>
        <v>0</v>
      </c>
      <c r="K51" s="46">
        <f>'CR-TR_Interactions'!K51*Metrics_Voting!$C$15</f>
        <v>0</v>
      </c>
      <c r="L51" s="46">
        <f>'CR-TR_Interactions'!L51*Metrics_Voting!$C$16</f>
        <v>0</v>
      </c>
      <c r="M51" s="46">
        <f>'CR-TR_Interactions'!M51*Metrics_Voting!$C$17</f>
        <v>0</v>
      </c>
      <c r="N51" s="46">
        <f>'CR-TR_Interactions'!N51*Metrics_Voting!$C$19</f>
        <v>29.25</v>
      </c>
      <c r="O51" s="46">
        <f>'CR-TR_Interactions'!O51*Metrics_Voting!$C$20</f>
        <v>8.25</v>
      </c>
      <c r="P51" s="46">
        <f>'CR-TR_Interactions'!P51*Metrics_Voting!$C$21</f>
        <v>0</v>
      </c>
      <c r="Q51" s="46">
        <f>'CR-TR_Interactions'!Q51*Metrics_Voting!$C$23</f>
        <v>3.75</v>
      </c>
      <c r="R51" s="46">
        <f>'CR-TR_Interactions'!R51*Metrics_Voting!$C$24</f>
        <v>3.75</v>
      </c>
      <c r="S51" s="46">
        <f>'CR-TR_Interactions'!S51*Metrics_Voting!$C$25</f>
        <v>24.75</v>
      </c>
      <c r="T51" s="46">
        <f>'CR-TR_Interactions'!T51*Metrics_Voting!$C$27</f>
        <v>0</v>
      </c>
      <c r="U51" s="46">
        <f>'CR-TR_Interactions'!U51*Metrics_Voting!$C$28</f>
        <v>2.75</v>
      </c>
      <c r="V51" s="46">
        <f>'CR-TR_Interactions'!V51*Metrics_Voting!$C$29</f>
        <v>0</v>
      </c>
      <c r="W51" s="47">
        <f t="shared" si="2"/>
        <v>78.75</v>
      </c>
      <c r="X51" s="48">
        <f t="shared" si="0"/>
        <v>7.4378409010412974E-3</v>
      </c>
      <c r="Y51" s="49">
        <f t="shared" si="1"/>
        <v>72</v>
      </c>
    </row>
    <row r="52" spans="1:25" x14ac:dyDescent="0.25">
      <c r="A52" s="45" t="str">
        <f>'CR-TR_Interactions'!A52</f>
        <v>TR51</v>
      </c>
      <c r="B52" s="46">
        <f>'CR-TR_Interactions'!B52*Metrics_Voting!$C$3</f>
        <v>12</v>
      </c>
      <c r="C52" s="46">
        <f>'CR-TR_Interactions'!C52*Metrics_Voting!$C$4</f>
        <v>0</v>
      </c>
      <c r="D52" s="46">
        <f>'CR-TR_Interactions'!D52*Metrics_Voting!$C$5</f>
        <v>0</v>
      </c>
      <c r="E52" s="46">
        <f>'CR-TR_Interactions'!E52*Metrics_Voting!$C$7</f>
        <v>0</v>
      </c>
      <c r="F52" s="46">
        <f>'CR-TR_Interactions'!F52*Metrics_Voting!$C$8</f>
        <v>9</v>
      </c>
      <c r="G52" s="46">
        <f>'CR-TR_Interactions'!G52*Metrics_Voting!$C$9</f>
        <v>9.75</v>
      </c>
      <c r="H52" s="46">
        <f>'CR-TR_Interactions'!H52*Metrics_Voting!$C$11</f>
        <v>0</v>
      </c>
      <c r="I52" s="46">
        <f>'CR-TR_Interactions'!I52*Metrics_Voting!$C$12</f>
        <v>0</v>
      </c>
      <c r="J52" s="46">
        <f>'CR-TR_Interactions'!J52*Metrics_Voting!$C$13</f>
        <v>0</v>
      </c>
      <c r="K52" s="46">
        <f>'CR-TR_Interactions'!K52*Metrics_Voting!$C$15</f>
        <v>0</v>
      </c>
      <c r="L52" s="46">
        <f>'CR-TR_Interactions'!L52*Metrics_Voting!$C$16</f>
        <v>0</v>
      </c>
      <c r="M52" s="46">
        <f>'CR-TR_Interactions'!M52*Metrics_Voting!$C$17</f>
        <v>0</v>
      </c>
      <c r="N52" s="46">
        <f>'CR-TR_Interactions'!N52*Metrics_Voting!$C$19</f>
        <v>29.25</v>
      </c>
      <c r="O52" s="46">
        <f>'CR-TR_Interactions'!O52*Metrics_Voting!$C$20</f>
        <v>2.75</v>
      </c>
      <c r="P52" s="46">
        <f>'CR-TR_Interactions'!P52*Metrics_Voting!$C$21</f>
        <v>10.5</v>
      </c>
      <c r="Q52" s="46">
        <f>'CR-TR_Interactions'!Q52*Metrics_Voting!$C$23</f>
        <v>11.25</v>
      </c>
      <c r="R52" s="46">
        <f>'CR-TR_Interactions'!R52*Metrics_Voting!$C$24</f>
        <v>33.75</v>
      </c>
      <c r="S52" s="46">
        <f>'CR-TR_Interactions'!S52*Metrics_Voting!$C$25</f>
        <v>24.75</v>
      </c>
      <c r="T52" s="46">
        <f>'CR-TR_Interactions'!T52*Metrics_Voting!$C$27</f>
        <v>0</v>
      </c>
      <c r="U52" s="46">
        <f>'CR-TR_Interactions'!U52*Metrics_Voting!$C$28</f>
        <v>2.75</v>
      </c>
      <c r="V52" s="46">
        <f>'CR-TR_Interactions'!V52*Metrics_Voting!$C$29</f>
        <v>0</v>
      </c>
      <c r="W52" s="47">
        <f t="shared" si="2"/>
        <v>145.75</v>
      </c>
      <c r="X52" s="48">
        <f t="shared" si="0"/>
        <v>1.3765908715260561E-2</v>
      </c>
      <c r="Y52" s="49">
        <f t="shared" si="1"/>
        <v>27</v>
      </c>
    </row>
    <row r="53" spans="1:25" x14ac:dyDescent="0.25">
      <c r="A53" s="45" t="str">
        <f>'CR-TR_Interactions'!A53</f>
        <v>TR52</v>
      </c>
      <c r="B53" s="46">
        <f>'CR-TR_Interactions'!B53*Metrics_Voting!$C$3</f>
        <v>0</v>
      </c>
      <c r="C53" s="46">
        <f>'CR-TR_Interactions'!C53*Metrics_Voting!$C$4</f>
        <v>0</v>
      </c>
      <c r="D53" s="46">
        <f>'CR-TR_Interactions'!D53*Metrics_Voting!$C$5</f>
        <v>0</v>
      </c>
      <c r="E53" s="46">
        <f>'CR-TR_Interactions'!E53*Metrics_Voting!$C$7</f>
        <v>0</v>
      </c>
      <c r="F53" s="46">
        <f>'CR-TR_Interactions'!F53*Metrics_Voting!$C$8</f>
        <v>3</v>
      </c>
      <c r="G53" s="46">
        <f>'CR-TR_Interactions'!G53*Metrics_Voting!$C$9</f>
        <v>3.25</v>
      </c>
      <c r="H53" s="46">
        <f>'CR-TR_Interactions'!H53*Metrics_Voting!$C$11</f>
        <v>0</v>
      </c>
      <c r="I53" s="46">
        <f>'CR-TR_Interactions'!I53*Metrics_Voting!$C$12</f>
        <v>0</v>
      </c>
      <c r="J53" s="46">
        <f>'CR-TR_Interactions'!J53*Metrics_Voting!$C$13</f>
        <v>0</v>
      </c>
      <c r="K53" s="46">
        <f>'CR-TR_Interactions'!K53*Metrics_Voting!$C$15</f>
        <v>0</v>
      </c>
      <c r="L53" s="46">
        <f>'CR-TR_Interactions'!L53*Metrics_Voting!$C$16</f>
        <v>0</v>
      </c>
      <c r="M53" s="46">
        <f>'CR-TR_Interactions'!M53*Metrics_Voting!$C$17</f>
        <v>0</v>
      </c>
      <c r="N53" s="46">
        <f>'CR-TR_Interactions'!N53*Metrics_Voting!$C$19</f>
        <v>29.25</v>
      </c>
      <c r="O53" s="46">
        <f>'CR-TR_Interactions'!O53*Metrics_Voting!$C$20</f>
        <v>8.25</v>
      </c>
      <c r="P53" s="46">
        <f>'CR-TR_Interactions'!P53*Metrics_Voting!$C$21</f>
        <v>10.5</v>
      </c>
      <c r="Q53" s="46">
        <f>'CR-TR_Interactions'!Q53*Metrics_Voting!$C$23</f>
        <v>3.75</v>
      </c>
      <c r="R53" s="46">
        <f>'CR-TR_Interactions'!R53*Metrics_Voting!$C$24</f>
        <v>0</v>
      </c>
      <c r="S53" s="46">
        <f>'CR-TR_Interactions'!S53*Metrics_Voting!$C$25</f>
        <v>24.75</v>
      </c>
      <c r="T53" s="46">
        <f>'CR-TR_Interactions'!T53*Metrics_Voting!$C$27</f>
        <v>0</v>
      </c>
      <c r="U53" s="46">
        <f>'CR-TR_Interactions'!U53*Metrics_Voting!$C$28</f>
        <v>2.75</v>
      </c>
      <c r="V53" s="46">
        <f>'CR-TR_Interactions'!V53*Metrics_Voting!$C$29</f>
        <v>0</v>
      </c>
      <c r="W53" s="47">
        <f t="shared" si="2"/>
        <v>85.5</v>
      </c>
      <c r="X53" s="48">
        <f t="shared" si="0"/>
        <v>8.0753701211305519E-3</v>
      </c>
      <c r="Y53" s="49">
        <f t="shared" si="1"/>
        <v>66</v>
      </c>
    </row>
    <row r="54" spans="1:25" x14ac:dyDescent="0.25">
      <c r="A54" s="45" t="str">
        <f>'CR-TR_Interactions'!A54</f>
        <v>TR53</v>
      </c>
      <c r="B54" s="46">
        <f>'CR-TR_Interactions'!B54*Metrics_Voting!$C$3</f>
        <v>12</v>
      </c>
      <c r="C54" s="46">
        <f>'CR-TR_Interactions'!C54*Metrics_Voting!$C$4</f>
        <v>0</v>
      </c>
      <c r="D54" s="46">
        <f>'CR-TR_Interactions'!D54*Metrics_Voting!$C$5</f>
        <v>0</v>
      </c>
      <c r="E54" s="46">
        <f>'CR-TR_Interactions'!E54*Metrics_Voting!$C$7</f>
        <v>0</v>
      </c>
      <c r="F54" s="46">
        <f>'CR-TR_Interactions'!F54*Metrics_Voting!$C$8</f>
        <v>3</v>
      </c>
      <c r="G54" s="46">
        <f>'CR-TR_Interactions'!G54*Metrics_Voting!$C$9</f>
        <v>9.75</v>
      </c>
      <c r="H54" s="46">
        <f>'CR-TR_Interactions'!H54*Metrics_Voting!$C$11</f>
        <v>0</v>
      </c>
      <c r="I54" s="46">
        <f>'CR-TR_Interactions'!I54*Metrics_Voting!$C$12</f>
        <v>0</v>
      </c>
      <c r="J54" s="46">
        <f>'CR-TR_Interactions'!J54*Metrics_Voting!$C$13</f>
        <v>0</v>
      </c>
      <c r="K54" s="46">
        <f>'CR-TR_Interactions'!K54*Metrics_Voting!$C$15</f>
        <v>0</v>
      </c>
      <c r="L54" s="46">
        <f>'CR-TR_Interactions'!L54*Metrics_Voting!$C$16</f>
        <v>0</v>
      </c>
      <c r="M54" s="46">
        <f>'CR-TR_Interactions'!M54*Metrics_Voting!$C$17</f>
        <v>0</v>
      </c>
      <c r="N54" s="46">
        <f>'CR-TR_Interactions'!N54*Metrics_Voting!$C$19</f>
        <v>9.75</v>
      </c>
      <c r="O54" s="46">
        <f>'CR-TR_Interactions'!O54*Metrics_Voting!$C$20</f>
        <v>24.75</v>
      </c>
      <c r="P54" s="46">
        <f>'CR-TR_Interactions'!P54*Metrics_Voting!$C$21</f>
        <v>0</v>
      </c>
      <c r="Q54" s="46">
        <f>'CR-TR_Interactions'!Q54*Metrics_Voting!$C$23</f>
        <v>11.25</v>
      </c>
      <c r="R54" s="46">
        <f>'CR-TR_Interactions'!R54*Metrics_Voting!$C$24</f>
        <v>3.75</v>
      </c>
      <c r="S54" s="46">
        <f>'CR-TR_Interactions'!S54*Metrics_Voting!$C$25</f>
        <v>8.25</v>
      </c>
      <c r="T54" s="46">
        <f>'CR-TR_Interactions'!T54*Metrics_Voting!$C$27</f>
        <v>0</v>
      </c>
      <c r="U54" s="46">
        <f>'CR-TR_Interactions'!U54*Metrics_Voting!$C$28</f>
        <v>2.75</v>
      </c>
      <c r="V54" s="46">
        <f>'CR-TR_Interactions'!V54*Metrics_Voting!$C$29</f>
        <v>0</v>
      </c>
      <c r="W54" s="47">
        <f t="shared" si="2"/>
        <v>85.25</v>
      </c>
      <c r="X54" s="48">
        <f t="shared" si="0"/>
        <v>8.0517579277939125E-3</v>
      </c>
      <c r="Y54" s="49">
        <f t="shared" si="1"/>
        <v>68</v>
      </c>
    </row>
    <row r="55" spans="1:25" x14ac:dyDescent="0.25">
      <c r="A55" s="45" t="str">
        <f>'CR-TR_Interactions'!A55</f>
        <v>TR54</v>
      </c>
      <c r="B55" s="46">
        <f>'CR-TR_Interactions'!B55*Metrics_Voting!$C$3</f>
        <v>4</v>
      </c>
      <c r="C55" s="46">
        <f>'CR-TR_Interactions'!C55*Metrics_Voting!$C$4</f>
        <v>0</v>
      </c>
      <c r="D55" s="46">
        <f>'CR-TR_Interactions'!D55*Metrics_Voting!$C$5</f>
        <v>0</v>
      </c>
      <c r="E55" s="46">
        <f>'CR-TR_Interactions'!E55*Metrics_Voting!$C$7</f>
        <v>0</v>
      </c>
      <c r="F55" s="46">
        <f>'CR-TR_Interactions'!F55*Metrics_Voting!$C$8</f>
        <v>3</v>
      </c>
      <c r="G55" s="46">
        <f>'CR-TR_Interactions'!G55*Metrics_Voting!$C$9</f>
        <v>9.75</v>
      </c>
      <c r="H55" s="46">
        <f>'CR-TR_Interactions'!H55*Metrics_Voting!$C$11</f>
        <v>0</v>
      </c>
      <c r="I55" s="46">
        <f>'CR-TR_Interactions'!I55*Metrics_Voting!$C$12</f>
        <v>0</v>
      </c>
      <c r="J55" s="46">
        <f>'CR-TR_Interactions'!J55*Metrics_Voting!$C$13</f>
        <v>0</v>
      </c>
      <c r="K55" s="46">
        <f>'CR-TR_Interactions'!K55*Metrics_Voting!$C$15</f>
        <v>0</v>
      </c>
      <c r="L55" s="46">
        <f>'CR-TR_Interactions'!L55*Metrics_Voting!$C$16</f>
        <v>0</v>
      </c>
      <c r="M55" s="46">
        <f>'CR-TR_Interactions'!M55*Metrics_Voting!$C$17</f>
        <v>0</v>
      </c>
      <c r="N55" s="46">
        <f>'CR-TR_Interactions'!N55*Metrics_Voting!$C$19</f>
        <v>9.75</v>
      </c>
      <c r="O55" s="46">
        <f>'CR-TR_Interactions'!O55*Metrics_Voting!$C$20</f>
        <v>24.75</v>
      </c>
      <c r="P55" s="46">
        <f>'CR-TR_Interactions'!P55*Metrics_Voting!$C$21</f>
        <v>0</v>
      </c>
      <c r="Q55" s="46">
        <f>'CR-TR_Interactions'!Q55*Metrics_Voting!$C$23</f>
        <v>3.75</v>
      </c>
      <c r="R55" s="46">
        <f>'CR-TR_Interactions'!R55*Metrics_Voting!$C$24</f>
        <v>11.25</v>
      </c>
      <c r="S55" s="46">
        <f>'CR-TR_Interactions'!S55*Metrics_Voting!$C$25</f>
        <v>8.25</v>
      </c>
      <c r="T55" s="46">
        <f>'CR-TR_Interactions'!T55*Metrics_Voting!$C$27</f>
        <v>0</v>
      </c>
      <c r="U55" s="46">
        <f>'CR-TR_Interactions'!U55*Metrics_Voting!$C$28</f>
        <v>2.75</v>
      </c>
      <c r="V55" s="46">
        <f>'CR-TR_Interactions'!V55*Metrics_Voting!$C$29</f>
        <v>0</v>
      </c>
      <c r="W55" s="47">
        <f t="shared" si="2"/>
        <v>77.25</v>
      </c>
      <c r="X55" s="48">
        <f t="shared" si="0"/>
        <v>7.2961677410214639E-3</v>
      </c>
      <c r="Y55" s="49">
        <f t="shared" si="1"/>
        <v>74</v>
      </c>
    </row>
    <row r="56" spans="1:25" x14ac:dyDescent="0.25">
      <c r="A56" s="45" t="str">
        <f>'CR-TR_Interactions'!A56</f>
        <v>TR55</v>
      </c>
      <c r="B56" s="46">
        <f>'CR-TR_Interactions'!B56*Metrics_Voting!$C$3</f>
        <v>0</v>
      </c>
      <c r="C56" s="46">
        <f>'CR-TR_Interactions'!C56*Metrics_Voting!$C$4</f>
        <v>0</v>
      </c>
      <c r="D56" s="46">
        <f>'CR-TR_Interactions'!D56*Metrics_Voting!$C$5</f>
        <v>0</v>
      </c>
      <c r="E56" s="46">
        <f>'CR-TR_Interactions'!E56*Metrics_Voting!$C$7</f>
        <v>0</v>
      </c>
      <c r="F56" s="46">
        <f>'CR-TR_Interactions'!F56*Metrics_Voting!$C$8</f>
        <v>3</v>
      </c>
      <c r="G56" s="46">
        <f>'CR-TR_Interactions'!G56*Metrics_Voting!$C$9</f>
        <v>9.75</v>
      </c>
      <c r="H56" s="46">
        <f>'CR-TR_Interactions'!H56*Metrics_Voting!$C$11</f>
        <v>0</v>
      </c>
      <c r="I56" s="46">
        <f>'CR-TR_Interactions'!I56*Metrics_Voting!$C$12</f>
        <v>0</v>
      </c>
      <c r="J56" s="46">
        <f>'CR-TR_Interactions'!J56*Metrics_Voting!$C$13</f>
        <v>0</v>
      </c>
      <c r="K56" s="46">
        <f>'CR-TR_Interactions'!K56*Metrics_Voting!$C$15</f>
        <v>0</v>
      </c>
      <c r="L56" s="46">
        <f>'CR-TR_Interactions'!L56*Metrics_Voting!$C$16</f>
        <v>0</v>
      </c>
      <c r="M56" s="46">
        <f>'CR-TR_Interactions'!M56*Metrics_Voting!$C$17</f>
        <v>0</v>
      </c>
      <c r="N56" s="46">
        <f>'CR-TR_Interactions'!N56*Metrics_Voting!$C$19</f>
        <v>29.25</v>
      </c>
      <c r="O56" s="46">
        <f>'CR-TR_Interactions'!O56*Metrics_Voting!$C$20</f>
        <v>24.75</v>
      </c>
      <c r="P56" s="46">
        <f>'CR-TR_Interactions'!P56*Metrics_Voting!$C$21</f>
        <v>0</v>
      </c>
      <c r="Q56" s="46">
        <f>'CR-TR_Interactions'!Q56*Metrics_Voting!$C$23</f>
        <v>11.25</v>
      </c>
      <c r="R56" s="46">
        <f>'CR-TR_Interactions'!R56*Metrics_Voting!$C$24</f>
        <v>11.25</v>
      </c>
      <c r="S56" s="46">
        <f>'CR-TR_Interactions'!S56*Metrics_Voting!$C$25</f>
        <v>8.25</v>
      </c>
      <c r="T56" s="46">
        <f>'CR-TR_Interactions'!T56*Metrics_Voting!$C$27</f>
        <v>0</v>
      </c>
      <c r="U56" s="46">
        <f>'CR-TR_Interactions'!U56*Metrics_Voting!$C$28</f>
        <v>2.75</v>
      </c>
      <c r="V56" s="46">
        <f>'CR-TR_Interactions'!V56*Metrics_Voting!$C$29</f>
        <v>0</v>
      </c>
      <c r="W56" s="47">
        <f t="shared" si="2"/>
        <v>100.25</v>
      </c>
      <c r="X56" s="48">
        <f t="shared" si="0"/>
        <v>9.4684895279922559E-3</v>
      </c>
      <c r="Y56" s="49">
        <f t="shared" si="1"/>
        <v>57</v>
      </c>
    </row>
    <row r="57" spans="1:25" x14ac:dyDescent="0.25">
      <c r="A57" s="45" t="str">
        <f>'CR-TR_Interactions'!A57</f>
        <v>TR56</v>
      </c>
      <c r="B57" s="46">
        <f>'CR-TR_Interactions'!B57*Metrics_Voting!$C$3</f>
        <v>4</v>
      </c>
      <c r="C57" s="46">
        <f>'CR-TR_Interactions'!C57*Metrics_Voting!$C$4</f>
        <v>0</v>
      </c>
      <c r="D57" s="46">
        <f>'CR-TR_Interactions'!D57*Metrics_Voting!$C$5</f>
        <v>0</v>
      </c>
      <c r="E57" s="46">
        <f>'CR-TR_Interactions'!E57*Metrics_Voting!$C$7</f>
        <v>0</v>
      </c>
      <c r="F57" s="46">
        <f>'CR-TR_Interactions'!F57*Metrics_Voting!$C$8</f>
        <v>3</v>
      </c>
      <c r="G57" s="46">
        <f>'CR-TR_Interactions'!G57*Metrics_Voting!$C$9</f>
        <v>9.75</v>
      </c>
      <c r="H57" s="46">
        <f>'CR-TR_Interactions'!H57*Metrics_Voting!$C$11</f>
        <v>0</v>
      </c>
      <c r="I57" s="46">
        <f>'CR-TR_Interactions'!I57*Metrics_Voting!$C$12</f>
        <v>0</v>
      </c>
      <c r="J57" s="46">
        <f>'CR-TR_Interactions'!J57*Metrics_Voting!$C$13</f>
        <v>0</v>
      </c>
      <c r="K57" s="46">
        <f>'CR-TR_Interactions'!K57*Metrics_Voting!$C$15</f>
        <v>0</v>
      </c>
      <c r="L57" s="46">
        <f>'CR-TR_Interactions'!L57*Metrics_Voting!$C$16</f>
        <v>0</v>
      </c>
      <c r="M57" s="46">
        <f>'CR-TR_Interactions'!M57*Metrics_Voting!$C$17</f>
        <v>0</v>
      </c>
      <c r="N57" s="46">
        <f>'CR-TR_Interactions'!N57*Metrics_Voting!$C$19</f>
        <v>29.25</v>
      </c>
      <c r="O57" s="46">
        <f>'CR-TR_Interactions'!O57*Metrics_Voting!$C$20</f>
        <v>24.75</v>
      </c>
      <c r="P57" s="46">
        <f>'CR-TR_Interactions'!P57*Metrics_Voting!$C$21</f>
        <v>0</v>
      </c>
      <c r="Q57" s="46">
        <f>'CR-TR_Interactions'!Q57*Metrics_Voting!$C$23</f>
        <v>11.25</v>
      </c>
      <c r="R57" s="46">
        <f>'CR-TR_Interactions'!R57*Metrics_Voting!$C$24</f>
        <v>11.25</v>
      </c>
      <c r="S57" s="46">
        <f>'CR-TR_Interactions'!S57*Metrics_Voting!$C$25</f>
        <v>8.25</v>
      </c>
      <c r="T57" s="46">
        <f>'CR-TR_Interactions'!T57*Metrics_Voting!$C$27</f>
        <v>0</v>
      </c>
      <c r="U57" s="46">
        <f>'CR-TR_Interactions'!U57*Metrics_Voting!$C$28</f>
        <v>2.75</v>
      </c>
      <c r="V57" s="46">
        <f>'CR-TR_Interactions'!V57*Metrics_Voting!$C$29</f>
        <v>0</v>
      </c>
      <c r="W57" s="47">
        <f t="shared" si="2"/>
        <v>104.25</v>
      </c>
      <c r="X57" s="48">
        <f t="shared" si="0"/>
        <v>9.8462846213784802E-3</v>
      </c>
      <c r="Y57" s="49">
        <f t="shared" si="1"/>
        <v>53</v>
      </c>
    </row>
    <row r="58" spans="1:25" x14ac:dyDescent="0.25">
      <c r="A58" s="45" t="str">
        <f>'CR-TR_Interactions'!A58</f>
        <v>TR57</v>
      </c>
      <c r="B58" s="46">
        <f>'CR-TR_Interactions'!B58*Metrics_Voting!$C$3</f>
        <v>0</v>
      </c>
      <c r="C58" s="46">
        <f>'CR-TR_Interactions'!C58*Metrics_Voting!$C$4</f>
        <v>0</v>
      </c>
      <c r="D58" s="46">
        <f>'CR-TR_Interactions'!D58*Metrics_Voting!$C$5</f>
        <v>0</v>
      </c>
      <c r="E58" s="46">
        <f>'CR-TR_Interactions'!E58*Metrics_Voting!$C$7</f>
        <v>0</v>
      </c>
      <c r="F58" s="46">
        <f>'CR-TR_Interactions'!F58*Metrics_Voting!$C$8</f>
        <v>3</v>
      </c>
      <c r="G58" s="46">
        <f>'CR-TR_Interactions'!G58*Metrics_Voting!$C$9</f>
        <v>3.25</v>
      </c>
      <c r="H58" s="46">
        <f>'CR-TR_Interactions'!H58*Metrics_Voting!$C$11</f>
        <v>0</v>
      </c>
      <c r="I58" s="46">
        <f>'CR-TR_Interactions'!I58*Metrics_Voting!$C$12</f>
        <v>1.5</v>
      </c>
      <c r="J58" s="46">
        <f>'CR-TR_Interactions'!J58*Metrics_Voting!$C$13</f>
        <v>0</v>
      </c>
      <c r="K58" s="46">
        <f>'CR-TR_Interactions'!K58*Metrics_Voting!$C$15</f>
        <v>0</v>
      </c>
      <c r="L58" s="46">
        <f>'CR-TR_Interactions'!L58*Metrics_Voting!$C$16</f>
        <v>0</v>
      </c>
      <c r="M58" s="46">
        <f>'CR-TR_Interactions'!M58*Metrics_Voting!$C$17</f>
        <v>0</v>
      </c>
      <c r="N58" s="46">
        <f>'CR-TR_Interactions'!N58*Metrics_Voting!$C$19</f>
        <v>9.75</v>
      </c>
      <c r="O58" s="46">
        <f>'CR-TR_Interactions'!O58*Metrics_Voting!$C$20</f>
        <v>2.75</v>
      </c>
      <c r="P58" s="46">
        <f>'CR-TR_Interactions'!P58*Metrics_Voting!$C$21</f>
        <v>31.5</v>
      </c>
      <c r="Q58" s="46">
        <f>'CR-TR_Interactions'!Q58*Metrics_Voting!$C$23</f>
        <v>3.75</v>
      </c>
      <c r="R58" s="46">
        <f>'CR-TR_Interactions'!R58*Metrics_Voting!$C$24</f>
        <v>0</v>
      </c>
      <c r="S58" s="46">
        <f>'CR-TR_Interactions'!S58*Metrics_Voting!$C$25</f>
        <v>2.75</v>
      </c>
      <c r="T58" s="46">
        <f>'CR-TR_Interactions'!T58*Metrics_Voting!$C$27</f>
        <v>0</v>
      </c>
      <c r="U58" s="46">
        <f>'CR-TR_Interactions'!U58*Metrics_Voting!$C$28</f>
        <v>8.25</v>
      </c>
      <c r="V58" s="46">
        <f>'CR-TR_Interactions'!V58*Metrics_Voting!$C$29</f>
        <v>0</v>
      </c>
      <c r="W58" s="47">
        <f t="shared" si="2"/>
        <v>66.5</v>
      </c>
      <c r="X58" s="48">
        <f t="shared" si="0"/>
        <v>6.2808434275459851E-3</v>
      </c>
      <c r="Y58" s="49">
        <f t="shared" si="1"/>
        <v>77</v>
      </c>
    </row>
    <row r="59" spans="1:25" x14ac:dyDescent="0.25">
      <c r="A59" s="45" t="str">
        <f>'CR-TR_Interactions'!A59</f>
        <v>TR58</v>
      </c>
      <c r="B59" s="46">
        <f>'CR-TR_Interactions'!B59*Metrics_Voting!$C$3</f>
        <v>0</v>
      </c>
      <c r="C59" s="46">
        <f>'CR-TR_Interactions'!C59*Metrics_Voting!$C$4</f>
        <v>0</v>
      </c>
      <c r="D59" s="46">
        <f>'CR-TR_Interactions'!D59*Metrics_Voting!$C$5</f>
        <v>0</v>
      </c>
      <c r="E59" s="46">
        <f>'CR-TR_Interactions'!E59*Metrics_Voting!$C$7</f>
        <v>0</v>
      </c>
      <c r="F59" s="46">
        <f>'CR-TR_Interactions'!F59*Metrics_Voting!$C$8</f>
        <v>3</v>
      </c>
      <c r="G59" s="46">
        <f>'CR-TR_Interactions'!G59*Metrics_Voting!$C$9</f>
        <v>3.25</v>
      </c>
      <c r="H59" s="46">
        <f>'CR-TR_Interactions'!H59*Metrics_Voting!$C$11</f>
        <v>0</v>
      </c>
      <c r="I59" s="46">
        <f>'CR-TR_Interactions'!I59*Metrics_Voting!$C$12</f>
        <v>1.5</v>
      </c>
      <c r="J59" s="46">
        <f>'CR-TR_Interactions'!J59*Metrics_Voting!$C$13</f>
        <v>0</v>
      </c>
      <c r="K59" s="46">
        <f>'CR-TR_Interactions'!K59*Metrics_Voting!$C$15</f>
        <v>0</v>
      </c>
      <c r="L59" s="46">
        <f>'CR-TR_Interactions'!L59*Metrics_Voting!$C$16</f>
        <v>0</v>
      </c>
      <c r="M59" s="46">
        <f>'CR-TR_Interactions'!M59*Metrics_Voting!$C$17</f>
        <v>0</v>
      </c>
      <c r="N59" s="46">
        <f>'CR-TR_Interactions'!N59*Metrics_Voting!$C$19</f>
        <v>9.75</v>
      </c>
      <c r="O59" s="46">
        <f>'CR-TR_Interactions'!O59*Metrics_Voting!$C$20</f>
        <v>2.75</v>
      </c>
      <c r="P59" s="46">
        <f>'CR-TR_Interactions'!P59*Metrics_Voting!$C$21</f>
        <v>31.5</v>
      </c>
      <c r="Q59" s="46">
        <f>'CR-TR_Interactions'!Q59*Metrics_Voting!$C$23</f>
        <v>3.75</v>
      </c>
      <c r="R59" s="46">
        <f>'CR-TR_Interactions'!R59*Metrics_Voting!$C$24</f>
        <v>0</v>
      </c>
      <c r="S59" s="46">
        <f>'CR-TR_Interactions'!S59*Metrics_Voting!$C$25</f>
        <v>2.75</v>
      </c>
      <c r="T59" s="46">
        <f>'CR-TR_Interactions'!T59*Metrics_Voting!$C$27</f>
        <v>0</v>
      </c>
      <c r="U59" s="46">
        <f>'CR-TR_Interactions'!U59*Metrics_Voting!$C$28</f>
        <v>8.25</v>
      </c>
      <c r="V59" s="46">
        <f>'CR-TR_Interactions'!V59*Metrics_Voting!$C$29</f>
        <v>0</v>
      </c>
      <c r="W59" s="47">
        <f t="shared" si="2"/>
        <v>66.5</v>
      </c>
      <c r="X59" s="48">
        <f t="shared" si="0"/>
        <v>6.2808434275459851E-3</v>
      </c>
      <c r="Y59" s="49">
        <f t="shared" si="1"/>
        <v>77</v>
      </c>
    </row>
    <row r="60" spans="1:25" x14ac:dyDescent="0.25">
      <c r="A60" s="45" t="str">
        <f>'CR-TR_Interactions'!A60</f>
        <v>TR59</v>
      </c>
      <c r="B60" s="46">
        <f>'CR-TR_Interactions'!B60*Metrics_Voting!$C$3</f>
        <v>0</v>
      </c>
      <c r="C60" s="46">
        <f>'CR-TR_Interactions'!C60*Metrics_Voting!$C$4</f>
        <v>0</v>
      </c>
      <c r="D60" s="46">
        <f>'CR-TR_Interactions'!D60*Metrics_Voting!$C$5</f>
        <v>0</v>
      </c>
      <c r="E60" s="46">
        <f>'CR-TR_Interactions'!E60*Metrics_Voting!$C$7</f>
        <v>0</v>
      </c>
      <c r="F60" s="46">
        <f>'CR-TR_Interactions'!F60*Metrics_Voting!$C$8</f>
        <v>3</v>
      </c>
      <c r="G60" s="46">
        <f>'CR-TR_Interactions'!G60*Metrics_Voting!$C$9</f>
        <v>3.25</v>
      </c>
      <c r="H60" s="46">
        <f>'CR-TR_Interactions'!H60*Metrics_Voting!$C$11</f>
        <v>0</v>
      </c>
      <c r="I60" s="46">
        <f>'CR-TR_Interactions'!I60*Metrics_Voting!$C$12</f>
        <v>1.5</v>
      </c>
      <c r="J60" s="46">
        <f>'CR-TR_Interactions'!J60*Metrics_Voting!$C$13</f>
        <v>0</v>
      </c>
      <c r="K60" s="46">
        <f>'CR-TR_Interactions'!K60*Metrics_Voting!$C$15</f>
        <v>0</v>
      </c>
      <c r="L60" s="46">
        <f>'CR-TR_Interactions'!L60*Metrics_Voting!$C$16</f>
        <v>0</v>
      </c>
      <c r="M60" s="46">
        <f>'CR-TR_Interactions'!M60*Metrics_Voting!$C$17</f>
        <v>0</v>
      </c>
      <c r="N60" s="46">
        <f>'CR-TR_Interactions'!N60*Metrics_Voting!$C$19</f>
        <v>9.75</v>
      </c>
      <c r="O60" s="46">
        <f>'CR-TR_Interactions'!O60*Metrics_Voting!$C$20</f>
        <v>2.75</v>
      </c>
      <c r="P60" s="46">
        <f>'CR-TR_Interactions'!P60*Metrics_Voting!$C$21</f>
        <v>31.5</v>
      </c>
      <c r="Q60" s="46">
        <f>'CR-TR_Interactions'!Q60*Metrics_Voting!$C$23</f>
        <v>3.75</v>
      </c>
      <c r="R60" s="46">
        <f>'CR-TR_Interactions'!R60*Metrics_Voting!$C$24</f>
        <v>0</v>
      </c>
      <c r="S60" s="46">
        <f>'CR-TR_Interactions'!S60*Metrics_Voting!$C$25</f>
        <v>2.75</v>
      </c>
      <c r="T60" s="46">
        <f>'CR-TR_Interactions'!T60*Metrics_Voting!$C$27</f>
        <v>0</v>
      </c>
      <c r="U60" s="46">
        <f>'CR-TR_Interactions'!U60*Metrics_Voting!$C$28</f>
        <v>2.75</v>
      </c>
      <c r="V60" s="46">
        <f>'CR-TR_Interactions'!V60*Metrics_Voting!$C$29</f>
        <v>0</v>
      </c>
      <c r="W60" s="47">
        <f t="shared" si="2"/>
        <v>61</v>
      </c>
      <c r="X60" s="48">
        <f t="shared" si="0"/>
        <v>5.7613751741399256E-3</v>
      </c>
      <c r="Y60" s="49">
        <f t="shared" si="1"/>
        <v>82</v>
      </c>
    </row>
    <row r="61" spans="1:25" x14ac:dyDescent="0.25">
      <c r="A61" s="45" t="str">
        <f>'CR-TR_Interactions'!A61</f>
        <v>TR60</v>
      </c>
      <c r="B61" s="46">
        <f>'CR-TR_Interactions'!B61*Metrics_Voting!$C$3</f>
        <v>0</v>
      </c>
      <c r="C61" s="46">
        <f>'CR-TR_Interactions'!C61*Metrics_Voting!$C$4</f>
        <v>0</v>
      </c>
      <c r="D61" s="46">
        <f>'CR-TR_Interactions'!D61*Metrics_Voting!$C$5</f>
        <v>0</v>
      </c>
      <c r="E61" s="46">
        <f>'CR-TR_Interactions'!E61*Metrics_Voting!$C$7</f>
        <v>0</v>
      </c>
      <c r="F61" s="46">
        <f>'CR-TR_Interactions'!F61*Metrics_Voting!$C$8</f>
        <v>3</v>
      </c>
      <c r="G61" s="46">
        <f>'CR-TR_Interactions'!G61*Metrics_Voting!$C$9</f>
        <v>3.25</v>
      </c>
      <c r="H61" s="46">
        <f>'CR-TR_Interactions'!H61*Metrics_Voting!$C$11</f>
        <v>0</v>
      </c>
      <c r="I61" s="46">
        <f>'CR-TR_Interactions'!I61*Metrics_Voting!$C$12</f>
        <v>1.5</v>
      </c>
      <c r="J61" s="46">
        <f>'CR-TR_Interactions'!J61*Metrics_Voting!$C$13</f>
        <v>0</v>
      </c>
      <c r="K61" s="46">
        <f>'CR-TR_Interactions'!K61*Metrics_Voting!$C$15</f>
        <v>0</v>
      </c>
      <c r="L61" s="46">
        <f>'CR-TR_Interactions'!L61*Metrics_Voting!$C$16</f>
        <v>0</v>
      </c>
      <c r="M61" s="46">
        <f>'CR-TR_Interactions'!M61*Metrics_Voting!$C$17</f>
        <v>0</v>
      </c>
      <c r="N61" s="46">
        <f>'CR-TR_Interactions'!N61*Metrics_Voting!$C$19</f>
        <v>9.75</v>
      </c>
      <c r="O61" s="46">
        <f>'CR-TR_Interactions'!O61*Metrics_Voting!$C$20</f>
        <v>2.75</v>
      </c>
      <c r="P61" s="46">
        <f>'CR-TR_Interactions'!P61*Metrics_Voting!$C$21</f>
        <v>31.5</v>
      </c>
      <c r="Q61" s="46">
        <f>'CR-TR_Interactions'!Q61*Metrics_Voting!$C$23</f>
        <v>3.75</v>
      </c>
      <c r="R61" s="46">
        <f>'CR-TR_Interactions'!R61*Metrics_Voting!$C$24</f>
        <v>0</v>
      </c>
      <c r="S61" s="46">
        <f>'CR-TR_Interactions'!S61*Metrics_Voting!$C$25</f>
        <v>2.75</v>
      </c>
      <c r="T61" s="46">
        <f>'CR-TR_Interactions'!T61*Metrics_Voting!$C$27</f>
        <v>0</v>
      </c>
      <c r="U61" s="46">
        <f>'CR-TR_Interactions'!U61*Metrics_Voting!$C$28</f>
        <v>8.25</v>
      </c>
      <c r="V61" s="46">
        <f>'CR-TR_Interactions'!V61*Metrics_Voting!$C$29</f>
        <v>0</v>
      </c>
      <c r="W61" s="47">
        <f t="shared" si="2"/>
        <v>66.5</v>
      </c>
      <c r="X61" s="48">
        <f t="shared" si="0"/>
        <v>6.2808434275459851E-3</v>
      </c>
      <c r="Y61" s="49">
        <f t="shared" si="1"/>
        <v>77</v>
      </c>
    </row>
    <row r="62" spans="1:25" x14ac:dyDescent="0.25">
      <c r="A62" s="45" t="str">
        <f>'CR-TR_Interactions'!A62</f>
        <v>TR61</v>
      </c>
      <c r="B62" s="46">
        <f>'CR-TR_Interactions'!B62*Metrics_Voting!$C$3</f>
        <v>0</v>
      </c>
      <c r="C62" s="46">
        <f>'CR-TR_Interactions'!C62*Metrics_Voting!$C$4</f>
        <v>0</v>
      </c>
      <c r="D62" s="46">
        <f>'CR-TR_Interactions'!D62*Metrics_Voting!$C$5</f>
        <v>0</v>
      </c>
      <c r="E62" s="46">
        <f>'CR-TR_Interactions'!E62*Metrics_Voting!$C$7</f>
        <v>0</v>
      </c>
      <c r="F62" s="46">
        <f>'CR-TR_Interactions'!F62*Metrics_Voting!$C$8</f>
        <v>3</v>
      </c>
      <c r="G62" s="46">
        <f>'CR-TR_Interactions'!G62*Metrics_Voting!$C$9</f>
        <v>0</v>
      </c>
      <c r="H62" s="46">
        <f>'CR-TR_Interactions'!H62*Metrics_Voting!$C$11</f>
        <v>0</v>
      </c>
      <c r="I62" s="46">
        <f>'CR-TR_Interactions'!I62*Metrics_Voting!$C$12</f>
        <v>0</v>
      </c>
      <c r="J62" s="46">
        <f>'CR-TR_Interactions'!J62*Metrics_Voting!$C$13</f>
        <v>0</v>
      </c>
      <c r="K62" s="46">
        <f>'CR-TR_Interactions'!K62*Metrics_Voting!$C$15</f>
        <v>0</v>
      </c>
      <c r="L62" s="46">
        <f>'CR-TR_Interactions'!L62*Metrics_Voting!$C$16</f>
        <v>0</v>
      </c>
      <c r="M62" s="46">
        <f>'CR-TR_Interactions'!M62*Metrics_Voting!$C$17</f>
        <v>0</v>
      </c>
      <c r="N62" s="46">
        <f>'CR-TR_Interactions'!N62*Metrics_Voting!$C$19</f>
        <v>0</v>
      </c>
      <c r="O62" s="46">
        <f>'CR-TR_Interactions'!O62*Metrics_Voting!$C$20</f>
        <v>2.75</v>
      </c>
      <c r="P62" s="46">
        <f>'CR-TR_Interactions'!P62*Metrics_Voting!$C$21</f>
        <v>0</v>
      </c>
      <c r="Q62" s="46">
        <f>'CR-TR_Interactions'!Q62*Metrics_Voting!$C$23</f>
        <v>33.75</v>
      </c>
      <c r="R62" s="46">
        <f>'CR-TR_Interactions'!R62*Metrics_Voting!$C$24</f>
        <v>0</v>
      </c>
      <c r="S62" s="46">
        <f>'CR-TR_Interactions'!S62*Metrics_Voting!$C$25</f>
        <v>24.75</v>
      </c>
      <c r="T62" s="46">
        <f>'CR-TR_Interactions'!T62*Metrics_Voting!$C$27</f>
        <v>0</v>
      </c>
      <c r="U62" s="46">
        <f>'CR-TR_Interactions'!U62*Metrics_Voting!$C$28</f>
        <v>2.75</v>
      </c>
      <c r="V62" s="46">
        <f>'CR-TR_Interactions'!V62*Metrics_Voting!$C$29</f>
        <v>0</v>
      </c>
      <c r="W62" s="47">
        <f t="shared" si="2"/>
        <v>67</v>
      </c>
      <c r="X62" s="48">
        <f t="shared" si="0"/>
        <v>6.3280678142192629E-3</v>
      </c>
      <c r="Y62" s="49">
        <f t="shared" si="1"/>
        <v>75</v>
      </c>
    </row>
    <row r="63" spans="1:25" x14ac:dyDescent="0.25">
      <c r="A63" s="45" t="str">
        <f>'CR-TR_Interactions'!A63</f>
        <v>TR62</v>
      </c>
      <c r="B63" s="46">
        <f>'CR-TR_Interactions'!B63*Metrics_Voting!$C$3</f>
        <v>0</v>
      </c>
      <c r="C63" s="46">
        <f>'CR-TR_Interactions'!C63*Metrics_Voting!$C$4</f>
        <v>0</v>
      </c>
      <c r="D63" s="46">
        <f>'CR-TR_Interactions'!D63*Metrics_Voting!$C$5</f>
        <v>0</v>
      </c>
      <c r="E63" s="46">
        <f>'CR-TR_Interactions'!E63*Metrics_Voting!$C$7</f>
        <v>0</v>
      </c>
      <c r="F63" s="46">
        <f>'CR-TR_Interactions'!F63*Metrics_Voting!$C$8</f>
        <v>3</v>
      </c>
      <c r="G63" s="46">
        <f>'CR-TR_Interactions'!G63*Metrics_Voting!$C$9</f>
        <v>0</v>
      </c>
      <c r="H63" s="46">
        <f>'CR-TR_Interactions'!H63*Metrics_Voting!$C$11</f>
        <v>0</v>
      </c>
      <c r="I63" s="46">
        <f>'CR-TR_Interactions'!I63*Metrics_Voting!$C$12</f>
        <v>0</v>
      </c>
      <c r="J63" s="46">
        <f>'CR-TR_Interactions'!J63*Metrics_Voting!$C$13</f>
        <v>0</v>
      </c>
      <c r="K63" s="46">
        <f>'CR-TR_Interactions'!K63*Metrics_Voting!$C$15</f>
        <v>0</v>
      </c>
      <c r="L63" s="46">
        <f>'CR-TR_Interactions'!L63*Metrics_Voting!$C$16</f>
        <v>0</v>
      </c>
      <c r="M63" s="46">
        <f>'CR-TR_Interactions'!M63*Metrics_Voting!$C$17</f>
        <v>0</v>
      </c>
      <c r="N63" s="46">
        <f>'CR-TR_Interactions'!N63*Metrics_Voting!$C$19</f>
        <v>0</v>
      </c>
      <c r="O63" s="46">
        <f>'CR-TR_Interactions'!O63*Metrics_Voting!$C$20</f>
        <v>2.75</v>
      </c>
      <c r="P63" s="46">
        <f>'CR-TR_Interactions'!P63*Metrics_Voting!$C$21</f>
        <v>0</v>
      </c>
      <c r="Q63" s="46">
        <f>'CR-TR_Interactions'!Q63*Metrics_Voting!$C$23</f>
        <v>33.75</v>
      </c>
      <c r="R63" s="46">
        <f>'CR-TR_Interactions'!R63*Metrics_Voting!$C$24</f>
        <v>0</v>
      </c>
      <c r="S63" s="46">
        <f>'CR-TR_Interactions'!S63*Metrics_Voting!$C$25</f>
        <v>24.75</v>
      </c>
      <c r="T63" s="46">
        <f>'CR-TR_Interactions'!T63*Metrics_Voting!$C$27</f>
        <v>0</v>
      </c>
      <c r="U63" s="46">
        <f>'CR-TR_Interactions'!U63*Metrics_Voting!$C$28</f>
        <v>2.75</v>
      </c>
      <c r="V63" s="46">
        <f>'CR-TR_Interactions'!V63*Metrics_Voting!$C$29</f>
        <v>0</v>
      </c>
      <c r="W63" s="47">
        <f t="shared" si="2"/>
        <v>67</v>
      </c>
      <c r="X63" s="48">
        <f t="shared" si="0"/>
        <v>6.3280678142192629E-3</v>
      </c>
      <c r="Y63" s="49">
        <f t="shared" si="1"/>
        <v>75</v>
      </c>
    </row>
    <row r="64" spans="1:25" x14ac:dyDescent="0.25">
      <c r="A64" s="45" t="str">
        <f>'CR-TR_Interactions'!A64</f>
        <v>TR63</v>
      </c>
      <c r="B64" s="46">
        <f>'CR-TR_Interactions'!B64*Metrics_Voting!$C$3</f>
        <v>0</v>
      </c>
      <c r="C64" s="46">
        <f>'CR-TR_Interactions'!C64*Metrics_Voting!$C$4</f>
        <v>0</v>
      </c>
      <c r="D64" s="46">
        <f>'CR-TR_Interactions'!D64*Metrics_Voting!$C$5</f>
        <v>0</v>
      </c>
      <c r="E64" s="46">
        <f>'CR-TR_Interactions'!E64*Metrics_Voting!$C$7</f>
        <v>0</v>
      </c>
      <c r="F64" s="46">
        <f>'CR-TR_Interactions'!F64*Metrics_Voting!$C$8</f>
        <v>3</v>
      </c>
      <c r="G64" s="46">
        <f>'CR-TR_Interactions'!G64*Metrics_Voting!$C$9</f>
        <v>0</v>
      </c>
      <c r="H64" s="46">
        <f>'CR-TR_Interactions'!H64*Metrics_Voting!$C$11</f>
        <v>0</v>
      </c>
      <c r="I64" s="46">
        <f>'CR-TR_Interactions'!I64*Metrics_Voting!$C$12</f>
        <v>0</v>
      </c>
      <c r="J64" s="46">
        <f>'CR-TR_Interactions'!J64*Metrics_Voting!$C$13</f>
        <v>0</v>
      </c>
      <c r="K64" s="46">
        <f>'CR-TR_Interactions'!K64*Metrics_Voting!$C$15</f>
        <v>0</v>
      </c>
      <c r="L64" s="46">
        <f>'CR-TR_Interactions'!L64*Metrics_Voting!$C$16</f>
        <v>0</v>
      </c>
      <c r="M64" s="46">
        <f>'CR-TR_Interactions'!M64*Metrics_Voting!$C$17</f>
        <v>0</v>
      </c>
      <c r="N64" s="46">
        <f>'CR-TR_Interactions'!N64*Metrics_Voting!$C$19</f>
        <v>0</v>
      </c>
      <c r="O64" s="46">
        <f>'CR-TR_Interactions'!O64*Metrics_Voting!$C$20</f>
        <v>2.75</v>
      </c>
      <c r="P64" s="46">
        <f>'CR-TR_Interactions'!P64*Metrics_Voting!$C$21</f>
        <v>0</v>
      </c>
      <c r="Q64" s="46">
        <f>'CR-TR_Interactions'!Q64*Metrics_Voting!$C$23</f>
        <v>33.75</v>
      </c>
      <c r="R64" s="46">
        <f>'CR-TR_Interactions'!R64*Metrics_Voting!$C$24</f>
        <v>33.75</v>
      </c>
      <c r="S64" s="46">
        <f>'CR-TR_Interactions'!S64*Metrics_Voting!$C$25</f>
        <v>24.75</v>
      </c>
      <c r="T64" s="46">
        <f>'CR-TR_Interactions'!T64*Metrics_Voting!$C$27</f>
        <v>0</v>
      </c>
      <c r="U64" s="46">
        <f>'CR-TR_Interactions'!U64*Metrics_Voting!$C$28</f>
        <v>2.75</v>
      </c>
      <c r="V64" s="46">
        <f>'CR-TR_Interactions'!V64*Metrics_Voting!$C$29</f>
        <v>0</v>
      </c>
      <c r="W64" s="47">
        <f t="shared" si="2"/>
        <v>100.75</v>
      </c>
      <c r="X64" s="48">
        <f t="shared" si="0"/>
        <v>9.5157139146655328E-3</v>
      </c>
      <c r="Y64" s="49">
        <f t="shared" si="1"/>
        <v>56</v>
      </c>
    </row>
    <row r="65" spans="1:25" x14ac:dyDescent="0.25">
      <c r="A65" s="45" t="str">
        <f>'CR-TR_Interactions'!A65</f>
        <v>TR64</v>
      </c>
      <c r="B65" s="46">
        <f>'CR-TR_Interactions'!B65*Metrics_Voting!$C$3</f>
        <v>0</v>
      </c>
      <c r="C65" s="46">
        <f>'CR-TR_Interactions'!C65*Metrics_Voting!$C$4</f>
        <v>0</v>
      </c>
      <c r="D65" s="46">
        <f>'CR-TR_Interactions'!D65*Metrics_Voting!$C$5</f>
        <v>0</v>
      </c>
      <c r="E65" s="46">
        <f>'CR-TR_Interactions'!E65*Metrics_Voting!$C$7</f>
        <v>0</v>
      </c>
      <c r="F65" s="46">
        <f>'CR-TR_Interactions'!F65*Metrics_Voting!$C$8</f>
        <v>3</v>
      </c>
      <c r="G65" s="46">
        <f>'CR-TR_Interactions'!G65*Metrics_Voting!$C$9</f>
        <v>0</v>
      </c>
      <c r="H65" s="46">
        <f>'CR-TR_Interactions'!H65*Metrics_Voting!$C$11</f>
        <v>0</v>
      </c>
      <c r="I65" s="46">
        <f>'CR-TR_Interactions'!I65*Metrics_Voting!$C$12</f>
        <v>0</v>
      </c>
      <c r="J65" s="46">
        <f>'CR-TR_Interactions'!J65*Metrics_Voting!$C$13</f>
        <v>0</v>
      </c>
      <c r="K65" s="46">
        <f>'CR-TR_Interactions'!K65*Metrics_Voting!$C$15</f>
        <v>0</v>
      </c>
      <c r="L65" s="46">
        <f>'CR-TR_Interactions'!L65*Metrics_Voting!$C$16</f>
        <v>0</v>
      </c>
      <c r="M65" s="46">
        <f>'CR-TR_Interactions'!M65*Metrics_Voting!$C$17</f>
        <v>0</v>
      </c>
      <c r="N65" s="46">
        <f>'CR-TR_Interactions'!N65*Metrics_Voting!$C$19</f>
        <v>0</v>
      </c>
      <c r="O65" s="46">
        <f>'CR-TR_Interactions'!O65*Metrics_Voting!$C$20</f>
        <v>2.75</v>
      </c>
      <c r="P65" s="46">
        <f>'CR-TR_Interactions'!P65*Metrics_Voting!$C$21</f>
        <v>0</v>
      </c>
      <c r="Q65" s="46">
        <f>'CR-TR_Interactions'!Q65*Metrics_Voting!$C$23</f>
        <v>33.75</v>
      </c>
      <c r="R65" s="46">
        <f>'CR-TR_Interactions'!R65*Metrics_Voting!$C$24</f>
        <v>11.25</v>
      </c>
      <c r="S65" s="46">
        <f>'CR-TR_Interactions'!S65*Metrics_Voting!$C$25</f>
        <v>24.75</v>
      </c>
      <c r="T65" s="46">
        <f>'CR-TR_Interactions'!T65*Metrics_Voting!$C$27</f>
        <v>0</v>
      </c>
      <c r="U65" s="46">
        <f>'CR-TR_Interactions'!U65*Metrics_Voting!$C$28</f>
        <v>2.75</v>
      </c>
      <c r="V65" s="46">
        <f>'CR-TR_Interactions'!V65*Metrics_Voting!$C$29</f>
        <v>0</v>
      </c>
      <c r="W65" s="47">
        <f t="shared" si="2"/>
        <v>78.25</v>
      </c>
      <c r="X65" s="48">
        <f t="shared" si="0"/>
        <v>7.3906165143680196E-3</v>
      </c>
      <c r="Y65" s="49">
        <f t="shared" si="1"/>
        <v>73</v>
      </c>
    </row>
    <row r="66" spans="1:25" x14ac:dyDescent="0.25">
      <c r="A66" s="45" t="str">
        <f>'CR-TR_Interactions'!A66</f>
        <v>TR65</v>
      </c>
      <c r="B66" s="46">
        <f>'CR-TR_Interactions'!B66*Metrics_Voting!$C$3</f>
        <v>0</v>
      </c>
      <c r="C66" s="46">
        <f>'CR-TR_Interactions'!C66*Metrics_Voting!$C$4</f>
        <v>0</v>
      </c>
      <c r="D66" s="46">
        <f>'CR-TR_Interactions'!D66*Metrics_Voting!$C$5</f>
        <v>0</v>
      </c>
      <c r="E66" s="46">
        <f>'CR-TR_Interactions'!E66*Metrics_Voting!$C$7</f>
        <v>0</v>
      </c>
      <c r="F66" s="46">
        <f>'CR-TR_Interactions'!F66*Metrics_Voting!$C$8</f>
        <v>3</v>
      </c>
      <c r="G66" s="46">
        <f>'CR-TR_Interactions'!G66*Metrics_Voting!$C$9</f>
        <v>9.75</v>
      </c>
      <c r="H66" s="46">
        <f>'CR-TR_Interactions'!H66*Metrics_Voting!$C$11</f>
        <v>0</v>
      </c>
      <c r="I66" s="46">
        <f>'CR-TR_Interactions'!I66*Metrics_Voting!$C$12</f>
        <v>0</v>
      </c>
      <c r="J66" s="46">
        <f>'CR-TR_Interactions'!J66*Metrics_Voting!$C$13</f>
        <v>0</v>
      </c>
      <c r="K66" s="46">
        <f>'CR-TR_Interactions'!K66*Metrics_Voting!$C$15</f>
        <v>0</v>
      </c>
      <c r="L66" s="46">
        <f>'CR-TR_Interactions'!L66*Metrics_Voting!$C$16</f>
        <v>0</v>
      </c>
      <c r="M66" s="46">
        <f>'CR-TR_Interactions'!M66*Metrics_Voting!$C$17</f>
        <v>0</v>
      </c>
      <c r="N66" s="46">
        <f>'CR-TR_Interactions'!N66*Metrics_Voting!$C$19</f>
        <v>9.75</v>
      </c>
      <c r="O66" s="46">
        <f>'CR-TR_Interactions'!O66*Metrics_Voting!$C$20</f>
        <v>2.75</v>
      </c>
      <c r="P66" s="46">
        <f>'CR-TR_Interactions'!P66*Metrics_Voting!$C$21</f>
        <v>0</v>
      </c>
      <c r="Q66" s="46">
        <f>'CR-TR_Interactions'!Q66*Metrics_Voting!$C$23</f>
        <v>33.75</v>
      </c>
      <c r="R66" s="46">
        <f>'CR-TR_Interactions'!R66*Metrics_Voting!$C$24</f>
        <v>33.75</v>
      </c>
      <c r="S66" s="46">
        <f>'CR-TR_Interactions'!S66*Metrics_Voting!$C$25</f>
        <v>24.75</v>
      </c>
      <c r="T66" s="46">
        <f>'CR-TR_Interactions'!T66*Metrics_Voting!$C$27</f>
        <v>0</v>
      </c>
      <c r="U66" s="46">
        <f>'CR-TR_Interactions'!U66*Metrics_Voting!$C$28</f>
        <v>2.75</v>
      </c>
      <c r="V66" s="46">
        <f>'CR-TR_Interactions'!V66*Metrics_Voting!$C$29</f>
        <v>0</v>
      </c>
      <c r="W66" s="47">
        <f t="shared" si="2"/>
        <v>120.25</v>
      </c>
      <c r="X66" s="48">
        <f t="shared" si="0"/>
        <v>1.1357464994923379E-2</v>
      </c>
      <c r="Y66" s="49">
        <f t="shared" si="1"/>
        <v>48</v>
      </c>
    </row>
    <row r="67" spans="1:25" x14ac:dyDescent="0.25">
      <c r="A67" s="45" t="str">
        <f>'CR-TR_Interactions'!A67</f>
        <v>TR66</v>
      </c>
      <c r="B67" s="46">
        <f>'CR-TR_Interactions'!B67*Metrics_Voting!$C$3</f>
        <v>0</v>
      </c>
      <c r="C67" s="46">
        <f>'CR-TR_Interactions'!C67*Metrics_Voting!$C$4</f>
        <v>0</v>
      </c>
      <c r="D67" s="46">
        <f>'CR-TR_Interactions'!D67*Metrics_Voting!$C$5</f>
        <v>0</v>
      </c>
      <c r="E67" s="46">
        <f>'CR-TR_Interactions'!E67*Metrics_Voting!$C$7</f>
        <v>0</v>
      </c>
      <c r="F67" s="46">
        <f>'CR-TR_Interactions'!F67*Metrics_Voting!$C$8</f>
        <v>3</v>
      </c>
      <c r="G67" s="46">
        <f>'CR-TR_Interactions'!G67*Metrics_Voting!$C$9</f>
        <v>9.75</v>
      </c>
      <c r="H67" s="46">
        <f>'CR-TR_Interactions'!H67*Metrics_Voting!$C$11</f>
        <v>0</v>
      </c>
      <c r="I67" s="46">
        <f>'CR-TR_Interactions'!I67*Metrics_Voting!$C$12</f>
        <v>0</v>
      </c>
      <c r="J67" s="46">
        <f>'CR-TR_Interactions'!J67*Metrics_Voting!$C$13</f>
        <v>0</v>
      </c>
      <c r="K67" s="46">
        <f>'CR-TR_Interactions'!K67*Metrics_Voting!$C$15</f>
        <v>33.75</v>
      </c>
      <c r="L67" s="46">
        <f>'CR-TR_Interactions'!L67*Metrics_Voting!$C$16</f>
        <v>3.25</v>
      </c>
      <c r="M67" s="46">
        <f>'CR-TR_Interactions'!M67*Metrics_Voting!$C$17</f>
        <v>0</v>
      </c>
      <c r="N67" s="46">
        <f>'CR-TR_Interactions'!N67*Metrics_Voting!$C$19</f>
        <v>9.75</v>
      </c>
      <c r="O67" s="46">
        <f>'CR-TR_Interactions'!O67*Metrics_Voting!$C$20</f>
        <v>2.75</v>
      </c>
      <c r="P67" s="46">
        <f>'CR-TR_Interactions'!P67*Metrics_Voting!$C$21</f>
        <v>0</v>
      </c>
      <c r="Q67" s="46">
        <f>'CR-TR_Interactions'!Q67*Metrics_Voting!$C$23</f>
        <v>33.75</v>
      </c>
      <c r="R67" s="46">
        <f>'CR-TR_Interactions'!R67*Metrics_Voting!$C$24</f>
        <v>33.75</v>
      </c>
      <c r="S67" s="46">
        <f>'CR-TR_Interactions'!S67*Metrics_Voting!$C$25</f>
        <v>24.75</v>
      </c>
      <c r="T67" s="46">
        <f>'CR-TR_Interactions'!T67*Metrics_Voting!$C$27</f>
        <v>0</v>
      </c>
      <c r="U67" s="46">
        <f>'CR-TR_Interactions'!U67*Metrics_Voting!$C$28</f>
        <v>2.75</v>
      </c>
      <c r="V67" s="46">
        <f>'CR-TR_Interactions'!V67*Metrics_Voting!$C$29</f>
        <v>0</v>
      </c>
      <c r="W67" s="47">
        <f t="shared" ref="W67:W85" si="3">SUM(B67:V67)</f>
        <v>157.25</v>
      </c>
      <c r="X67" s="48">
        <f t="shared" ref="X67:X86" si="4">W67/$W$86</f>
        <v>1.4852069608745957E-2</v>
      </c>
      <c r="Y67" s="49">
        <f t="shared" ref="Y67:Y85" si="5">_xlfn.RANK.EQ(W67, $W$2:$W$85)</f>
        <v>22</v>
      </c>
    </row>
    <row r="68" spans="1:25" x14ac:dyDescent="0.25">
      <c r="A68" s="45" t="str">
        <f>'CR-TR_Interactions'!A68</f>
        <v>TR67</v>
      </c>
      <c r="B68" s="46">
        <f>'CR-TR_Interactions'!B68*Metrics_Voting!$C$3</f>
        <v>0</v>
      </c>
      <c r="C68" s="46">
        <f>'CR-TR_Interactions'!C68*Metrics_Voting!$C$4</f>
        <v>0</v>
      </c>
      <c r="D68" s="46">
        <f>'CR-TR_Interactions'!D68*Metrics_Voting!$C$5</f>
        <v>0</v>
      </c>
      <c r="E68" s="46">
        <f>'CR-TR_Interactions'!E68*Metrics_Voting!$C$7</f>
        <v>0</v>
      </c>
      <c r="F68" s="46">
        <f>'CR-TR_Interactions'!F68*Metrics_Voting!$C$8</f>
        <v>3</v>
      </c>
      <c r="G68" s="46">
        <f>'CR-TR_Interactions'!G68*Metrics_Voting!$C$9</f>
        <v>9.75</v>
      </c>
      <c r="H68" s="46">
        <f>'CR-TR_Interactions'!H68*Metrics_Voting!$C$11</f>
        <v>0</v>
      </c>
      <c r="I68" s="46">
        <f>'CR-TR_Interactions'!I68*Metrics_Voting!$C$12</f>
        <v>0</v>
      </c>
      <c r="J68" s="46">
        <f>'CR-TR_Interactions'!J68*Metrics_Voting!$C$13</f>
        <v>0</v>
      </c>
      <c r="K68" s="46">
        <f>'CR-TR_Interactions'!K68*Metrics_Voting!$C$15</f>
        <v>11.25</v>
      </c>
      <c r="L68" s="46">
        <f>'CR-TR_Interactions'!L68*Metrics_Voting!$C$16</f>
        <v>0</v>
      </c>
      <c r="M68" s="46">
        <f>'CR-TR_Interactions'!M68*Metrics_Voting!$C$17</f>
        <v>0</v>
      </c>
      <c r="N68" s="46">
        <f>'CR-TR_Interactions'!N68*Metrics_Voting!$C$19</f>
        <v>0</v>
      </c>
      <c r="O68" s="46">
        <f>'CR-TR_Interactions'!O68*Metrics_Voting!$C$20</f>
        <v>2.75</v>
      </c>
      <c r="P68" s="46">
        <f>'CR-TR_Interactions'!P68*Metrics_Voting!$C$21</f>
        <v>0</v>
      </c>
      <c r="Q68" s="46">
        <f>'CR-TR_Interactions'!Q68*Metrics_Voting!$C$23</f>
        <v>33.75</v>
      </c>
      <c r="R68" s="46">
        <f>'CR-TR_Interactions'!R68*Metrics_Voting!$C$24</f>
        <v>33.75</v>
      </c>
      <c r="S68" s="46">
        <f>'CR-TR_Interactions'!S68*Metrics_Voting!$C$25</f>
        <v>24.75</v>
      </c>
      <c r="T68" s="46">
        <f>'CR-TR_Interactions'!T68*Metrics_Voting!$C$27</f>
        <v>0</v>
      </c>
      <c r="U68" s="46">
        <f>'CR-TR_Interactions'!U68*Metrics_Voting!$C$28</f>
        <v>2.75</v>
      </c>
      <c r="V68" s="46">
        <f>'CR-TR_Interactions'!V68*Metrics_Voting!$C$29</f>
        <v>0</v>
      </c>
      <c r="W68" s="47">
        <f t="shared" si="3"/>
        <v>121.75</v>
      </c>
      <c r="X68" s="48">
        <f t="shared" si="4"/>
        <v>1.1499138154943214E-2</v>
      </c>
      <c r="Y68" s="49">
        <f t="shared" si="5"/>
        <v>47</v>
      </c>
    </row>
    <row r="69" spans="1:25" x14ac:dyDescent="0.25">
      <c r="A69" s="45" t="str">
        <f>'CR-TR_Interactions'!A69</f>
        <v>TR68</v>
      </c>
      <c r="B69" s="46">
        <f>'CR-TR_Interactions'!B69*Metrics_Voting!$C$3</f>
        <v>12</v>
      </c>
      <c r="C69" s="46">
        <f>'CR-TR_Interactions'!C69*Metrics_Voting!$C$4</f>
        <v>0</v>
      </c>
      <c r="D69" s="46">
        <f>'CR-TR_Interactions'!D69*Metrics_Voting!$C$5</f>
        <v>0</v>
      </c>
      <c r="E69" s="46">
        <f>'CR-TR_Interactions'!E69*Metrics_Voting!$C$7</f>
        <v>0</v>
      </c>
      <c r="F69" s="46">
        <f>'CR-TR_Interactions'!F69*Metrics_Voting!$C$8</f>
        <v>9</v>
      </c>
      <c r="G69" s="46">
        <f>'CR-TR_Interactions'!G69*Metrics_Voting!$C$9</f>
        <v>3.25</v>
      </c>
      <c r="H69" s="46">
        <f>'CR-TR_Interactions'!H69*Metrics_Voting!$C$11</f>
        <v>0</v>
      </c>
      <c r="I69" s="46">
        <f>'CR-TR_Interactions'!I69*Metrics_Voting!$C$12</f>
        <v>0</v>
      </c>
      <c r="J69" s="46">
        <f>'CR-TR_Interactions'!J69*Metrics_Voting!$C$13</f>
        <v>0</v>
      </c>
      <c r="K69" s="46">
        <f>'CR-TR_Interactions'!K69*Metrics_Voting!$C$15</f>
        <v>0</v>
      </c>
      <c r="L69" s="46">
        <f>'CR-TR_Interactions'!L69*Metrics_Voting!$C$16</f>
        <v>0</v>
      </c>
      <c r="M69" s="46">
        <f>'CR-TR_Interactions'!M69*Metrics_Voting!$C$17</f>
        <v>0</v>
      </c>
      <c r="N69" s="46">
        <f>'CR-TR_Interactions'!N69*Metrics_Voting!$C$19</f>
        <v>9.75</v>
      </c>
      <c r="O69" s="46">
        <f>'CR-TR_Interactions'!O69*Metrics_Voting!$C$20</f>
        <v>2.75</v>
      </c>
      <c r="P69" s="46">
        <f>'CR-TR_Interactions'!P69*Metrics_Voting!$C$21</f>
        <v>0</v>
      </c>
      <c r="Q69" s="46">
        <f>'CR-TR_Interactions'!Q69*Metrics_Voting!$C$23</f>
        <v>33.75</v>
      </c>
      <c r="R69" s="46">
        <f>'CR-TR_Interactions'!R69*Metrics_Voting!$C$24</f>
        <v>33.75</v>
      </c>
      <c r="S69" s="46">
        <f>'CR-TR_Interactions'!S69*Metrics_Voting!$C$25</f>
        <v>24.75</v>
      </c>
      <c r="T69" s="46">
        <f>'CR-TR_Interactions'!T69*Metrics_Voting!$C$27</f>
        <v>0</v>
      </c>
      <c r="U69" s="46">
        <f>'CR-TR_Interactions'!U69*Metrics_Voting!$C$28</f>
        <v>2.75</v>
      </c>
      <c r="V69" s="46">
        <f>'CR-TR_Interactions'!V69*Metrics_Voting!$C$29</f>
        <v>0</v>
      </c>
      <c r="W69" s="47">
        <f t="shared" si="3"/>
        <v>131.75</v>
      </c>
      <c r="X69" s="48">
        <f t="shared" si="4"/>
        <v>1.2443625888408773E-2</v>
      </c>
      <c r="Y69" s="49">
        <f t="shared" si="5"/>
        <v>37</v>
      </c>
    </row>
    <row r="70" spans="1:25" x14ac:dyDescent="0.25">
      <c r="A70" s="45" t="str">
        <f>'CR-TR_Interactions'!A70</f>
        <v>TR69</v>
      </c>
      <c r="B70" s="46">
        <f>'CR-TR_Interactions'!B70*Metrics_Voting!$C$3</f>
        <v>0</v>
      </c>
      <c r="C70" s="46">
        <f>'CR-TR_Interactions'!C70*Metrics_Voting!$C$4</f>
        <v>0</v>
      </c>
      <c r="D70" s="46">
        <f>'CR-TR_Interactions'!D70*Metrics_Voting!$C$5</f>
        <v>0</v>
      </c>
      <c r="E70" s="46">
        <f>'CR-TR_Interactions'!E70*Metrics_Voting!$C$7</f>
        <v>0</v>
      </c>
      <c r="F70" s="46">
        <f>'CR-TR_Interactions'!F70*Metrics_Voting!$C$8</f>
        <v>3</v>
      </c>
      <c r="G70" s="46">
        <f>'CR-TR_Interactions'!G70*Metrics_Voting!$C$9</f>
        <v>9.75</v>
      </c>
      <c r="H70" s="46">
        <f>'CR-TR_Interactions'!H70*Metrics_Voting!$C$11</f>
        <v>0</v>
      </c>
      <c r="I70" s="46">
        <f>'CR-TR_Interactions'!I70*Metrics_Voting!$C$12</f>
        <v>0</v>
      </c>
      <c r="J70" s="46">
        <f>'CR-TR_Interactions'!J70*Metrics_Voting!$C$13</f>
        <v>0</v>
      </c>
      <c r="K70" s="46">
        <f>'CR-TR_Interactions'!K70*Metrics_Voting!$C$15</f>
        <v>0</v>
      </c>
      <c r="L70" s="46">
        <f>'CR-TR_Interactions'!L70*Metrics_Voting!$C$16</f>
        <v>0</v>
      </c>
      <c r="M70" s="46">
        <f>'CR-TR_Interactions'!M70*Metrics_Voting!$C$17</f>
        <v>0</v>
      </c>
      <c r="N70" s="46">
        <f>'CR-TR_Interactions'!N70*Metrics_Voting!$C$19</f>
        <v>0</v>
      </c>
      <c r="O70" s="46">
        <f>'CR-TR_Interactions'!O70*Metrics_Voting!$C$20</f>
        <v>2.75</v>
      </c>
      <c r="P70" s="46">
        <f>'CR-TR_Interactions'!P70*Metrics_Voting!$C$21</f>
        <v>0</v>
      </c>
      <c r="Q70" s="46">
        <f>'CR-TR_Interactions'!Q70*Metrics_Voting!$C$23</f>
        <v>33.75</v>
      </c>
      <c r="R70" s="46">
        <f>'CR-TR_Interactions'!R70*Metrics_Voting!$C$24</f>
        <v>33.75</v>
      </c>
      <c r="S70" s="46">
        <f>'CR-TR_Interactions'!S70*Metrics_Voting!$C$25</f>
        <v>24.75</v>
      </c>
      <c r="T70" s="46">
        <f>'CR-TR_Interactions'!T70*Metrics_Voting!$C$27</f>
        <v>0</v>
      </c>
      <c r="U70" s="46">
        <f>'CR-TR_Interactions'!U70*Metrics_Voting!$C$28</f>
        <v>2.75</v>
      </c>
      <c r="V70" s="46">
        <f>'CR-TR_Interactions'!V70*Metrics_Voting!$C$29</f>
        <v>0</v>
      </c>
      <c r="W70" s="47">
        <f t="shared" si="3"/>
        <v>110.5</v>
      </c>
      <c r="X70" s="48">
        <f t="shared" si="4"/>
        <v>1.0436589454794455E-2</v>
      </c>
      <c r="Y70" s="49">
        <f t="shared" si="5"/>
        <v>51</v>
      </c>
    </row>
    <row r="71" spans="1:25" x14ac:dyDescent="0.25">
      <c r="A71" s="45" t="str">
        <f>'CR-TR_Interactions'!A71</f>
        <v>TR70</v>
      </c>
      <c r="B71" s="46">
        <f>'CR-TR_Interactions'!B71*Metrics_Voting!$C$3</f>
        <v>12</v>
      </c>
      <c r="C71" s="46">
        <f>'CR-TR_Interactions'!C71*Metrics_Voting!$C$4</f>
        <v>3.25</v>
      </c>
      <c r="D71" s="46">
        <f>'CR-TR_Interactions'!D71*Metrics_Voting!$C$5</f>
        <v>0</v>
      </c>
      <c r="E71" s="46">
        <f>'CR-TR_Interactions'!E71*Metrics_Voting!$C$7</f>
        <v>11.25</v>
      </c>
      <c r="F71" s="46">
        <f>'CR-TR_Interactions'!F71*Metrics_Voting!$C$8</f>
        <v>9</v>
      </c>
      <c r="G71" s="46">
        <f>'CR-TR_Interactions'!G71*Metrics_Voting!$C$9</f>
        <v>29.25</v>
      </c>
      <c r="H71" s="46">
        <f>'CR-TR_Interactions'!H71*Metrics_Voting!$C$11</f>
        <v>0</v>
      </c>
      <c r="I71" s="46">
        <f>'CR-TR_Interactions'!I71*Metrics_Voting!$C$12</f>
        <v>0</v>
      </c>
      <c r="J71" s="46">
        <f>'CR-TR_Interactions'!J71*Metrics_Voting!$C$13</f>
        <v>0</v>
      </c>
      <c r="K71" s="46">
        <f>'CR-TR_Interactions'!K71*Metrics_Voting!$C$15</f>
        <v>0</v>
      </c>
      <c r="L71" s="46">
        <f>'CR-TR_Interactions'!L71*Metrics_Voting!$C$16</f>
        <v>3.25</v>
      </c>
      <c r="M71" s="46">
        <f>'CR-TR_Interactions'!M71*Metrics_Voting!$C$17</f>
        <v>0</v>
      </c>
      <c r="N71" s="46">
        <f>'CR-TR_Interactions'!N71*Metrics_Voting!$C$19</f>
        <v>29.25</v>
      </c>
      <c r="O71" s="46">
        <f>'CR-TR_Interactions'!O71*Metrics_Voting!$C$20</f>
        <v>2.75</v>
      </c>
      <c r="P71" s="46">
        <f>'CR-TR_Interactions'!P71*Metrics_Voting!$C$21</f>
        <v>10.5</v>
      </c>
      <c r="Q71" s="46">
        <f>'CR-TR_Interactions'!Q71*Metrics_Voting!$C$23</f>
        <v>11.25</v>
      </c>
      <c r="R71" s="46">
        <f>'CR-TR_Interactions'!R71*Metrics_Voting!$C$24</f>
        <v>11.25</v>
      </c>
      <c r="S71" s="46">
        <f>'CR-TR_Interactions'!S71*Metrics_Voting!$C$25</f>
        <v>24.75</v>
      </c>
      <c r="T71" s="46">
        <f>'CR-TR_Interactions'!T71*Metrics_Voting!$C$27</f>
        <v>0</v>
      </c>
      <c r="U71" s="46">
        <f>'CR-TR_Interactions'!U71*Metrics_Voting!$C$28</f>
        <v>2.75</v>
      </c>
      <c r="V71" s="46">
        <f>'CR-TR_Interactions'!V71*Metrics_Voting!$C$29</f>
        <v>11.25</v>
      </c>
      <c r="W71" s="47">
        <f t="shared" si="3"/>
        <v>171.75</v>
      </c>
      <c r="X71" s="48">
        <f t="shared" si="4"/>
        <v>1.622157682227102E-2</v>
      </c>
      <c r="Y71" s="49">
        <f t="shared" si="5"/>
        <v>16</v>
      </c>
    </row>
    <row r="72" spans="1:25" x14ac:dyDescent="0.25">
      <c r="A72" s="45" t="str">
        <f>'CR-TR_Interactions'!A72</f>
        <v>TR71</v>
      </c>
      <c r="B72" s="46">
        <f>'CR-TR_Interactions'!B72*Metrics_Voting!$C$3</f>
        <v>0</v>
      </c>
      <c r="C72" s="46">
        <f>'CR-TR_Interactions'!C72*Metrics_Voting!$C$4</f>
        <v>0</v>
      </c>
      <c r="D72" s="46">
        <f>'CR-TR_Interactions'!D72*Metrics_Voting!$C$5</f>
        <v>0</v>
      </c>
      <c r="E72" s="46">
        <f>'CR-TR_Interactions'!E72*Metrics_Voting!$C$7</f>
        <v>11.25</v>
      </c>
      <c r="F72" s="46">
        <f>'CR-TR_Interactions'!F72*Metrics_Voting!$C$8</f>
        <v>3</v>
      </c>
      <c r="G72" s="46">
        <f>'CR-TR_Interactions'!G72*Metrics_Voting!$C$9</f>
        <v>9.75</v>
      </c>
      <c r="H72" s="46">
        <f>'CR-TR_Interactions'!H72*Metrics_Voting!$C$11</f>
        <v>0</v>
      </c>
      <c r="I72" s="46">
        <f>'CR-TR_Interactions'!I72*Metrics_Voting!$C$12</f>
        <v>0</v>
      </c>
      <c r="J72" s="46">
        <f>'CR-TR_Interactions'!J72*Metrics_Voting!$C$13</f>
        <v>0</v>
      </c>
      <c r="K72" s="46">
        <f>'CR-TR_Interactions'!K72*Metrics_Voting!$C$15</f>
        <v>11.25</v>
      </c>
      <c r="L72" s="46">
        <f>'CR-TR_Interactions'!L72*Metrics_Voting!$C$16</f>
        <v>3.25</v>
      </c>
      <c r="M72" s="46">
        <f>'CR-TR_Interactions'!M72*Metrics_Voting!$C$17</f>
        <v>0</v>
      </c>
      <c r="N72" s="46">
        <f>'CR-TR_Interactions'!N72*Metrics_Voting!$C$19</f>
        <v>9.75</v>
      </c>
      <c r="O72" s="46">
        <f>'CR-TR_Interactions'!O72*Metrics_Voting!$C$20</f>
        <v>2.75</v>
      </c>
      <c r="P72" s="46">
        <f>'CR-TR_Interactions'!P72*Metrics_Voting!$C$21</f>
        <v>0</v>
      </c>
      <c r="Q72" s="46">
        <f>'CR-TR_Interactions'!Q72*Metrics_Voting!$C$23</f>
        <v>33.75</v>
      </c>
      <c r="R72" s="46">
        <f>'CR-TR_Interactions'!R72*Metrics_Voting!$C$24</f>
        <v>33.75</v>
      </c>
      <c r="S72" s="46">
        <f>'CR-TR_Interactions'!S72*Metrics_Voting!$C$25</f>
        <v>24.75</v>
      </c>
      <c r="T72" s="46">
        <f>'CR-TR_Interactions'!T72*Metrics_Voting!$C$27</f>
        <v>0</v>
      </c>
      <c r="U72" s="46">
        <f>'CR-TR_Interactions'!U72*Metrics_Voting!$C$28</f>
        <v>2.75</v>
      </c>
      <c r="V72" s="46">
        <f>'CR-TR_Interactions'!V72*Metrics_Voting!$C$29</f>
        <v>0</v>
      </c>
      <c r="W72" s="47">
        <f t="shared" si="3"/>
        <v>146</v>
      </c>
      <c r="X72" s="48">
        <f t="shared" si="4"/>
        <v>1.3789520908597199E-2</v>
      </c>
      <c r="Y72" s="49">
        <f t="shared" si="5"/>
        <v>26</v>
      </c>
    </row>
    <row r="73" spans="1:25" x14ac:dyDescent="0.25">
      <c r="A73" s="45" t="str">
        <f>'CR-TR_Interactions'!A73</f>
        <v>TR72</v>
      </c>
      <c r="B73" s="46">
        <f>'CR-TR_Interactions'!B73*Metrics_Voting!$C$3</f>
        <v>4</v>
      </c>
      <c r="C73" s="46">
        <f>'CR-TR_Interactions'!C73*Metrics_Voting!$C$4</f>
        <v>0</v>
      </c>
      <c r="D73" s="46">
        <f>'CR-TR_Interactions'!D73*Metrics_Voting!$C$5</f>
        <v>0</v>
      </c>
      <c r="E73" s="46">
        <f>'CR-TR_Interactions'!E73*Metrics_Voting!$C$7</f>
        <v>0</v>
      </c>
      <c r="F73" s="46">
        <f>'CR-TR_Interactions'!F73*Metrics_Voting!$C$8</f>
        <v>3</v>
      </c>
      <c r="G73" s="46">
        <f>'CR-TR_Interactions'!G73*Metrics_Voting!$C$9</f>
        <v>3.25</v>
      </c>
      <c r="H73" s="46">
        <f>'CR-TR_Interactions'!H73*Metrics_Voting!$C$11</f>
        <v>0</v>
      </c>
      <c r="I73" s="46">
        <f>'CR-TR_Interactions'!I73*Metrics_Voting!$C$12</f>
        <v>0</v>
      </c>
      <c r="J73" s="46">
        <f>'CR-TR_Interactions'!J73*Metrics_Voting!$C$13</f>
        <v>0</v>
      </c>
      <c r="K73" s="46">
        <f>'CR-TR_Interactions'!K73*Metrics_Voting!$C$15</f>
        <v>0</v>
      </c>
      <c r="L73" s="46">
        <f>'CR-TR_Interactions'!L73*Metrics_Voting!$C$16</f>
        <v>0</v>
      </c>
      <c r="M73" s="46">
        <f>'CR-TR_Interactions'!M73*Metrics_Voting!$C$17</f>
        <v>0</v>
      </c>
      <c r="N73" s="46">
        <f>'CR-TR_Interactions'!N73*Metrics_Voting!$C$19</f>
        <v>0</v>
      </c>
      <c r="O73" s="46">
        <f>'CR-TR_Interactions'!O73*Metrics_Voting!$C$20</f>
        <v>2.75</v>
      </c>
      <c r="P73" s="46">
        <f>'CR-TR_Interactions'!P73*Metrics_Voting!$C$21</f>
        <v>0</v>
      </c>
      <c r="Q73" s="46">
        <f>'CR-TR_Interactions'!Q73*Metrics_Voting!$C$23</f>
        <v>3.75</v>
      </c>
      <c r="R73" s="46">
        <f>'CR-TR_Interactions'!R73*Metrics_Voting!$C$24</f>
        <v>3.75</v>
      </c>
      <c r="S73" s="46">
        <f>'CR-TR_Interactions'!S73*Metrics_Voting!$C$25</f>
        <v>24.75</v>
      </c>
      <c r="T73" s="46">
        <f>'CR-TR_Interactions'!T73*Metrics_Voting!$C$27</f>
        <v>0</v>
      </c>
      <c r="U73" s="46">
        <f>'CR-TR_Interactions'!U73*Metrics_Voting!$C$28</f>
        <v>2.75</v>
      </c>
      <c r="V73" s="46">
        <f>'CR-TR_Interactions'!V73*Metrics_Voting!$C$29</f>
        <v>0</v>
      </c>
      <c r="W73" s="47">
        <f t="shared" si="3"/>
        <v>48</v>
      </c>
      <c r="X73" s="48">
        <f t="shared" si="4"/>
        <v>4.5335411206346961E-3</v>
      </c>
      <c r="Y73" s="49">
        <f t="shared" si="5"/>
        <v>84</v>
      </c>
    </row>
    <row r="74" spans="1:25" x14ac:dyDescent="0.25">
      <c r="A74" s="45" t="str">
        <f>'CR-TR_Interactions'!A74</f>
        <v>TR73</v>
      </c>
      <c r="B74" s="46">
        <f>'CR-TR_Interactions'!B74*Metrics_Voting!$C$3</f>
        <v>0</v>
      </c>
      <c r="C74" s="46">
        <f>'CR-TR_Interactions'!C74*Metrics_Voting!$C$4</f>
        <v>0</v>
      </c>
      <c r="D74" s="46">
        <f>'CR-TR_Interactions'!D74*Metrics_Voting!$C$5</f>
        <v>0</v>
      </c>
      <c r="E74" s="46">
        <f>'CR-TR_Interactions'!E74*Metrics_Voting!$C$7</f>
        <v>11.25</v>
      </c>
      <c r="F74" s="46">
        <f>'CR-TR_Interactions'!F74*Metrics_Voting!$C$8</f>
        <v>3</v>
      </c>
      <c r="G74" s="46">
        <f>'CR-TR_Interactions'!G74*Metrics_Voting!$C$9</f>
        <v>3.25</v>
      </c>
      <c r="H74" s="46">
        <f>'CR-TR_Interactions'!H74*Metrics_Voting!$C$11</f>
        <v>0</v>
      </c>
      <c r="I74" s="46">
        <f>'CR-TR_Interactions'!I74*Metrics_Voting!$C$12</f>
        <v>0</v>
      </c>
      <c r="J74" s="46">
        <f>'CR-TR_Interactions'!J74*Metrics_Voting!$C$13</f>
        <v>0</v>
      </c>
      <c r="K74" s="46">
        <f>'CR-TR_Interactions'!K74*Metrics_Voting!$C$15</f>
        <v>0</v>
      </c>
      <c r="L74" s="46">
        <f>'CR-TR_Interactions'!L74*Metrics_Voting!$C$16</f>
        <v>0</v>
      </c>
      <c r="M74" s="46">
        <f>'CR-TR_Interactions'!M74*Metrics_Voting!$C$17</f>
        <v>0</v>
      </c>
      <c r="N74" s="46">
        <f>'CR-TR_Interactions'!N74*Metrics_Voting!$C$19</f>
        <v>9.75</v>
      </c>
      <c r="O74" s="46">
        <f>'CR-TR_Interactions'!O74*Metrics_Voting!$C$20</f>
        <v>2.75</v>
      </c>
      <c r="P74" s="46">
        <f>'CR-TR_Interactions'!P74*Metrics_Voting!$C$21</f>
        <v>10.5</v>
      </c>
      <c r="Q74" s="46">
        <f>'CR-TR_Interactions'!Q74*Metrics_Voting!$C$23</f>
        <v>3.75</v>
      </c>
      <c r="R74" s="46">
        <f>'CR-TR_Interactions'!R74*Metrics_Voting!$C$24</f>
        <v>3.75</v>
      </c>
      <c r="S74" s="46">
        <f>'CR-TR_Interactions'!S74*Metrics_Voting!$C$25</f>
        <v>8.25</v>
      </c>
      <c r="T74" s="46">
        <f>'CR-TR_Interactions'!T74*Metrics_Voting!$C$27</f>
        <v>27</v>
      </c>
      <c r="U74" s="46">
        <f>'CR-TR_Interactions'!U74*Metrics_Voting!$C$28</f>
        <v>8.25</v>
      </c>
      <c r="V74" s="46">
        <f>'CR-TR_Interactions'!V74*Metrics_Voting!$C$29</f>
        <v>33.75</v>
      </c>
      <c r="W74" s="47">
        <f t="shared" si="3"/>
        <v>125.25</v>
      </c>
      <c r="X74" s="48">
        <f t="shared" si="4"/>
        <v>1.1829708861656159E-2</v>
      </c>
      <c r="Y74" s="49">
        <f t="shared" si="5"/>
        <v>45</v>
      </c>
    </row>
    <row r="75" spans="1:25" x14ac:dyDescent="0.25">
      <c r="A75" s="45" t="str">
        <f>'CR-TR_Interactions'!A75</f>
        <v>TR74</v>
      </c>
      <c r="B75" s="46">
        <f>'CR-TR_Interactions'!B75*Metrics_Voting!$C$3</f>
        <v>0</v>
      </c>
      <c r="C75" s="46">
        <f>'CR-TR_Interactions'!C75*Metrics_Voting!$C$4</f>
        <v>0</v>
      </c>
      <c r="D75" s="46">
        <f>'CR-TR_Interactions'!D75*Metrics_Voting!$C$5</f>
        <v>0</v>
      </c>
      <c r="E75" s="46">
        <f>'CR-TR_Interactions'!E75*Metrics_Voting!$C$7</f>
        <v>11.25</v>
      </c>
      <c r="F75" s="46">
        <f>'CR-TR_Interactions'!F75*Metrics_Voting!$C$8</f>
        <v>3</v>
      </c>
      <c r="G75" s="46">
        <f>'CR-TR_Interactions'!G75*Metrics_Voting!$C$9</f>
        <v>3.25</v>
      </c>
      <c r="H75" s="46">
        <f>'CR-TR_Interactions'!H75*Metrics_Voting!$C$11</f>
        <v>0</v>
      </c>
      <c r="I75" s="46">
        <f>'CR-TR_Interactions'!I75*Metrics_Voting!$C$12</f>
        <v>0</v>
      </c>
      <c r="J75" s="46">
        <f>'CR-TR_Interactions'!J75*Metrics_Voting!$C$13</f>
        <v>0</v>
      </c>
      <c r="K75" s="46">
        <f>'CR-TR_Interactions'!K75*Metrics_Voting!$C$15</f>
        <v>0</v>
      </c>
      <c r="L75" s="46">
        <f>'CR-TR_Interactions'!L75*Metrics_Voting!$C$16</f>
        <v>0</v>
      </c>
      <c r="M75" s="46">
        <f>'CR-TR_Interactions'!M75*Metrics_Voting!$C$17</f>
        <v>0</v>
      </c>
      <c r="N75" s="46">
        <f>'CR-TR_Interactions'!N75*Metrics_Voting!$C$19</f>
        <v>9.75</v>
      </c>
      <c r="O75" s="46">
        <f>'CR-TR_Interactions'!O75*Metrics_Voting!$C$20</f>
        <v>2.75</v>
      </c>
      <c r="P75" s="46">
        <f>'CR-TR_Interactions'!P75*Metrics_Voting!$C$21</f>
        <v>10.5</v>
      </c>
      <c r="Q75" s="46">
        <f>'CR-TR_Interactions'!Q75*Metrics_Voting!$C$23</f>
        <v>3.75</v>
      </c>
      <c r="R75" s="46">
        <f>'CR-TR_Interactions'!R75*Metrics_Voting!$C$24</f>
        <v>3.75</v>
      </c>
      <c r="S75" s="46">
        <f>'CR-TR_Interactions'!S75*Metrics_Voting!$C$25</f>
        <v>8.25</v>
      </c>
      <c r="T75" s="46">
        <f>'CR-TR_Interactions'!T75*Metrics_Voting!$C$27</f>
        <v>27</v>
      </c>
      <c r="U75" s="46">
        <f>'CR-TR_Interactions'!U75*Metrics_Voting!$C$28</f>
        <v>24.75</v>
      </c>
      <c r="V75" s="46">
        <f>'CR-TR_Interactions'!V75*Metrics_Voting!$C$29</f>
        <v>33.75</v>
      </c>
      <c r="W75" s="47">
        <f t="shared" si="3"/>
        <v>141.75</v>
      </c>
      <c r="X75" s="48">
        <f t="shared" si="4"/>
        <v>1.3388113621874335E-2</v>
      </c>
      <c r="Y75" s="49">
        <f t="shared" si="5"/>
        <v>28</v>
      </c>
    </row>
    <row r="76" spans="1:25" x14ac:dyDescent="0.25">
      <c r="A76" s="45" t="str">
        <f>'CR-TR_Interactions'!A76</f>
        <v>TR75</v>
      </c>
      <c r="B76" s="46">
        <f>'CR-TR_Interactions'!B76*Metrics_Voting!$C$3</f>
        <v>0</v>
      </c>
      <c r="C76" s="46">
        <f>'CR-TR_Interactions'!C76*Metrics_Voting!$C$4</f>
        <v>0</v>
      </c>
      <c r="D76" s="46">
        <f>'CR-TR_Interactions'!D76*Metrics_Voting!$C$5</f>
        <v>0</v>
      </c>
      <c r="E76" s="46">
        <f>'CR-TR_Interactions'!E76*Metrics_Voting!$C$7</f>
        <v>11.25</v>
      </c>
      <c r="F76" s="46">
        <f>'CR-TR_Interactions'!F76*Metrics_Voting!$C$8</f>
        <v>3</v>
      </c>
      <c r="G76" s="46">
        <f>'CR-TR_Interactions'!G76*Metrics_Voting!$C$9</f>
        <v>3.25</v>
      </c>
      <c r="H76" s="46">
        <f>'CR-TR_Interactions'!H76*Metrics_Voting!$C$11</f>
        <v>0</v>
      </c>
      <c r="I76" s="46">
        <f>'CR-TR_Interactions'!I76*Metrics_Voting!$C$12</f>
        <v>0</v>
      </c>
      <c r="J76" s="46">
        <f>'CR-TR_Interactions'!J76*Metrics_Voting!$C$13</f>
        <v>0</v>
      </c>
      <c r="K76" s="46">
        <f>'CR-TR_Interactions'!K76*Metrics_Voting!$C$15</f>
        <v>0</v>
      </c>
      <c r="L76" s="46">
        <f>'CR-TR_Interactions'!L76*Metrics_Voting!$C$16</f>
        <v>0</v>
      </c>
      <c r="M76" s="46">
        <f>'CR-TR_Interactions'!M76*Metrics_Voting!$C$17</f>
        <v>0</v>
      </c>
      <c r="N76" s="46">
        <f>'CR-TR_Interactions'!N76*Metrics_Voting!$C$19</f>
        <v>9.75</v>
      </c>
      <c r="O76" s="46">
        <f>'CR-TR_Interactions'!O76*Metrics_Voting!$C$20</f>
        <v>2.75</v>
      </c>
      <c r="P76" s="46">
        <f>'CR-TR_Interactions'!P76*Metrics_Voting!$C$21</f>
        <v>0</v>
      </c>
      <c r="Q76" s="46">
        <f>'CR-TR_Interactions'!Q76*Metrics_Voting!$C$23</f>
        <v>11.25</v>
      </c>
      <c r="R76" s="46">
        <f>'CR-TR_Interactions'!R76*Metrics_Voting!$C$24</f>
        <v>11.25</v>
      </c>
      <c r="S76" s="46">
        <f>'CR-TR_Interactions'!S76*Metrics_Voting!$C$25</f>
        <v>2.75</v>
      </c>
      <c r="T76" s="46">
        <f>'CR-TR_Interactions'!T76*Metrics_Voting!$C$27</f>
        <v>27</v>
      </c>
      <c r="U76" s="46">
        <f>'CR-TR_Interactions'!U76*Metrics_Voting!$C$28</f>
        <v>24.75</v>
      </c>
      <c r="V76" s="46">
        <f>'CR-TR_Interactions'!V76*Metrics_Voting!$C$29</f>
        <v>33.75</v>
      </c>
      <c r="W76" s="47">
        <f t="shared" si="3"/>
        <v>140.75</v>
      </c>
      <c r="X76" s="48">
        <f t="shared" si="4"/>
        <v>1.3293664848527779E-2</v>
      </c>
      <c r="Y76" s="49">
        <f t="shared" si="5"/>
        <v>30</v>
      </c>
    </row>
    <row r="77" spans="1:25" x14ac:dyDescent="0.25">
      <c r="A77" s="45" t="str">
        <f>'CR-TR_Interactions'!A77</f>
        <v>TR76</v>
      </c>
      <c r="B77" s="46">
        <f>'CR-TR_Interactions'!B77*Metrics_Voting!$C$3</f>
        <v>0</v>
      </c>
      <c r="C77" s="46">
        <f>'CR-TR_Interactions'!C77*Metrics_Voting!$C$4</f>
        <v>0</v>
      </c>
      <c r="D77" s="46">
        <f>'CR-TR_Interactions'!D77*Metrics_Voting!$C$5</f>
        <v>0</v>
      </c>
      <c r="E77" s="46">
        <f>'CR-TR_Interactions'!E77*Metrics_Voting!$C$7</f>
        <v>11.25</v>
      </c>
      <c r="F77" s="46">
        <f>'CR-TR_Interactions'!F77*Metrics_Voting!$C$8</f>
        <v>3</v>
      </c>
      <c r="G77" s="46">
        <f>'CR-TR_Interactions'!G77*Metrics_Voting!$C$9</f>
        <v>3.25</v>
      </c>
      <c r="H77" s="46">
        <f>'CR-TR_Interactions'!H77*Metrics_Voting!$C$11</f>
        <v>0</v>
      </c>
      <c r="I77" s="46">
        <f>'CR-TR_Interactions'!I77*Metrics_Voting!$C$12</f>
        <v>0</v>
      </c>
      <c r="J77" s="46">
        <f>'CR-TR_Interactions'!J77*Metrics_Voting!$C$13</f>
        <v>0</v>
      </c>
      <c r="K77" s="46">
        <f>'CR-TR_Interactions'!K77*Metrics_Voting!$C$15</f>
        <v>0</v>
      </c>
      <c r="L77" s="46">
        <f>'CR-TR_Interactions'!L77*Metrics_Voting!$C$16</f>
        <v>0</v>
      </c>
      <c r="M77" s="46">
        <f>'CR-TR_Interactions'!M77*Metrics_Voting!$C$17</f>
        <v>0</v>
      </c>
      <c r="N77" s="46">
        <f>'CR-TR_Interactions'!N77*Metrics_Voting!$C$19</f>
        <v>9.75</v>
      </c>
      <c r="O77" s="46">
        <f>'CR-TR_Interactions'!O77*Metrics_Voting!$C$20</f>
        <v>2.75</v>
      </c>
      <c r="P77" s="46">
        <f>'CR-TR_Interactions'!P77*Metrics_Voting!$C$21</f>
        <v>0</v>
      </c>
      <c r="Q77" s="46">
        <f>'CR-TR_Interactions'!Q77*Metrics_Voting!$C$23</f>
        <v>3.75</v>
      </c>
      <c r="R77" s="46">
        <f>'CR-TR_Interactions'!R77*Metrics_Voting!$C$24</f>
        <v>3.75</v>
      </c>
      <c r="S77" s="46">
        <f>'CR-TR_Interactions'!S77*Metrics_Voting!$C$25</f>
        <v>8.25</v>
      </c>
      <c r="T77" s="46">
        <f>'CR-TR_Interactions'!T77*Metrics_Voting!$C$27</f>
        <v>27</v>
      </c>
      <c r="U77" s="46">
        <f>'CR-TR_Interactions'!U77*Metrics_Voting!$C$28</f>
        <v>8.25</v>
      </c>
      <c r="V77" s="46">
        <f>'CR-TR_Interactions'!V77*Metrics_Voting!$C$29</f>
        <v>0</v>
      </c>
      <c r="W77" s="47">
        <f t="shared" si="3"/>
        <v>81</v>
      </c>
      <c r="X77" s="48">
        <f t="shared" si="4"/>
        <v>7.6503506410710489E-3</v>
      </c>
      <c r="Y77" s="49">
        <f t="shared" si="5"/>
        <v>70</v>
      </c>
    </row>
    <row r="78" spans="1:25" x14ac:dyDescent="0.25">
      <c r="A78" s="45" t="str">
        <f>'CR-TR_Interactions'!A78</f>
        <v>TR77</v>
      </c>
      <c r="B78" s="46">
        <f>'CR-TR_Interactions'!B78*Metrics_Voting!$C$3</f>
        <v>0</v>
      </c>
      <c r="C78" s="46">
        <f>'CR-TR_Interactions'!C78*Metrics_Voting!$C$4</f>
        <v>0</v>
      </c>
      <c r="D78" s="46">
        <f>'CR-TR_Interactions'!D78*Metrics_Voting!$C$5</f>
        <v>0</v>
      </c>
      <c r="E78" s="46">
        <f>'CR-TR_Interactions'!E78*Metrics_Voting!$C$7</f>
        <v>11.25</v>
      </c>
      <c r="F78" s="46">
        <f>'CR-TR_Interactions'!F78*Metrics_Voting!$C$8</f>
        <v>3</v>
      </c>
      <c r="G78" s="46">
        <f>'CR-TR_Interactions'!G78*Metrics_Voting!$C$9</f>
        <v>3.25</v>
      </c>
      <c r="H78" s="46">
        <f>'CR-TR_Interactions'!H78*Metrics_Voting!$C$11</f>
        <v>0</v>
      </c>
      <c r="I78" s="46">
        <f>'CR-TR_Interactions'!I78*Metrics_Voting!$C$12</f>
        <v>0</v>
      </c>
      <c r="J78" s="46">
        <f>'CR-TR_Interactions'!J78*Metrics_Voting!$C$13</f>
        <v>0</v>
      </c>
      <c r="K78" s="46">
        <f>'CR-TR_Interactions'!K78*Metrics_Voting!$C$15</f>
        <v>0</v>
      </c>
      <c r="L78" s="46">
        <f>'CR-TR_Interactions'!L78*Metrics_Voting!$C$16</f>
        <v>0</v>
      </c>
      <c r="M78" s="46">
        <f>'CR-TR_Interactions'!M78*Metrics_Voting!$C$17</f>
        <v>0</v>
      </c>
      <c r="N78" s="46">
        <f>'CR-TR_Interactions'!N78*Metrics_Voting!$C$19</f>
        <v>0</v>
      </c>
      <c r="O78" s="46">
        <f>'CR-TR_Interactions'!O78*Metrics_Voting!$C$20</f>
        <v>2.75</v>
      </c>
      <c r="P78" s="46">
        <f>'CR-TR_Interactions'!P78*Metrics_Voting!$C$21</f>
        <v>0</v>
      </c>
      <c r="Q78" s="46">
        <f>'CR-TR_Interactions'!Q78*Metrics_Voting!$C$23</f>
        <v>3.75</v>
      </c>
      <c r="R78" s="46">
        <f>'CR-TR_Interactions'!R78*Metrics_Voting!$C$24</f>
        <v>11.25</v>
      </c>
      <c r="S78" s="46">
        <f>'CR-TR_Interactions'!S78*Metrics_Voting!$C$25</f>
        <v>2.75</v>
      </c>
      <c r="T78" s="46">
        <f>'CR-TR_Interactions'!T78*Metrics_Voting!$C$27</f>
        <v>27</v>
      </c>
      <c r="U78" s="46">
        <f>'CR-TR_Interactions'!U78*Metrics_Voting!$C$28</f>
        <v>24.75</v>
      </c>
      <c r="V78" s="46">
        <f>'CR-TR_Interactions'!V78*Metrics_Voting!$C$29</f>
        <v>33.75</v>
      </c>
      <c r="W78" s="47">
        <f t="shared" si="3"/>
        <v>123.5</v>
      </c>
      <c r="X78" s="48">
        <f t="shared" si="4"/>
        <v>1.1664423508299685E-2</v>
      </c>
      <c r="Y78" s="49">
        <f t="shared" si="5"/>
        <v>46</v>
      </c>
    </row>
    <row r="79" spans="1:25" x14ac:dyDescent="0.25">
      <c r="A79" s="45" t="str">
        <f>'CR-TR_Interactions'!A79</f>
        <v>TR78</v>
      </c>
      <c r="B79" s="46">
        <f>'CR-TR_Interactions'!B79*Metrics_Voting!$C$3</f>
        <v>0</v>
      </c>
      <c r="C79" s="46">
        <f>'CR-TR_Interactions'!C79*Metrics_Voting!$C$4</f>
        <v>0</v>
      </c>
      <c r="D79" s="46">
        <f>'CR-TR_Interactions'!D79*Metrics_Voting!$C$5</f>
        <v>0</v>
      </c>
      <c r="E79" s="46">
        <f>'CR-TR_Interactions'!E79*Metrics_Voting!$C$7</f>
        <v>11.25</v>
      </c>
      <c r="F79" s="46">
        <f>'CR-TR_Interactions'!F79*Metrics_Voting!$C$8</f>
        <v>3</v>
      </c>
      <c r="G79" s="46">
        <f>'CR-TR_Interactions'!G79*Metrics_Voting!$C$9</f>
        <v>3.25</v>
      </c>
      <c r="H79" s="46">
        <f>'CR-TR_Interactions'!H79*Metrics_Voting!$C$11</f>
        <v>0</v>
      </c>
      <c r="I79" s="46">
        <f>'CR-TR_Interactions'!I79*Metrics_Voting!$C$12</f>
        <v>0</v>
      </c>
      <c r="J79" s="46">
        <f>'CR-TR_Interactions'!J79*Metrics_Voting!$C$13</f>
        <v>0</v>
      </c>
      <c r="K79" s="46">
        <f>'CR-TR_Interactions'!K79*Metrics_Voting!$C$15</f>
        <v>0</v>
      </c>
      <c r="L79" s="46">
        <f>'CR-TR_Interactions'!L79*Metrics_Voting!$C$16</f>
        <v>0</v>
      </c>
      <c r="M79" s="46">
        <f>'CR-TR_Interactions'!M79*Metrics_Voting!$C$17</f>
        <v>0</v>
      </c>
      <c r="N79" s="46">
        <f>'CR-TR_Interactions'!N79*Metrics_Voting!$C$19</f>
        <v>0</v>
      </c>
      <c r="O79" s="46">
        <f>'CR-TR_Interactions'!O79*Metrics_Voting!$C$20</f>
        <v>2.75</v>
      </c>
      <c r="P79" s="46">
        <f>'CR-TR_Interactions'!P79*Metrics_Voting!$C$21</f>
        <v>0</v>
      </c>
      <c r="Q79" s="46">
        <f>'CR-TR_Interactions'!Q79*Metrics_Voting!$C$23</f>
        <v>11.25</v>
      </c>
      <c r="R79" s="46">
        <f>'CR-TR_Interactions'!R79*Metrics_Voting!$C$24</f>
        <v>11.25</v>
      </c>
      <c r="S79" s="46">
        <f>'CR-TR_Interactions'!S79*Metrics_Voting!$C$25</f>
        <v>2.75</v>
      </c>
      <c r="T79" s="46">
        <f>'CR-TR_Interactions'!T79*Metrics_Voting!$C$27</f>
        <v>27</v>
      </c>
      <c r="U79" s="46">
        <f>'CR-TR_Interactions'!U79*Metrics_Voting!$C$28</f>
        <v>24.75</v>
      </c>
      <c r="V79" s="46">
        <f>'CR-TR_Interactions'!V79*Metrics_Voting!$C$29</f>
        <v>33.75</v>
      </c>
      <c r="W79" s="47">
        <f t="shared" si="3"/>
        <v>131</v>
      </c>
      <c r="X79" s="48">
        <f t="shared" si="4"/>
        <v>1.2372789308398857E-2</v>
      </c>
      <c r="Y79" s="49">
        <f t="shared" si="5"/>
        <v>40</v>
      </c>
    </row>
    <row r="80" spans="1:25" x14ac:dyDescent="0.25">
      <c r="A80" s="45" t="str">
        <f>'CR-TR_Interactions'!A80</f>
        <v>TR79</v>
      </c>
      <c r="B80" s="46">
        <f>'CR-TR_Interactions'!B80*Metrics_Voting!$C$3</f>
        <v>0</v>
      </c>
      <c r="C80" s="46">
        <f>'CR-TR_Interactions'!C80*Metrics_Voting!$C$4</f>
        <v>0</v>
      </c>
      <c r="D80" s="46">
        <f>'CR-TR_Interactions'!D80*Metrics_Voting!$C$5</f>
        <v>0</v>
      </c>
      <c r="E80" s="46">
        <f>'CR-TR_Interactions'!E80*Metrics_Voting!$C$7</f>
        <v>11.25</v>
      </c>
      <c r="F80" s="46">
        <f>'CR-TR_Interactions'!F80*Metrics_Voting!$C$8</f>
        <v>3</v>
      </c>
      <c r="G80" s="46">
        <f>'CR-TR_Interactions'!G80*Metrics_Voting!$C$9</f>
        <v>3.25</v>
      </c>
      <c r="H80" s="46">
        <f>'CR-TR_Interactions'!H80*Metrics_Voting!$C$11</f>
        <v>0</v>
      </c>
      <c r="I80" s="46">
        <f>'CR-TR_Interactions'!I80*Metrics_Voting!$C$12</f>
        <v>0</v>
      </c>
      <c r="J80" s="46">
        <f>'CR-TR_Interactions'!J80*Metrics_Voting!$C$13</f>
        <v>0</v>
      </c>
      <c r="K80" s="46">
        <f>'CR-TR_Interactions'!K80*Metrics_Voting!$C$15</f>
        <v>0</v>
      </c>
      <c r="L80" s="46">
        <f>'CR-TR_Interactions'!L80*Metrics_Voting!$C$16</f>
        <v>0</v>
      </c>
      <c r="M80" s="46">
        <f>'CR-TR_Interactions'!M80*Metrics_Voting!$C$17</f>
        <v>0</v>
      </c>
      <c r="N80" s="46">
        <f>'CR-TR_Interactions'!N80*Metrics_Voting!$C$19</f>
        <v>9.75</v>
      </c>
      <c r="O80" s="46">
        <f>'CR-TR_Interactions'!O80*Metrics_Voting!$C$20</f>
        <v>2.75</v>
      </c>
      <c r="P80" s="46">
        <f>'CR-TR_Interactions'!P80*Metrics_Voting!$C$21</f>
        <v>0</v>
      </c>
      <c r="Q80" s="46">
        <f>'CR-TR_Interactions'!Q80*Metrics_Voting!$C$23</f>
        <v>3.75</v>
      </c>
      <c r="R80" s="46">
        <f>'CR-TR_Interactions'!R80*Metrics_Voting!$C$24</f>
        <v>11.25</v>
      </c>
      <c r="S80" s="46">
        <f>'CR-TR_Interactions'!S80*Metrics_Voting!$C$25</f>
        <v>8.25</v>
      </c>
      <c r="T80" s="46">
        <f>'CR-TR_Interactions'!T80*Metrics_Voting!$C$27</f>
        <v>27</v>
      </c>
      <c r="U80" s="46">
        <f>'CR-TR_Interactions'!U80*Metrics_Voting!$C$28</f>
        <v>24.75</v>
      </c>
      <c r="V80" s="46">
        <f>'CR-TR_Interactions'!V80*Metrics_Voting!$C$29</f>
        <v>33.75</v>
      </c>
      <c r="W80" s="47">
        <f t="shared" si="3"/>
        <v>138.75</v>
      </c>
      <c r="X80" s="48">
        <f t="shared" si="4"/>
        <v>1.3104767301834668E-2</v>
      </c>
      <c r="Y80" s="49">
        <f t="shared" si="5"/>
        <v>32</v>
      </c>
    </row>
    <row r="81" spans="1:25" x14ac:dyDescent="0.25">
      <c r="A81" s="45" t="str">
        <f>'CR-TR_Interactions'!A81</f>
        <v>TR80</v>
      </c>
      <c r="B81" s="46">
        <f>'CR-TR_Interactions'!B81*Metrics_Voting!$C$3</f>
        <v>0</v>
      </c>
      <c r="C81" s="46">
        <f>'CR-TR_Interactions'!C81*Metrics_Voting!$C$4</f>
        <v>0</v>
      </c>
      <c r="D81" s="46">
        <f>'CR-TR_Interactions'!D81*Metrics_Voting!$C$5</f>
        <v>0</v>
      </c>
      <c r="E81" s="46">
        <f>'CR-TR_Interactions'!E81*Metrics_Voting!$C$7</f>
        <v>0</v>
      </c>
      <c r="F81" s="46">
        <f>'CR-TR_Interactions'!F81*Metrics_Voting!$C$8</f>
        <v>3</v>
      </c>
      <c r="G81" s="46">
        <f>'CR-TR_Interactions'!G81*Metrics_Voting!$C$9</f>
        <v>3.25</v>
      </c>
      <c r="H81" s="46">
        <f>'CR-TR_Interactions'!H81*Metrics_Voting!$C$11</f>
        <v>0</v>
      </c>
      <c r="I81" s="46">
        <f>'CR-TR_Interactions'!I81*Metrics_Voting!$C$12</f>
        <v>0</v>
      </c>
      <c r="J81" s="46">
        <f>'CR-TR_Interactions'!J81*Metrics_Voting!$C$13</f>
        <v>0</v>
      </c>
      <c r="K81" s="46">
        <f>'CR-TR_Interactions'!K81*Metrics_Voting!$C$15</f>
        <v>0</v>
      </c>
      <c r="L81" s="46">
        <f>'CR-TR_Interactions'!L81*Metrics_Voting!$C$16</f>
        <v>0</v>
      </c>
      <c r="M81" s="46">
        <f>'CR-TR_Interactions'!M81*Metrics_Voting!$C$17</f>
        <v>0</v>
      </c>
      <c r="N81" s="46">
        <f>'CR-TR_Interactions'!N81*Metrics_Voting!$C$19</f>
        <v>0</v>
      </c>
      <c r="O81" s="46">
        <f>'CR-TR_Interactions'!O81*Metrics_Voting!$C$20</f>
        <v>2.75</v>
      </c>
      <c r="P81" s="46">
        <f>'CR-TR_Interactions'!P81*Metrics_Voting!$C$21</f>
        <v>0</v>
      </c>
      <c r="Q81" s="46">
        <f>'CR-TR_Interactions'!Q81*Metrics_Voting!$C$23</f>
        <v>3.75</v>
      </c>
      <c r="R81" s="46">
        <f>'CR-TR_Interactions'!R81*Metrics_Voting!$C$24</f>
        <v>3.75</v>
      </c>
      <c r="S81" s="46">
        <f>'CR-TR_Interactions'!S81*Metrics_Voting!$C$25</f>
        <v>2.75</v>
      </c>
      <c r="T81" s="46">
        <f>'CR-TR_Interactions'!T81*Metrics_Voting!$C$27</f>
        <v>9</v>
      </c>
      <c r="U81" s="46">
        <f>'CR-TR_Interactions'!U81*Metrics_Voting!$C$28</f>
        <v>24.75</v>
      </c>
      <c r="V81" s="46">
        <f>'CR-TR_Interactions'!V81*Metrics_Voting!$C$29</f>
        <v>33.75</v>
      </c>
      <c r="W81" s="47">
        <f t="shared" si="3"/>
        <v>86.75</v>
      </c>
      <c r="X81" s="48">
        <f t="shared" si="4"/>
        <v>8.1934310878137469E-3</v>
      </c>
      <c r="Y81" s="49">
        <f t="shared" si="5"/>
        <v>63</v>
      </c>
    </row>
    <row r="82" spans="1:25" x14ac:dyDescent="0.25">
      <c r="A82" s="45" t="str">
        <f>'CR-TR_Interactions'!A82</f>
        <v>TR81</v>
      </c>
      <c r="B82" s="46">
        <f>'CR-TR_Interactions'!B82*Metrics_Voting!$C$3</f>
        <v>4</v>
      </c>
      <c r="C82" s="46">
        <f>'CR-TR_Interactions'!C82*Metrics_Voting!$C$4</f>
        <v>9.75</v>
      </c>
      <c r="D82" s="46">
        <f>'CR-TR_Interactions'!D82*Metrics_Voting!$C$5</f>
        <v>0</v>
      </c>
      <c r="E82" s="46">
        <f>'CR-TR_Interactions'!E82*Metrics_Voting!$C$7</f>
        <v>0</v>
      </c>
      <c r="F82" s="46">
        <f>'CR-TR_Interactions'!F82*Metrics_Voting!$C$8</f>
        <v>3</v>
      </c>
      <c r="G82" s="46">
        <f>'CR-TR_Interactions'!G82*Metrics_Voting!$C$9</f>
        <v>9.75</v>
      </c>
      <c r="H82" s="46">
        <f>'CR-TR_Interactions'!H82*Metrics_Voting!$C$11</f>
        <v>0</v>
      </c>
      <c r="I82" s="46">
        <f>'CR-TR_Interactions'!I82*Metrics_Voting!$C$12</f>
        <v>0</v>
      </c>
      <c r="J82" s="46">
        <f>'CR-TR_Interactions'!J82*Metrics_Voting!$C$13</f>
        <v>0</v>
      </c>
      <c r="K82" s="46">
        <f>'CR-TR_Interactions'!K82*Metrics_Voting!$C$15</f>
        <v>0</v>
      </c>
      <c r="L82" s="46">
        <f>'CR-TR_Interactions'!L82*Metrics_Voting!$C$16</f>
        <v>3.25</v>
      </c>
      <c r="M82" s="46">
        <f>'CR-TR_Interactions'!M82*Metrics_Voting!$C$17</f>
        <v>0</v>
      </c>
      <c r="N82" s="46">
        <f>'CR-TR_Interactions'!N82*Metrics_Voting!$C$19</f>
        <v>0</v>
      </c>
      <c r="O82" s="46">
        <f>'CR-TR_Interactions'!O82*Metrics_Voting!$C$20</f>
        <v>2.75</v>
      </c>
      <c r="P82" s="46">
        <f>'CR-TR_Interactions'!P82*Metrics_Voting!$C$21</f>
        <v>0</v>
      </c>
      <c r="Q82" s="46">
        <f>'CR-TR_Interactions'!Q82*Metrics_Voting!$C$23</f>
        <v>11.25</v>
      </c>
      <c r="R82" s="46">
        <f>'CR-TR_Interactions'!R82*Metrics_Voting!$C$24</f>
        <v>11.25</v>
      </c>
      <c r="S82" s="46">
        <f>'CR-TR_Interactions'!S82*Metrics_Voting!$C$25</f>
        <v>24.75</v>
      </c>
      <c r="T82" s="46">
        <f>'CR-TR_Interactions'!T82*Metrics_Voting!$C$27</f>
        <v>9</v>
      </c>
      <c r="U82" s="46">
        <f>'CR-TR_Interactions'!U82*Metrics_Voting!$C$28</f>
        <v>8.25</v>
      </c>
      <c r="V82" s="46">
        <f>'CR-TR_Interactions'!V82*Metrics_Voting!$C$29</f>
        <v>33.75</v>
      </c>
      <c r="W82" s="47">
        <f t="shared" si="3"/>
        <v>130.75</v>
      </c>
      <c r="X82" s="48">
        <f t="shared" si="4"/>
        <v>1.2349177115062218E-2</v>
      </c>
      <c r="Y82" s="49">
        <f t="shared" si="5"/>
        <v>41</v>
      </c>
    </row>
    <row r="83" spans="1:25" x14ac:dyDescent="0.25">
      <c r="A83" s="45" t="str">
        <f>'CR-TR_Interactions'!A83</f>
        <v>TR82</v>
      </c>
      <c r="B83" s="46">
        <f>'CR-TR_Interactions'!B83*Metrics_Voting!$C$3</f>
        <v>0</v>
      </c>
      <c r="C83" s="46">
        <f>'CR-TR_Interactions'!C83*Metrics_Voting!$C$4</f>
        <v>0</v>
      </c>
      <c r="D83" s="46">
        <f>'CR-TR_Interactions'!D83*Metrics_Voting!$C$5</f>
        <v>0</v>
      </c>
      <c r="E83" s="46">
        <f>'CR-TR_Interactions'!E83*Metrics_Voting!$C$7</f>
        <v>0</v>
      </c>
      <c r="F83" s="46">
        <f>'CR-TR_Interactions'!F83*Metrics_Voting!$C$8</f>
        <v>3</v>
      </c>
      <c r="G83" s="46">
        <f>'CR-TR_Interactions'!G83*Metrics_Voting!$C$9</f>
        <v>9.75</v>
      </c>
      <c r="H83" s="46">
        <f>'CR-TR_Interactions'!H83*Metrics_Voting!$C$11</f>
        <v>0</v>
      </c>
      <c r="I83" s="46">
        <f>'CR-TR_Interactions'!I83*Metrics_Voting!$C$12</f>
        <v>0</v>
      </c>
      <c r="J83" s="46">
        <f>'CR-TR_Interactions'!J83*Metrics_Voting!$C$13</f>
        <v>0</v>
      </c>
      <c r="K83" s="46">
        <f>'CR-TR_Interactions'!K83*Metrics_Voting!$C$15</f>
        <v>0</v>
      </c>
      <c r="L83" s="46">
        <f>'CR-TR_Interactions'!L83*Metrics_Voting!$C$16</f>
        <v>0</v>
      </c>
      <c r="M83" s="46">
        <f>'CR-TR_Interactions'!M83*Metrics_Voting!$C$17</f>
        <v>0</v>
      </c>
      <c r="N83" s="46">
        <f>'CR-TR_Interactions'!N83*Metrics_Voting!$C$19</f>
        <v>0</v>
      </c>
      <c r="O83" s="46">
        <f>'CR-TR_Interactions'!O83*Metrics_Voting!$C$20</f>
        <v>2.75</v>
      </c>
      <c r="P83" s="46">
        <f>'CR-TR_Interactions'!P83*Metrics_Voting!$C$21</f>
        <v>0</v>
      </c>
      <c r="Q83" s="46">
        <f>'CR-TR_Interactions'!Q83*Metrics_Voting!$C$23</f>
        <v>3.75</v>
      </c>
      <c r="R83" s="46">
        <f>'CR-TR_Interactions'!R83*Metrics_Voting!$C$24</f>
        <v>3.75</v>
      </c>
      <c r="S83" s="46">
        <f>'CR-TR_Interactions'!S83*Metrics_Voting!$C$25</f>
        <v>8.25</v>
      </c>
      <c r="T83" s="46">
        <f>'CR-TR_Interactions'!T83*Metrics_Voting!$C$27</f>
        <v>9</v>
      </c>
      <c r="U83" s="46">
        <f>'CR-TR_Interactions'!U83*Metrics_Voting!$C$28</f>
        <v>8.25</v>
      </c>
      <c r="V83" s="46">
        <f>'CR-TR_Interactions'!V83*Metrics_Voting!$C$29</f>
        <v>33.75</v>
      </c>
      <c r="W83" s="47">
        <f t="shared" si="3"/>
        <v>82.25</v>
      </c>
      <c r="X83" s="48">
        <f t="shared" si="4"/>
        <v>7.7684116077542439E-3</v>
      </c>
      <c r="Y83" s="49">
        <f t="shared" si="5"/>
        <v>69</v>
      </c>
    </row>
    <row r="84" spans="1:25" x14ac:dyDescent="0.25">
      <c r="A84" s="45" t="str">
        <f>'CR-TR_Interactions'!A84</f>
        <v>TR83</v>
      </c>
      <c r="B84" s="46">
        <f>'CR-TR_Interactions'!B84*Metrics_Voting!$C$3</f>
        <v>0</v>
      </c>
      <c r="C84" s="46">
        <f>'CR-TR_Interactions'!C84*Metrics_Voting!$C$4</f>
        <v>9.75</v>
      </c>
      <c r="D84" s="46">
        <f>'CR-TR_Interactions'!D84*Metrics_Voting!$C$5</f>
        <v>0</v>
      </c>
      <c r="E84" s="46">
        <f>'CR-TR_Interactions'!E84*Metrics_Voting!$C$7</f>
        <v>0</v>
      </c>
      <c r="F84" s="46">
        <f>'CR-TR_Interactions'!F84*Metrics_Voting!$C$8</f>
        <v>3</v>
      </c>
      <c r="G84" s="46">
        <f>'CR-TR_Interactions'!G84*Metrics_Voting!$C$9</f>
        <v>9.75</v>
      </c>
      <c r="H84" s="46">
        <f>'CR-TR_Interactions'!H84*Metrics_Voting!$C$11</f>
        <v>0</v>
      </c>
      <c r="I84" s="46">
        <f>'CR-TR_Interactions'!I84*Metrics_Voting!$C$12</f>
        <v>0</v>
      </c>
      <c r="J84" s="46">
        <f>'CR-TR_Interactions'!J84*Metrics_Voting!$C$13</f>
        <v>0</v>
      </c>
      <c r="K84" s="46">
        <f>'CR-TR_Interactions'!K84*Metrics_Voting!$C$15</f>
        <v>0</v>
      </c>
      <c r="L84" s="46">
        <f>'CR-TR_Interactions'!L84*Metrics_Voting!$C$16</f>
        <v>3.25</v>
      </c>
      <c r="M84" s="46">
        <f>'CR-TR_Interactions'!M84*Metrics_Voting!$C$17</f>
        <v>0</v>
      </c>
      <c r="N84" s="46">
        <f>'CR-TR_Interactions'!N84*Metrics_Voting!$C$19</f>
        <v>9.75</v>
      </c>
      <c r="O84" s="46">
        <f>'CR-TR_Interactions'!O84*Metrics_Voting!$C$20</f>
        <v>2.75</v>
      </c>
      <c r="P84" s="46">
        <f>'CR-TR_Interactions'!P84*Metrics_Voting!$C$21</f>
        <v>0</v>
      </c>
      <c r="Q84" s="46">
        <f>'CR-TR_Interactions'!Q84*Metrics_Voting!$C$23</f>
        <v>11.25</v>
      </c>
      <c r="R84" s="46">
        <f>'CR-TR_Interactions'!R84*Metrics_Voting!$C$24</f>
        <v>11.25</v>
      </c>
      <c r="S84" s="46">
        <f>'CR-TR_Interactions'!S84*Metrics_Voting!$C$25</f>
        <v>8.25</v>
      </c>
      <c r="T84" s="46">
        <f>'CR-TR_Interactions'!T84*Metrics_Voting!$C$27</f>
        <v>9</v>
      </c>
      <c r="U84" s="46">
        <f>'CR-TR_Interactions'!U84*Metrics_Voting!$C$28</f>
        <v>8.25</v>
      </c>
      <c r="V84" s="46">
        <f>'CR-TR_Interactions'!V84*Metrics_Voting!$C$29</f>
        <v>33.75</v>
      </c>
      <c r="W84" s="47">
        <f t="shared" si="3"/>
        <v>120</v>
      </c>
      <c r="X84" s="48">
        <f t="shared" si="4"/>
        <v>1.133385280158674E-2</v>
      </c>
      <c r="Y84" s="49">
        <f t="shared" si="5"/>
        <v>49</v>
      </c>
    </row>
    <row r="85" spans="1:25" x14ac:dyDescent="0.25">
      <c r="A85" s="45" t="str">
        <f>'CR-TR_Interactions'!A85</f>
        <v>TR84</v>
      </c>
      <c r="B85" s="46">
        <f>'CR-TR_Interactions'!B85*Metrics_Voting!$C$3</f>
        <v>4</v>
      </c>
      <c r="C85" s="46">
        <f>'CR-TR_Interactions'!C85*Metrics_Voting!$C$4</f>
        <v>9.75</v>
      </c>
      <c r="D85" s="46">
        <f>'CR-TR_Interactions'!D85*Metrics_Voting!$C$5</f>
        <v>0</v>
      </c>
      <c r="E85" s="46">
        <f>'CR-TR_Interactions'!E85*Metrics_Voting!$C$7</f>
        <v>0</v>
      </c>
      <c r="F85" s="46">
        <f>'CR-TR_Interactions'!F85*Metrics_Voting!$C$8</f>
        <v>3</v>
      </c>
      <c r="G85" s="46">
        <f>'CR-TR_Interactions'!G85*Metrics_Voting!$C$9</f>
        <v>9.75</v>
      </c>
      <c r="H85" s="46">
        <f>'CR-TR_Interactions'!H85*Metrics_Voting!$C$11</f>
        <v>0</v>
      </c>
      <c r="I85" s="46">
        <f>'CR-TR_Interactions'!I85*Metrics_Voting!$C$12</f>
        <v>0</v>
      </c>
      <c r="J85" s="46">
        <f>'CR-TR_Interactions'!J85*Metrics_Voting!$C$13</f>
        <v>0</v>
      </c>
      <c r="K85" s="46">
        <f>'CR-TR_Interactions'!K85*Metrics_Voting!$C$15</f>
        <v>0</v>
      </c>
      <c r="L85" s="46">
        <f>'CR-TR_Interactions'!L85*Metrics_Voting!$C$16</f>
        <v>3.25</v>
      </c>
      <c r="M85" s="46">
        <f>'CR-TR_Interactions'!M85*Metrics_Voting!$C$17</f>
        <v>0</v>
      </c>
      <c r="N85" s="46">
        <f>'CR-TR_Interactions'!N85*Metrics_Voting!$C$19</f>
        <v>9.75</v>
      </c>
      <c r="O85" s="46">
        <f>'CR-TR_Interactions'!O85*Metrics_Voting!$C$20</f>
        <v>2.75</v>
      </c>
      <c r="P85" s="46">
        <f>'CR-TR_Interactions'!P85*Metrics_Voting!$C$21</f>
        <v>0</v>
      </c>
      <c r="Q85" s="46">
        <f>'CR-TR_Interactions'!Q85*Metrics_Voting!$C$23</f>
        <v>11.25</v>
      </c>
      <c r="R85" s="46">
        <f>'CR-TR_Interactions'!R85*Metrics_Voting!$C$24</f>
        <v>11.25</v>
      </c>
      <c r="S85" s="46">
        <f>'CR-TR_Interactions'!S85*Metrics_Voting!$C$25</f>
        <v>2.75</v>
      </c>
      <c r="T85" s="46">
        <f>'CR-TR_Interactions'!T85*Metrics_Voting!$C$27</f>
        <v>9</v>
      </c>
      <c r="U85" s="46">
        <f>'CR-TR_Interactions'!U85*Metrics_Voting!$C$28</f>
        <v>24.75</v>
      </c>
      <c r="V85" s="46">
        <f>'CR-TR_Interactions'!V85*Metrics_Voting!$C$29</f>
        <v>33.75</v>
      </c>
      <c r="W85" s="47">
        <f t="shared" si="3"/>
        <v>135</v>
      </c>
      <c r="X85" s="48">
        <f t="shared" si="4"/>
        <v>1.2750584401785081E-2</v>
      </c>
      <c r="Y85" s="49">
        <f t="shared" si="5"/>
        <v>35</v>
      </c>
    </row>
    <row r="86" spans="1:25" ht="15.75" thickBot="1" x14ac:dyDescent="0.3">
      <c r="A86" s="50" t="s">
        <v>425</v>
      </c>
      <c r="B86" s="50">
        <f>SUM(B2:B80)</f>
        <v>460</v>
      </c>
      <c r="C86" s="50">
        <f t="shared" ref="C86:U86" si="6">SUM(C2:C85)</f>
        <v>396.5</v>
      </c>
      <c r="D86" s="50">
        <f t="shared" si="6"/>
        <v>336</v>
      </c>
      <c r="E86" s="50">
        <f t="shared" si="6"/>
        <v>528.75</v>
      </c>
      <c r="F86" s="50">
        <f t="shared" si="6"/>
        <v>585</v>
      </c>
      <c r="G86" s="50">
        <f t="shared" si="6"/>
        <v>741</v>
      </c>
      <c r="H86" s="50">
        <f t="shared" si="6"/>
        <v>563.5</v>
      </c>
      <c r="I86" s="50">
        <f t="shared" si="6"/>
        <v>153</v>
      </c>
      <c r="J86" s="50">
        <f t="shared" si="6"/>
        <v>168</v>
      </c>
      <c r="K86" s="50">
        <f t="shared" si="6"/>
        <v>337.5</v>
      </c>
      <c r="L86" s="50">
        <f t="shared" si="6"/>
        <v>208</v>
      </c>
      <c r="M86" s="50">
        <f t="shared" si="6"/>
        <v>178.75</v>
      </c>
      <c r="N86" s="50">
        <f t="shared" si="6"/>
        <v>760.5</v>
      </c>
      <c r="O86" s="50">
        <f t="shared" si="6"/>
        <v>330</v>
      </c>
      <c r="P86" s="50">
        <f t="shared" si="6"/>
        <v>234.5</v>
      </c>
      <c r="Q86" s="50">
        <f t="shared" si="6"/>
        <v>922.5</v>
      </c>
      <c r="R86" s="50">
        <f t="shared" si="6"/>
        <v>1046.25</v>
      </c>
      <c r="S86" s="50">
        <f t="shared" si="6"/>
        <v>968</v>
      </c>
      <c r="T86" s="50">
        <f t="shared" si="6"/>
        <v>234</v>
      </c>
      <c r="U86" s="50">
        <f t="shared" si="6"/>
        <v>693</v>
      </c>
      <c r="V86" s="50">
        <f>SUM(V2:V85)</f>
        <v>735</v>
      </c>
      <c r="W86" s="50">
        <f>SUM(W2:W85)</f>
        <v>10587.75</v>
      </c>
      <c r="X86" s="51">
        <f t="shared" si="4"/>
        <v>1</v>
      </c>
      <c r="Y86" s="52"/>
    </row>
    <row r="87" spans="1:25" ht="15.75" thickTop="1" x14ac:dyDescent="0.25"/>
  </sheetData>
  <conditionalFormatting sqref="B2:V8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21A12-352D-4F18-A9A5-E533993A0DF6}">
  <dimension ref="A1:H85"/>
  <sheetViews>
    <sheetView workbookViewId="0">
      <selection sqref="A1:H85"/>
    </sheetView>
  </sheetViews>
  <sheetFormatPr defaultColWidth="8.85546875" defaultRowHeight="15" x14ac:dyDescent="0.25"/>
  <cols>
    <col min="1" max="1" width="5.140625" bestFit="1" customWidth="1"/>
    <col min="2" max="2" width="47.42578125" bestFit="1" customWidth="1"/>
    <col min="3" max="3" width="11.140625" style="11" bestFit="1" customWidth="1"/>
    <col min="4" max="4" width="12.140625" bestFit="1" customWidth="1"/>
    <col min="5" max="5" width="12.140625" customWidth="1"/>
    <col min="6" max="6" width="23.42578125" customWidth="1"/>
    <col min="7" max="7" width="96.140625" customWidth="1"/>
    <col min="8" max="8" width="12.28515625" customWidth="1"/>
  </cols>
  <sheetData>
    <row r="1" spans="1:8" ht="15.75" thickBot="1" x14ac:dyDescent="0.3">
      <c r="A1" s="18" t="s">
        <v>292</v>
      </c>
      <c r="B1" s="18" t="s">
        <v>294</v>
      </c>
      <c r="C1" s="21" t="s">
        <v>1</v>
      </c>
      <c r="D1" s="19" t="s">
        <v>293</v>
      </c>
      <c r="E1" s="19" t="s">
        <v>301</v>
      </c>
      <c r="F1" s="18" t="s">
        <v>3</v>
      </c>
      <c r="G1" s="18" t="s">
        <v>305</v>
      </c>
      <c r="H1" s="18" t="s">
        <v>407</v>
      </c>
    </row>
    <row r="2" spans="1:8" x14ac:dyDescent="0.25">
      <c r="A2" s="17" t="str">
        <f>'CR-TR_Interactions'!A2</f>
        <v>TR1</v>
      </c>
      <c r="B2" s="17" t="str">
        <f>Table2[[#This Row],[Requirement]]</f>
        <v>Time to transfer 2 gallons</v>
      </c>
      <c r="C2" s="22">
        <f>'CR-TR_Importance'!W2</f>
        <v>139.75</v>
      </c>
      <c r="D2" s="11">
        <v>5</v>
      </c>
      <c r="E2" t="s">
        <v>303</v>
      </c>
      <c r="F2" s="17" t="str">
        <f>Table2[[#This Row],[Units]]</f>
        <v>seconds</v>
      </c>
      <c r="G2" t="s">
        <v>306</v>
      </c>
      <c r="H2" t="s">
        <v>41</v>
      </c>
    </row>
    <row r="3" spans="1:8" x14ac:dyDescent="0.25">
      <c r="A3" s="17" t="str">
        <f>'CR-TR_Interactions'!A3</f>
        <v>TR2</v>
      </c>
      <c r="B3" s="17" t="str">
        <f>Table2[[#This Row],[Requirement]]</f>
        <v>Average flow rate during transfer</v>
      </c>
      <c r="C3" s="22">
        <f>'CR-TR_Importance'!W3</f>
        <v>177.75</v>
      </c>
      <c r="D3" s="11">
        <v>4</v>
      </c>
      <c r="E3" t="s">
        <v>302</v>
      </c>
      <c r="F3" s="17" t="str">
        <f>Table2[[#This Row],[Units]]</f>
        <v>GPM</v>
      </c>
      <c r="G3" t="s">
        <v>307</v>
      </c>
      <c r="H3" t="s">
        <v>41</v>
      </c>
    </row>
    <row r="4" spans="1:8" x14ac:dyDescent="0.25">
      <c r="A4" s="17" t="str">
        <f>'CR-TR_Interactions'!A4</f>
        <v>TR3</v>
      </c>
      <c r="B4" s="17" t="str">
        <f>Table2[[#This Row],[Requirement]]</f>
        <v>Energy consumption per 2 gallons transferred</v>
      </c>
      <c r="C4" s="22">
        <f>'CR-TR_Importance'!W4</f>
        <v>138.75</v>
      </c>
      <c r="D4" s="11" t="s">
        <v>308</v>
      </c>
      <c r="E4" t="s">
        <v>303</v>
      </c>
      <c r="F4" s="17" t="str">
        <f>Table2[[#This Row],[Units]]</f>
        <v>kWH</v>
      </c>
      <c r="G4" t="s">
        <v>408</v>
      </c>
      <c r="H4" t="s">
        <v>41</v>
      </c>
    </row>
    <row r="5" spans="1:8" x14ac:dyDescent="0.25">
      <c r="A5" s="17" t="str">
        <f>'CR-TR_Interactions'!A5</f>
        <v>TR4</v>
      </c>
      <c r="B5" s="17" t="str">
        <f>Table2[[#This Row],[Requirement]]</f>
        <v>Maximum throughput capacity of the system</v>
      </c>
      <c r="C5" s="22">
        <f>'CR-TR_Importance'!W5</f>
        <v>161.25</v>
      </c>
      <c r="D5" s="11">
        <v>240</v>
      </c>
      <c r="E5" t="s">
        <v>302</v>
      </c>
      <c r="F5" s="17" t="str">
        <f>Table2[[#This Row],[Units]]</f>
        <v>GPH</v>
      </c>
      <c r="G5" t="s">
        <v>309</v>
      </c>
      <c r="H5" t="s">
        <v>41</v>
      </c>
    </row>
    <row r="6" spans="1:8" x14ac:dyDescent="0.25">
      <c r="A6" s="17" t="str">
        <f>'CR-TR_Interactions'!A6</f>
        <v>TR5</v>
      </c>
      <c r="B6" s="17" t="str">
        <f>Table2[[#This Row],[Requirement]]</f>
        <v>Distribution Uniformity (DU) coefficient</v>
      </c>
      <c r="C6" s="22">
        <f>'CR-TR_Importance'!W6</f>
        <v>104.25</v>
      </c>
      <c r="D6" s="11" t="s">
        <v>310</v>
      </c>
      <c r="E6" t="s">
        <v>302</v>
      </c>
      <c r="F6" s="17" t="str">
        <f>Table2[[#This Row],[Units]]</f>
        <v>Percentage</v>
      </c>
      <c r="G6" t="s">
        <v>311</v>
      </c>
      <c r="H6" t="s">
        <v>41</v>
      </c>
    </row>
    <row r="7" spans="1:8" x14ac:dyDescent="0.25">
      <c r="A7" s="17" t="str">
        <f>'CR-TR_Interactions'!A7</f>
        <v>TR6</v>
      </c>
      <c r="B7" s="17" t="str">
        <f>Table2[[#This Row],[Requirement]]</f>
        <v>Variance in water application rates between zones</v>
      </c>
      <c r="C7" s="22">
        <f>'CR-TR_Importance'!W7</f>
        <v>98.75</v>
      </c>
      <c r="D7" s="11" t="s">
        <v>312</v>
      </c>
      <c r="E7" t="s">
        <v>303</v>
      </c>
      <c r="F7" s="17" t="str">
        <f>Table2[[#This Row],[Units]]</f>
        <v>GPM</v>
      </c>
      <c r="G7" t="s">
        <v>409</v>
      </c>
      <c r="H7" t="s">
        <v>41</v>
      </c>
    </row>
    <row r="8" spans="1:8" x14ac:dyDescent="0.25">
      <c r="A8" s="17" t="str">
        <f>'CR-TR_Interactions'!A8</f>
        <v>TR7</v>
      </c>
      <c r="B8" s="17" t="str">
        <f>Table2[[#This Row],[Requirement]]</f>
        <v>Number of dry or overwatered spots detected</v>
      </c>
      <c r="C8" s="22">
        <f>'CR-TR_Importance'!W8</f>
        <v>87.25</v>
      </c>
      <c r="D8" s="11">
        <v>0</v>
      </c>
      <c r="E8" t="s">
        <v>303</v>
      </c>
      <c r="F8" s="17" t="str">
        <f>Table2[[#This Row],[Units]]</f>
        <v>Count</v>
      </c>
      <c r="G8" t="s">
        <v>313</v>
      </c>
      <c r="H8" t="s">
        <v>41</v>
      </c>
    </row>
    <row r="9" spans="1:8" x14ac:dyDescent="0.25">
      <c r="A9" s="17" t="str">
        <f>'CR-TR_Interactions'!A9</f>
        <v>TR8</v>
      </c>
      <c r="B9" s="17" t="str">
        <f>Table2[[#This Row],[Requirement]]</f>
        <v>System reliability (uptime percentage)</v>
      </c>
      <c r="C9" s="22">
        <f>'CR-TR_Importance'!W9</f>
        <v>194.25</v>
      </c>
      <c r="D9" s="11" t="s">
        <v>314</v>
      </c>
      <c r="E9" t="s">
        <v>302</v>
      </c>
      <c r="F9" s="17" t="str">
        <f>Table2[[#This Row],[Units]]</f>
        <v>Percentage</v>
      </c>
      <c r="G9" t="s">
        <v>315</v>
      </c>
      <c r="H9" t="s">
        <v>41</v>
      </c>
    </row>
    <row r="10" spans="1:8" x14ac:dyDescent="0.25">
      <c r="A10" s="17" t="str">
        <f>'CR-TR_Interactions'!A10</f>
        <v>TR9</v>
      </c>
      <c r="B10" s="17" t="str">
        <f>Table2[[#This Row],[Requirement]]</f>
        <v>Physical force required to operate controls</v>
      </c>
      <c r="C10" s="22">
        <f>'CR-TR_Importance'!W10</f>
        <v>115.75</v>
      </c>
      <c r="D10" s="11" t="s">
        <v>312</v>
      </c>
      <c r="E10" t="s">
        <v>303</v>
      </c>
      <c r="F10" s="17" t="str">
        <f>Table2[[#This Row],[Units]]</f>
        <v>lbf</v>
      </c>
      <c r="G10" t="s">
        <v>316</v>
      </c>
      <c r="H10" t="s">
        <v>42</v>
      </c>
    </row>
    <row r="11" spans="1:8" x14ac:dyDescent="0.25">
      <c r="A11" s="17" t="str">
        <f>'CR-TR_Interactions'!A11</f>
        <v>TR10</v>
      </c>
      <c r="B11" s="17" t="str">
        <f>Table2[[#This Row],[Requirement]]</f>
        <v>Number of manual operations per watering cycle</v>
      </c>
      <c r="C11" s="22">
        <f>'CR-TR_Importance'!W11</f>
        <v>158</v>
      </c>
      <c r="D11" s="11" t="s">
        <v>317</v>
      </c>
      <c r="E11" t="s">
        <v>303</v>
      </c>
      <c r="F11" s="17" t="str">
        <f>Table2[[#This Row],[Units]]</f>
        <v>Count</v>
      </c>
      <c r="G11" t="s">
        <v>410</v>
      </c>
      <c r="H11" t="s">
        <v>41</v>
      </c>
    </row>
    <row r="12" spans="1:8" x14ac:dyDescent="0.25">
      <c r="A12" s="17" t="str">
        <f>'CR-TR_Interactions'!A12</f>
        <v>TR11</v>
      </c>
      <c r="B12" s="17" t="str">
        <f>Table2[[#This Row],[Requirement]]</f>
        <v>Total operator time per watering session</v>
      </c>
      <c r="C12" s="22">
        <f>'CR-TR_Importance'!W12</f>
        <v>141.75</v>
      </c>
      <c r="D12" s="11" t="s">
        <v>318</v>
      </c>
      <c r="E12" t="s">
        <v>303</v>
      </c>
      <c r="F12" s="17" t="str">
        <f>Table2[[#This Row],[Units]]</f>
        <v>Minutes</v>
      </c>
      <c r="G12" t="s">
        <v>411</v>
      </c>
      <c r="H12" t="s">
        <v>44</v>
      </c>
    </row>
    <row r="13" spans="1:8" x14ac:dyDescent="0.25">
      <c r="A13" s="17" t="str">
        <f>'CR-TR_Interactions'!A13</f>
        <v>TR12</v>
      </c>
      <c r="B13" s="17" t="str">
        <f>Table2[[#This Row],[Requirement]]</f>
        <v>Operator perceived exertion rating</v>
      </c>
      <c r="C13" s="22">
        <f>'CR-TR_Importance'!W13</f>
        <v>94.5</v>
      </c>
      <c r="D13" s="11" t="s">
        <v>319</v>
      </c>
      <c r="E13" t="s">
        <v>303</v>
      </c>
      <c r="F13" s="17" t="str">
        <f>Table2[[#This Row],[Units]]</f>
        <v>Borg RPE scale (6-20)</v>
      </c>
      <c r="G13" t="s">
        <v>320</v>
      </c>
      <c r="H13" t="s">
        <v>42</v>
      </c>
    </row>
    <row r="14" spans="1:8" x14ac:dyDescent="0.25">
      <c r="A14" s="17" t="str">
        <f>'CR-TR_Interactions'!A14</f>
        <v>TR13</v>
      </c>
      <c r="B14" s="17" t="str">
        <f>Table2[[#This Row],[Requirement]]</f>
        <v>Operating pressure at system output</v>
      </c>
      <c r="C14" s="22">
        <f>'CR-TR_Importance'!W14</f>
        <v>221</v>
      </c>
      <c r="D14" s="11">
        <v>40</v>
      </c>
      <c r="E14" t="s">
        <v>302</v>
      </c>
      <c r="F14" s="17" t="str">
        <f>Table2[[#This Row],[Units]]</f>
        <v>psi</v>
      </c>
      <c r="G14" t="s">
        <v>321</v>
      </c>
      <c r="H14" t="s">
        <v>41</v>
      </c>
    </row>
    <row r="15" spans="1:8" x14ac:dyDescent="0.25">
      <c r="A15" s="17" t="str">
        <f>'CR-TR_Interactions'!A15</f>
        <v>TR14</v>
      </c>
      <c r="B15" s="17" t="str">
        <f>Table2[[#This Row],[Requirement]]</f>
        <v>Pressure loss from tank to farthest point</v>
      </c>
      <c r="C15" s="22">
        <f>'CR-TR_Importance'!W15</f>
        <v>192</v>
      </c>
      <c r="D15" s="11" t="s">
        <v>312</v>
      </c>
      <c r="E15" t="s">
        <v>303</v>
      </c>
      <c r="F15" s="17" t="str">
        <f>Table2[[#This Row],[Units]]</f>
        <v>psi</v>
      </c>
      <c r="G15" t="s">
        <v>412</v>
      </c>
      <c r="H15" t="s">
        <v>41</v>
      </c>
    </row>
    <row r="16" spans="1:8" x14ac:dyDescent="0.25">
      <c r="A16" s="17" t="str">
        <f>'CR-TR_Interactions'!A16</f>
        <v>TR15</v>
      </c>
      <c r="B16" s="17" t="str">
        <f>Table2[[#This Row],[Requirement]]</f>
        <v>Minimum pressure required for optimal operation</v>
      </c>
      <c r="C16" s="22">
        <f>'CR-TR_Importance'!W16</f>
        <v>180.25</v>
      </c>
      <c r="D16" s="11">
        <v>30</v>
      </c>
      <c r="E16" t="s">
        <v>304</v>
      </c>
      <c r="F16" s="17" t="str">
        <f>Table2[[#This Row],[Units]]</f>
        <v>psi</v>
      </c>
      <c r="G16" t="s">
        <v>322</v>
      </c>
      <c r="H16" t="s">
        <v>41</v>
      </c>
    </row>
    <row r="17" spans="1:8" x14ac:dyDescent="0.25">
      <c r="A17" s="17" t="str">
        <f>'CR-TR_Interactions'!A17</f>
        <v>TR16</v>
      </c>
      <c r="B17" s="17" t="str">
        <f>Table2[[#This Row],[Requirement]]</f>
        <v>Pressure fluctuation during operation</v>
      </c>
      <c r="C17" s="22">
        <f>'CR-TR_Importance'!W17</f>
        <v>184</v>
      </c>
      <c r="D17" s="11" t="s">
        <v>323</v>
      </c>
      <c r="E17" t="s">
        <v>303</v>
      </c>
      <c r="F17" s="17" t="str">
        <f>Table2[[#This Row],[Units]]</f>
        <v>psi variance</v>
      </c>
      <c r="G17" t="s">
        <v>324</v>
      </c>
      <c r="H17" t="s">
        <v>41</v>
      </c>
    </row>
    <row r="18" spans="1:8" x14ac:dyDescent="0.25">
      <c r="A18" s="17" t="str">
        <f>'CR-TR_Interactions'!A18</f>
        <v>TR17</v>
      </c>
      <c r="B18" s="17" t="str">
        <f>Table2[[#This Row],[Requirement]]</f>
        <v>Flow rate achievable for drip irrigation</v>
      </c>
      <c r="C18" s="22">
        <f>'CR-TR_Importance'!W18</f>
        <v>132.75</v>
      </c>
      <c r="D18" s="11">
        <v>0.5</v>
      </c>
      <c r="E18" t="s">
        <v>302</v>
      </c>
      <c r="F18" s="17" t="str">
        <f>Table2[[#This Row],[Units]]</f>
        <v>GPH</v>
      </c>
      <c r="G18" t="s">
        <v>325</v>
      </c>
      <c r="H18" t="s">
        <v>41</v>
      </c>
    </row>
    <row r="19" spans="1:8" x14ac:dyDescent="0.25">
      <c r="A19" s="17" t="str">
        <f>'CR-TR_Interactions'!A19</f>
        <v>TR18</v>
      </c>
      <c r="B19" s="17" t="str">
        <f>Table2[[#This Row],[Requirement]]</f>
        <v>Flow rate achievable for sprinkler systems</v>
      </c>
      <c r="C19" s="22">
        <f>'CR-TR_Importance'!W19</f>
        <v>126.75</v>
      </c>
      <c r="D19" s="11">
        <v>2.5</v>
      </c>
      <c r="E19" t="s">
        <v>302</v>
      </c>
      <c r="F19" s="17" t="str">
        <f>Table2[[#This Row],[Units]]</f>
        <v>gpm</v>
      </c>
      <c r="G19" t="s">
        <v>326</v>
      </c>
      <c r="H19" t="s">
        <v>41</v>
      </c>
    </row>
    <row r="20" spans="1:8" x14ac:dyDescent="0.25">
      <c r="A20" s="17" t="str">
        <f>'CR-TR_Interactions'!A20</f>
        <v>TR19</v>
      </c>
      <c r="B20" s="17" t="str">
        <f>Table2[[#This Row],[Requirement]]</f>
        <v>Adjustability range of flow rates</v>
      </c>
      <c r="C20" s="22">
        <f>'CR-TR_Importance'!W20</f>
        <v>162</v>
      </c>
      <c r="D20" s="11" t="s">
        <v>327</v>
      </c>
      <c r="E20" t="s">
        <v>302</v>
      </c>
      <c r="F20" s="17" t="str">
        <f>Table2[[#This Row],[Units]]</f>
        <v>min to max gpm</v>
      </c>
      <c r="G20" t="s">
        <v>328</v>
      </c>
      <c r="H20" t="s">
        <v>41</v>
      </c>
    </row>
    <row r="21" spans="1:8" x14ac:dyDescent="0.25">
      <c r="A21" s="17" t="str">
        <f>'CR-TR_Interactions'!A21</f>
        <v>TR20</v>
      </c>
      <c r="B21" s="17" t="str">
        <f>Table2[[#This Row],[Requirement]]</f>
        <v>Flow rate consistency over time</v>
      </c>
      <c r="C21" s="22">
        <f>'CR-TR_Importance'!W21</f>
        <v>173</v>
      </c>
      <c r="D21" s="11" t="s">
        <v>329</v>
      </c>
      <c r="E21" t="s">
        <v>303</v>
      </c>
      <c r="F21" s="17" t="str">
        <f>Table2[[#This Row],[Units]]</f>
        <v>Standard deviation in gpm</v>
      </c>
      <c r="G21" t="s">
        <v>330</v>
      </c>
      <c r="H21" t="s">
        <v>41</v>
      </c>
    </row>
    <row r="22" spans="1:8" x14ac:dyDescent="0.25">
      <c r="A22" s="17" t="str">
        <f>'CR-TR_Interactions'!A22</f>
        <v>TR21</v>
      </c>
      <c r="B22" s="17" t="str">
        <f>Table2[[#This Row],[Requirement]]</f>
        <v>System efficiency at full tank level</v>
      </c>
      <c r="C22" s="22">
        <f>'CR-TR_Importance'!W22</f>
        <v>127.25</v>
      </c>
      <c r="D22" s="11" t="s">
        <v>331</v>
      </c>
      <c r="E22" t="s">
        <v>302</v>
      </c>
      <c r="F22" s="17" t="str">
        <f>Table2[[#This Row],[Units]]</f>
        <v>% efficiency</v>
      </c>
      <c r="G22" t="s">
        <v>332</v>
      </c>
      <c r="H22" t="s">
        <v>41</v>
      </c>
    </row>
    <row r="23" spans="1:8" x14ac:dyDescent="0.25">
      <c r="A23" s="17" t="str">
        <f>'CR-TR_Interactions'!A23</f>
        <v>TR22</v>
      </c>
      <c r="B23" s="17" t="str">
        <f>Table2[[#This Row],[Requirement]]</f>
        <v>System efficiency at half tank level</v>
      </c>
      <c r="C23" s="22">
        <f>'CR-TR_Importance'!W23</f>
        <v>127.25</v>
      </c>
      <c r="D23" s="11" t="s">
        <v>310</v>
      </c>
      <c r="E23" t="s">
        <v>302</v>
      </c>
      <c r="F23" s="17" t="str">
        <f>Table2[[#This Row],[Units]]</f>
        <v>% Efficiency</v>
      </c>
      <c r="G23" t="s">
        <v>330</v>
      </c>
      <c r="H23" t="s">
        <v>41</v>
      </c>
    </row>
    <row r="24" spans="1:8" x14ac:dyDescent="0.25">
      <c r="A24" s="17" t="str">
        <f>'CR-TR_Interactions'!A24</f>
        <v>TR23</v>
      </c>
      <c r="B24" s="17" t="str">
        <f>Table2[[#This Row],[Requirement]]</f>
        <v>Minimum operational water level required</v>
      </c>
      <c r="C24" s="22">
        <f>'CR-TR_Importance'!W24</f>
        <v>99.75</v>
      </c>
      <c r="D24" s="11">
        <v>10</v>
      </c>
      <c r="E24" t="s">
        <v>303</v>
      </c>
      <c r="F24" s="17" t="str">
        <f>Table2[[#This Row],[Units]]</f>
        <v>gallons</v>
      </c>
      <c r="G24" t="s">
        <v>333</v>
      </c>
      <c r="H24" t="s">
        <v>41</v>
      </c>
    </row>
    <row r="25" spans="1:8" x14ac:dyDescent="0.25">
      <c r="A25" s="17" t="str">
        <f>'CR-TR_Interactions'!A25</f>
        <v>TR24</v>
      </c>
      <c r="B25" s="17" t="str">
        <f>Table2[[#This Row],[Requirement]]</f>
        <v>Variation in flow rate across different tank levels</v>
      </c>
      <c r="C25" s="22">
        <f>'CR-TR_Importance'!W25</f>
        <v>160</v>
      </c>
      <c r="D25" s="11" t="s">
        <v>312</v>
      </c>
      <c r="E25" t="s">
        <v>303</v>
      </c>
      <c r="F25" s="17" t="str">
        <f>Table2[[#This Row],[Units]]</f>
        <v>Percentage variation</v>
      </c>
      <c r="G25" t="s">
        <v>334</v>
      </c>
      <c r="H25" t="s">
        <v>41</v>
      </c>
    </row>
    <row r="26" spans="1:8" x14ac:dyDescent="0.25">
      <c r="A26" s="17" t="str">
        <f>'CR-TR_Interactions'!A26</f>
        <v>TR25</v>
      </c>
      <c r="B26" s="17" t="str">
        <f>Table2[[#This Row],[Requirement]]</f>
        <v>Required training time for new users</v>
      </c>
      <c r="C26" s="22">
        <f>'CR-TR_Importance'!W26</f>
        <v>101</v>
      </c>
      <c r="D26" s="11" t="s">
        <v>323</v>
      </c>
      <c r="E26" t="s">
        <v>303</v>
      </c>
      <c r="F26" s="17" t="str">
        <f>Table2[[#This Row],[Units]]</f>
        <v>hours</v>
      </c>
      <c r="G26" t="s">
        <v>335</v>
      </c>
      <c r="H26" t="s">
        <v>42</v>
      </c>
    </row>
    <row r="27" spans="1:8" x14ac:dyDescent="0.25">
      <c r="A27" s="17" t="str">
        <f>'CR-TR_Interactions'!A27</f>
        <v>TR26</v>
      </c>
      <c r="B27" s="17" t="str">
        <f>Table2[[#This Row],[Requirement]]</f>
        <v>User error rate during operation</v>
      </c>
      <c r="C27" s="22">
        <f>'CR-TR_Importance'!W27</f>
        <v>176.5</v>
      </c>
      <c r="D27" s="11" t="s">
        <v>336</v>
      </c>
      <c r="E27" t="s">
        <v>303</v>
      </c>
      <c r="F27" s="17" t="str">
        <f>Table2[[#This Row],[Units]]</f>
        <v>error/100 ops</v>
      </c>
      <c r="G27" t="s">
        <v>337</v>
      </c>
      <c r="H27" t="s">
        <v>42</v>
      </c>
    </row>
    <row r="28" spans="1:8" x14ac:dyDescent="0.25">
      <c r="A28" s="17" t="str">
        <f>'CR-TR_Interactions'!A28</f>
        <v>TR27</v>
      </c>
      <c r="B28" s="17" t="str">
        <f>Table2[[#This Row],[Requirement]]</f>
        <v>User satisfaction rating on ease of use</v>
      </c>
      <c r="C28" s="22">
        <f>'CR-TR_Importance'!W28</f>
        <v>86.25</v>
      </c>
      <c r="D28" s="11" t="s">
        <v>338</v>
      </c>
      <c r="E28" t="s">
        <v>302</v>
      </c>
      <c r="F28" s="17" t="str">
        <f>Table2[[#This Row],[Units]]</f>
        <v>likert scale</v>
      </c>
      <c r="G28" t="s">
        <v>339</v>
      </c>
      <c r="H28" t="s">
        <v>42</v>
      </c>
    </row>
    <row r="29" spans="1:8" x14ac:dyDescent="0.25">
      <c r="A29" s="17" t="str">
        <f>'CR-TR_Interactions'!A29</f>
        <v>TR28</v>
      </c>
      <c r="B29" s="17" t="str">
        <f>Table2[[#This Row],[Requirement]]</f>
        <v>Number of steps to complete basic operation</v>
      </c>
      <c r="C29" s="22">
        <f>'CR-TR_Importance'!W29</f>
        <v>131.5</v>
      </c>
      <c r="D29" s="11" t="s">
        <v>340</v>
      </c>
      <c r="E29" t="s">
        <v>303</v>
      </c>
      <c r="F29" s="17" t="str">
        <f>Table2[[#This Row],[Units]]</f>
        <v>Count</v>
      </c>
      <c r="G29" t="s">
        <v>341</v>
      </c>
      <c r="H29" t="s">
        <v>42</v>
      </c>
    </row>
    <row r="30" spans="1:8" x14ac:dyDescent="0.25">
      <c r="A30" s="17" t="str">
        <f>'CR-TR_Interactions'!A30</f>
        <v>TR29</v>
      </c>
      <c r="B30" s="17" t="str">
        <f>Table2[[#This Row],[Requirement]]</f>
        <v>Number of control interfaces</v>
      </c>
      <c r="C30" s="22">
        <f>'CR-TR_Importance'!W30</f>
        <v>63.5</v>
      </c>
      <c r="D30" s="11" t="s">
        <v>323</v>
      </c>
      <c r="E30" t="s">
        <v>303</v>
      </c>
      <c r="F30" s="17" t="str">
        <f>Table2[[#This Row],[Units]]</f>
        <v>count</v>
      </c>
      <c r="G30" t="s">
        <v>342</v>
      </c>
      <c r="H30" t="s">
        <v>42</v>
      </c>
    </row>
    <row r="31" spans="1:8" x14ac:dyDescent="0.25">
      <c r="A31" s="17" t="str">
        <f>'CR-TR_Interactions'!A31</f>
        <v>TR30</v>
      </c>
      <c r="B31" s="17" t="str">
        <f>Table2[[#This Row],[Requirement]]</f>
        <v>Average time to start or stop the system</v>
      </c>
      <c r="C31" s="22">
        <f>'CR-TR_Importance'!W31</f>
        <v>86.25</v>
      </c>
      <c r="D31" s="11" t="s">
        <v>343</v>
      </c>
      <c r="E31" t="s">
        <v>303</v>
      </c>
      <c r="F31" s="17" t="str">
        <f>Table2[[#This Row],[Units]]</f>
        <v>seconds</v>
      </c>
      <c r="G31" t="s">
        <v>344</v>
      </c>
      <c r="H31" t="s">
        <v>41</v>
      </c>
    </row>
    <row r="32" spans="1:8" x14ac:dyDescent="0.25">
      <c r="A32" s="17" t="str">
        <f>'CR-TR_Interactions'!A32</f>
        <v>TR31</v>
      </c>
      <c r="B32" s="17" t="str">
        <f>Table2[[#This Row],[Requirement]]</f>
        <v>Clarity of control labeling</v>
      </c>
      <c r="C32" s="22">
        <f>'CR-TR_Importance'!W32</f>
        <v>146.75</v>
      </c>
      <c r="D32" s="11" t="s">
        <v>338</v>
      </c>
      <c r="E32" t="s">
        <v>302</v>
      </c>
      <c r="F32" s="17" t="str">
        <f>Table2[[#This Row],[Units]]</f>
        <v>likert scale</v>
      </c>
      <c r="G32" t="s">
        <v>413</v>
      </c>
      <c r="H32" t="s">
        <v>42</v>
      </c>
    </row>
    <row r="33" spans="1:8" x14ac:dyDescent="0.25">
      <c r="A33" s="17" t="str">
        <f>'CR-TR_Interactions'!A33</f>
        <v>TR32</v>
      </c>
      <c r="B33" s="17" t="str">
        <f>Table2[[#This Row],[Requirement]]</f>
        <v>Accessibility compliance (e.g., ADA standards)</v>
      </c>
      <c r="C33" s="22">
        <f>'CR-TR_Importance'!W33</f>
        <v>66.5</v>
      </c>
      <c r="D33" s="11" t="s">
        <v>345</v>
      </c>
      <c r="E33" t="s">
        <v>302</v>
      </c>
      <c r="F33" s="17" t="str">
        <f>Table2[[#This Row],[Units]]</f>
        <v>Yes/No</v>
      </c>
      <c r="G33" t="s">
        <v>346</v>
      </c>
      <c r="H33" t="s">
        <v>42</v>
      </c>
    </row>
    <row r="34" spans="1:8" x14ac:dyDescent="0.25">
      <c r="A34" s="17" t="str">
        <f>'CR-TR_Interactions'!A34</f>
        <v>TR33</v>
      </c>
      <c r="B34" s="17" t="str">
        <f>Table2[[#This Row],[Requirement]]</f>
        <v>Length of instruction manual</v>
      </c>
      <c r="C34" s="22">
        <f>'CR-TR_Importance'!W34</f>
        <v>54.75</v>
      </c>
      <c r="D34" s="11" t="s">
        <v>318</v>
      </c>
      <c r="E34" t="s">
        <v>303</v>
      </c>
      <c r="F34" s="17" t="str">
        <f>Table2[[#This Row],[Units]]</f>
        <v>pages</v>
      </c>
      <c r="G34" t="s">
        <v>347</v>
      </c>
      <c r="H34" t="s">
        <v>43</v>
      </c>
    </row>
    <row r="35" spans="1:8" x14ac:dyDescent="0.25">
      <c r="A35" s="17" t="str">
        <f>'CR-TR_Interactions'!A35</f>
        <v>TR34</v>
      </c>
      <c r="B35" s="17" t="str">
        <f>Table2[[#This Row],[Requirement]]</f>
        <v>Reading level required to understand instructions</v>
      </c>
      <c r="C35" s="22">
        <f>'CR-TR_Importance'!W35</f>
        <v>80</v>
      </c>
      <c r="D35" s="11" t="s">
        <v>348</v>
      </c>
      <c r="E35" t="s">
        <v>304</v>
      </c>
      <c r="F35" s="17" t="str">
        <f>Table2[[#This Row],[Units]]</f>
        <v>grade level</v>
      </c>
      <c r="G35" t="s">
        <v>414</v>
      </c>
      <c r="H35" t="s">
        <v>43</v>
      </c>
    </row>
    <row r="36" spans="1:8" x14ac:dyDescent="0.25">
      <c r="A36" s="17" t="str">
        <f>'CR-TR_Interactions'!A36</f>
        <v>TR35</v>
      </c>
      <c r="B36" s="17" t="str">
        <f>Table2[[#This Row],[Requirement]]</f>
        <v>Number of operational steps for basic use</v>
      </c>
      <c r="C36" s="22">
        <f>'CR-TR_Importance'!W36</f>
        <v>131.5</v>
      </c>
      <c r="D36" s="11" t="s">
        <v>340</v>
      </c>
      <c r="E36" t="s">
        <v>303</v>
      </c>
      <c r="F36" s="17" t="str">
        <f>Table2[[#This Row],[Units]]</f>
        <v>count</v>
      </c>
      <c r="G36" t="s">
        <v>339</v>
      </c>
      <c r="H36" t="s">
        <v>42</v>
      </c>
    </row>
    <row r="37" spans="1:8" x14ac:dyDescent="0.25">
      <c r="A37" s="17" t="str">
        <f>'CR-TR_Interactions'!A37</f>
        <v>TR36</v>
      </c>
      <c r="B37" s="17" t="str">
        <f>Table2[[#This Row],[Requirement]]</f>
        <v>User comprehension rate after first read</v>
      </c>
      <c r="C37" s="22">
        <f>'CR-TR_Importance'!W37</f>
        <v>109.25</v>
      </c>
      <c r="D37" s="11" t="s">
        <v>331</v>
      </c>
      <c r="E37" t="s">
        <v>302</v>
      </c>
      <c r="F37" s="17" t="str">
        <f>Table2[[#This Row],[Units]]</f>
        <v>Percentage</v>
      </c>
      <c r="G37" t="s">
        <v>349</v>
      </c>
      <c r="H37" t="s">
        <v>42</v>
      </c>
    </row>
    <row r="38" spans="1:8" x14ac:dyDescent="0.25">
      <c r="A38" s="17" t="str">
        <f>'CR-TR_Interactions'!A38</f>
        <v>TR37</v>
      </c>
      <c r="B38" s="17" t="str">
        <f>Table2[[#This Row],[Requirement]]</f>
        <v>Scheduled maintenance frequency</v>
      </c>
      <c r="C38" s="22">
        <f>'CR-TR_Importance'!W38</f>
        <v>178.75</v>
      </c>
      <c r="D38" s="11" t="s">
        <v>323</v>
      </c>
      <c r="E38" t="s">
        <v>303</v>
      </c>
      <c r="F38" s="17" t="str">
        <f>Table2[[#This Row],[Units]]</f>
        <v># per year</v>
      </c>
      <c r="G38" t="s">
        <v>350</v>
      </c>
      <c r="H38" t="s">
        <v>43</v>
      </c>
    </row>
    <row r="39" spans="1:8" x14ac:dyDescent="0.25">
      <c r="A39" s="17" t="str">
        <f>'CR-TR_Interactions'!A39</f>
        <v>TR38</v>
      </c>
      <c r="B39" s="17" t="str">
        <f>Table2[[#This Row],[Requirement]]</f>
        <v>Mean time between failures (MTBF)</v>
      </c>
      <c r="C39" s="22">
        <f>'CR-TR_Importance'!W39</f>
        <v>230.75</v>
      </c>
      <c r="D39" s="11" t="s">
        <v>351</v>
      </c>
      <c r="E39" t="s">
        <v>302</v>
      </c>
      <c r="F39" s="17" t="str">
        <f>Table2[[#This Row],[Units]]</f>
        <v>hours or months</v>
      </c>
      <c r="G39" t="s">
        <v>352</v>
      </c>
      <c r="H39" t="s">
        <v>43</v>
      </c>
    </row>
    <row r="40" spans="1:8" x14ac:dyDescent="0.25">
      <c r="A40" s="17" t="str">
        <f>'CR-TR_Interactions'!A40</f>
        <v>TR39</v>
      </c>
      <c r="B40" s="17" t="str">
        <f>Table2[[#This Row],[Requirement]]</f>
        <v>Average maintenance duration per session</v>
      </c>
      <c r="C40" s="22">
        <f>'CR-TR_Importance'!W40</f>
        <v>136.75</v>
      </c>
      <c r="D40" s="11" t="s">
        <v>329</v>
      </c>
      <c r="E40" t="s">
        <v>303</v>
      </c>
      <c r="F40" s="17" t="str">
        <f>Table2[[#This Row],[Units]]</f>
        <v>Hours</v>
      </c>
      <c r="G40" t="s">
        <v>353</v>
      </c>
      <c r="H40" t="s">
        <v>43</v>
      </c>
    </row>
    <row r="41" spans="1:8" x14ac:dyDescent="0.25">
      <c r="A41" s="17" t="str">
        <f>'CR-TR_Interactions'!A41</f>
        <v>TR40</v>
      </c>
      <c r="B41" s="17" t="str">
        <f>Table2[[#This Row],[Requirement]]</f>
        <v>Maintenance cost per year</v>
      </c>
      <c r="C41" s="22">
        <f>'CR-TR_Importance'!W41</f>
        <v>155.5</v>
      </c>
      <c r="D41" s="11" t="s">
        <v>354</v>
      </c>
      <c r="E41" t="s">
        <v>303</v>
      </c>
      <c r="F41" s="17" t="str">
        <f>Table2[[#This Row],[Units]]</f>
        <v>Dollars</v>
      </c>
      <c r="G41" t="s">
        <v>355</v>
      </c>
      <c r="H41" t="s">
        <v>43</v>
      </c>
    </row>
    <row r="42" spans="1:8" x14ac:dyDescent="0.25">
      <c r="A42" s="17" t="str">
        <f>'CR-TR_Interactions'!A42</f>
        <v>TR41</v>
      </c>
      <c r="B42" s="17" t="str">
        <f>Table2[[#This Row],[Requirement]]</f>
        <v>Expected lifespan of components</v>
      </c>
      <c r="C42" s="22">
        <f>'CR-TR_Importance'!W42</f>
        <v>185.5</v>
      </c>
      <c r="D42" s="11" t="s">
        <v>356</v>
      </c>
      <c r="E42" t="s">
        <v>302</v>
      </c>
      <c r="F42" s="17" t="str">
        <f>Table2[[#This Row],[Units]]</f>
        <v>years</v>
      </c>
      <c r="G42" t="s">
        <v>357</v>
      </c>
      <c r="H42" t="s">
        <v>41</v>
      </c>
    </row>
    <row r="43" spans="1:8" x14ac:dyDescent="0.25">
      <c r="A43" s="17" t="str">
        <f>'CR-TR_Interactions'!A43</f>
        <v>TR42</v>
      </c>
      <c r="B43" s="17" t="str">
        <f>Table2[[#This Row],[Requirement]]</f>
        <v>Material wear rate under standard conditions</v>
      </c>
      <c r="C43" s="22">
        <f>'CR-TR_Importance'!W43</f>
        <v>156.5</v>
      </c>
      <c r="D43" s="11" t="s">
        <v>329</v>
      </c>
      <c r="E43" t="s">
        <v>303</v>
      </c>
      <c r="F43" s="17" t="str">
        <f>Table2[[#This Row],[Units]]</f>
        <v>% wear per yr</v>
      </c>
      <c r="G43" t="s">
        <v>415</v>
      </c>
      <c r="H43" t="s">
        <v>41</v>
      </c>
    </row>
    <row r="44" spans="1:8" x14ac:dyDescent="0.25">
      <c r="A44" s="17" t="str">
        <f>'CR-TR_Interactions'!A44</f>
        <v>TR43</v>
      </c>
      <c r="B44" s="17" t="str">
        <f>Table2[[#This Row],[Requirement]]</f>
        <v># of components needing replacement per yr</v>
      </c>
      <c r="C44" s="22">
        <f>'CR-TR_Importance'!W44</f>
        <v>198.25</v>
      </c>
      <c r="D44" s="11" t="s">
        <v>329</v>
      </c>
      <c r="E44" t="s">
        <v>303</v>
      </c>
      <c r="F44" s="17" t="str">
        <f>Table2[[#This Row],[Units]]</f>
        <v>Count</v>
      </c>
      <c r="G44" t="s">
        <v>358</v>
      </c>
      <c r="H44" t="s">
        <v>44</v>
      </c>
    </row>
    <row r="45" spans="1:8" x14ac:dyDescent="0.25">
      <c r="A45" s="17" t="str">
        <f>'CR-TR_Interactions'!A45</f>
        <v>TR44</v>
      </c>
      <c r="B45" s="17" t="str">
        <f>Table2[[#This Row],[Requirement]]</f>
        <v>component warranty period</v>
      </c>
      <c r="C45" s="22">
        <f>'CR-TR_Importance'!W45</f>
        <v>99.75</v>
      </c>
      <c r="D45" s="11" t="s">
        <v>359</v>
      </c>
      <c r="E45" t="s">
        <v>302</v>
      </c>
      <c r="F45" s="17" t="str">
        <f>Table2[[#This Row],[Units]]</f>
        <v>Years</v>
      </c>
      <c r="G45" t="s">
        <v>360</v>
      </c>
      <c r="H45" t="s">
        <v>44</v>
      </c>
    </row>
    <row r="46" spans="1:8" x14ac:dyDescent="0.25">
      <c r="A46" s="17" t="str">
        <f>'CR-TR_Interactions'!A46</f>
        <v>TR45</v>
      </c>
      <c r="B46" s="17" t="str">
        <f>Table2[[#This Row],[Requirement]]</f>
        <v>Time to diagnose a common issue</v>
      </c>
      <c r="C46" s="22">
        <f>'CR-TR_Importance'!W46</f>
        <v>175</v>
      </c>
      <c r="D46" s="11" t="s">
        <v>361</v>
      </c>
      <c r="E46" t="s">
        <v>303</v>
      </c>
      <c r="F46" s="17" t="str">
        <f>Table2[[#This Row],[Units]]</f>
        <v>minutes</v>
      </c>
      <c r="G46" t="s">
        <v>416</v>
      </c>
      <c r="H46" t="s">
        <v>43</v>
      </c>
    </row>
    <row r="47" spans="1:8" x14ac:dyDescent="0.25">
      <c r="A47" s="17" t="str">
        <f>'CR-TR_Interactions'!A47</f>
        <v>TR46</v>
      </c>
      <c r="B47" s="17" t="str">
        <f>Table2[[#This Row],[Requirement]]</f>
        <v>Availability of troubleshooting guide</v>
      </c>
      <c r="C47" s="22">
        <f>'CR-TR_Importance'!W47</f>
        <v>172.25</v>
      </c>
      <c r="D47" s="11" t="s">
        <v>345</v>
      </c>
      <c r="E47" t="s">
        <v>302</v>
      </c>
      <c r="F47" s="17" t="str">
        <f>Table2[[#This Row],[Units]]</f>
        <v>yes/no</v>
      </c>
      <c r="G47" t="s">
        <v>417</v>
      </c>
      <c r="H47" t="s">
        <v>43</v>
      </c>
    </row>
    <row r="48" spans="1:8" x14ac:dyDescent="0.25">
      <c r="A48" s="17" t="str">
        <f>'CR-TR_Interactions'!A48</f>
        <v>TR47</v>
      </c>
      <c r="B48" s="17" t="str">
        <f>Table2[[#This Row],[Requirement]]</f>
        <v>User success rate in resolving issues independently</v>
      </c>
      <c r="C48" s="22">
        <f>'CR-TR_Importance'!W48</f>
        <v>217.75</v>
      </c>
      <c r="D48" s="11" t="s">
        <v>362</v>
      </c>
      <c r="E48" t="s">
        <v>302</v>
      </c>
      <c r="F48" s="17" t="str">
        <f>Table2[[#This Row],[Units]]</f>
        <v>Percentage</v>
      </c>
      <c r="G48" t="s">
        <v>418</v>
      </c>
      <c r="H48" t="s">
        <v>42</v>
      </c>
    </row>
    <row r="49" spans="1:8" x14ac:dyDescent="0.25">
      <c r="A49" s="17" t="str">
        <f>'CR-TR_Interactions'!A49</f>
        <v>TR48</v>
      </c>
      <c r="B49" s="17" t="str">
        <f>Table2[[#This Row],[Requirement]]</f>
        <v>Number of common issues covered in manual</v>
      </c>
      <c r="C49" s="22">
        <f>'CR-TR_Importance'!W49</f>
        <v>169.25</v>
      </c>
      <c r="D49" s="11" t="s">
        <v>356</v>
      </c>
      <c r="E49" t="s">
        <v>302</v>
      </c>
      <c r="F49" s="17" t="str">
        <f>Table2[[#This Row],[Units]]</f>
        <v>Count</v>
      </c>
      <c r="G49" t="s">
        <v>419</v>
      </c>
      <c r="H49" t="s">
        <v>43</v>
      </c>
    </row>
    <row r="50" spans="1:8" x14ac:dyDescent="0.25">
      <c r="A50" s="17" t="str">
        <f>'CR-TR_Interactions'!A50</f>
        <v>TR49</v>
      </c>
      <c r="B50" s="17" t="str">
        <f>Table2[[#This Row],[Requirement]]</f>
        <v>Carbon footprint during operation</v>
      </c>
      <c r="C50" s="22">
        <f>'CR-TR_Importance'!W50</f>
        <v>85.5</v>
      </c>
      <c r="D50" s="11" t="s">
        <v>363</v>
      </c>
      <c r="E50" t="s">
        <v>303</v>
      </c>
      <c r="F50" s="17" t="str">
        <f>Table2[[#This Row],[Units]]</f>
        <v>CO₂/yr</v>
      </c>
      <c r="G50" t="s">
        <v>364</v>
      </c>
      <c r="H50" t="s">
        <v>41</v>
      </c>
    </row>
    <row r="51" spans="1:8" x14ac:dyDescent="0.25">
      <c r="A51" s="17" t="str">
        <f>'CR-TR_Interactions'!A51</f>
        <v>TR50</v>
      </c>
      <c r="B51" s="17" t="str">
        <f>Table2[[#This Row],[Requirement]]</f>
        <v>Percentage of recyclable materials used</v>
      </c>
      <c r="C51" s="22">
        <f>'CR-TR_Importance'!W51</f>
        <v>78.75</v>
      </c>
      <c r="D51" s="11" t="s">
        <v>365</v>
      </c>
      <c r="E51" t="s">
        <v>302</v>
      </c>
      <c r="F51" s="17" t="str">
        <f>Table2[[#This Row],[Units]]</f>
        <v>Percentage</v>
      </c>
      <c r="G51" t="s">
        <v>366</v>
      </c>
      <c r="H51" t="s">
        <v>41</v>
      </c>
    </row>
    <row r="52" spans="1:8" x14ac:dyDescent="0.25">
      <c r="A52" s="17" t="str">
        <f>'CR-TR_Interactions'!A52</f>
        <v>TR51</v>
      </c>
      <c r="B52" s="17" t="str">
        <f>Table2[[#This Row],[Requirement]]</f>
        <v>Energy consumption per year</v>
      </c>
      <c r="C52" s="22">
        <f>'CR-TR_Importance'!W52</f>
        <v>145.75</v>
      </c>
      <c r="D52" s="11" t="s">
        <v>367</v>
      </c>
      <c r="E52" t="s">
        <v>303</v>
      </c>
      <c r="F52" s="17" t="str">
        <f>Table2[[#This Row],[Units]]</f>
        <v>kWh</v>
      </c>
      <c r="G52" t="s">
        <v>420</v>
      </c>
      <c r="H52" t="s">
        <v>44</v>
      </c>
    </row>
    <row r="53" spans="1:8" x14ac:dyDescent="0.25">
      <c r="A53" s="17" t="str">
        <f>'CR-TR_Interactions'!A53</f>
        <v>TR52</v>
      </c>
      <c r="B53" s="17" t="str">
        <f>Table2[[#This Row],[Requirement]]</f>
        <v>Compliance with environmental standards (LEED)</v>
      </c>
      <c r="C53" s="22">
        <f>'CR-TR_Importance'!W53</f>
        <v>85.5</v>
      </c>
      <c r="D53" s="11" t="s">
        <v>345</v>
      </c>
      <c r="E53" t="s">
        <v>302</v>
      </c>
      <c r="F53" s="17" t="str">
        <f>Table2[[#This Row],[Units]]</f>
        <v>Yes/No</v>
      </c>
      <c r="G53" t="s">
        <v>368</v>
      </c>
      <c r="H53" t="s">
        <v>44</v>
      </c>
    </row>
    <row r="54" spans="1:8" x14ac:dyDescent="0.25">
      <c r="A54" s="17" t="str">
        <f>'CR-TR_Interactions'!A54</f>
        <v>TR53</v>
      </c>
      <c r="B54" s="17" t="str">
        <f>Table2[[#This Row],[Requirement]]</f>
        <v>Compatibility with existing rainwater tanks</v>
      </c>
      <c r="C54" s="22">
        <f>'CR-TR_Importance'!W54</f>
        <v>85.25</v>
      </c>
      <c r="D54" s="11" t="s">
        <v>345</v>
      </c>
      <c r="E54" t="s">
        <v>302</v>
      </c>
      <c r="F54" s="17" t="str">
        <f>Table2[[#This Row],[Units]]</f>
        <v>Yes/No</v>
      </c>
      <c r="G54" t="s">
        <v>369</v>
      </c>
      <c r="H54" t="s">
        <v>41</v>
      </c>
    </row>
    <row r="55" spans="1:8" x14ac:dyDescent="0.25">
      <c r="A55" s="17" t="str">
        <f>'CR-TR_Interactions'!A55</f>
        <v>TR54</v>
      </c>
      <c r="B55" s="17" t="str">
        <f>Table2[[#This Row],[Requirement]]</f>
        <v>Adaptability to different rainwater sources</v>
      </c>
      <c r="C55" s="22">
        <f>'CR-TR_Importance'!W55</f>
        <v>77.25</v>
      </c>
      <c r="D55" s="11" t="s">
        <v>370</v>
      </c>
      <c r="E55" t="s">
        <v>302</v>
      </c>
      <c r="F55" s="17" t="str">
        <f>Table2[[#This Row],[Units]]</f>
        <v># of compatible source</v>
      </c>
      <c r="G55" t="s">
        <v>421</v>
      </c>
      <c r="H55" t="s">
        <v>44</v>
      </c>
    </row>
    <row r="56" spans="1:8" x14ac:dyDescent="0.25">
      <c r="A56" s="17" t="str">
        <f>'CR-TR_Interactions'!A56</f>
        <v>TR55</v>
      </c>
      <c r="B56" s="17" t="str">
        <f>Table2[[#This Row],[Requirement]]</f>
        <v>Percentage of water supplied from roof-water</v>
      </c>
      <c r="C56" s="22">
        <f>'CR-TR_Importance'!W56</f>
        <v>100.25</v>
      </c>
      <c r="D56" s="11" t="s">
        <v>371</v>
      </c>
      <c r="E56" t="s">
        <v>302</v>
      </c>
      <c r="F56" s="17" t="str">
        <f>Table2[[#This Row],[Units]]</f>
        <v>Percentage</v>
      </c>
      <c r="G56" t="s">
        <v>422</v>
      </c>
      <c r="H56" t="s">
        <v>41</v>
      </c>
    </row>
    <row r="57" spans="1:8" x14ac:dyDescent="0.25">
      <c r="A57" s="17" t="str">
        <f>'CR-TR_Interactions'!A57</f>
        <v>TR56</v>
      </c>
      <c r="B57" s="17" t="str">
        <f>Table2[[#This Row],[Requirement]]</f>
        <v>Ease of integration with harvesting systems</v>
      </c>
      <c r="C57" s="22">
        <f>'CR-TR_Importance'!W57</f>
        <v>104.25</v>
      </c>
      <c r="D57" s="11" t="s">
        <v>338</v>
      </c>
      <c r="E57" t="s">
        <v>302</v>
      </c>
      <c r="F57" s="17" t="str">
        <f>Table2[[#This Row],[Units]]</f>
        <v>Likert Scale</v>
      </c>
      <c r="G57" t="s">
        <v>372</v>
      </c>
      <c r="H57" t="s">
        <v>44</v>
      </c>
    </row>
    <row r="58" spans="1:8" x14ac:dyDescent="0.25">
      <c r="A58" s="17" t="str">
        <f>'CR-TR_Interactions'!A58</f>
        <v>TR57</v>
      </c>
      <c r="B58" s="17" t="str">
        <f>Table2[[#This Row],[Requirement]]</f>
        <v>Operating noise level at 1-meter distance</v>
      </c>
      <c r="C58" s="22">
        <f>'CR-TR_Importance'!W58</f>
        <v>66.5</v>
      </c>
      <c r="D58" s="11" t="s">
        <v>373</v>
      </c>
      <c r="E58" t="s">
        <v>303</v>
      </c>
      <c r="F58" s="17" t="str">
        <f>Table2[[#This Row],[Units]]</f>
        <v>Decibels</v>
      </c>
      <c r="G58" t="s">
        <v>374</v>
      </c>
      <c r="H58" t="s">
        <v>41</v>
      </c>
    </row>
    <row r="59" spans="1:8" x14ac:dyDescent="0.25">
      <c r="A59" s="17" t="str">
        <f>'CR-TR_Interactions'!A59</f>
        <v>TR58</v>
      </c>
      <c r="B59" s="17" t="str">
        <f>Table2[[#This Row],[Requirement]]</f>
        <v>Noise level compared to acceptable standards</v>
      </c>
      <c r="C59" s="22">
        <f>'CR-TR_Importance'!W59</f>
        <v>66.5</v>
      </c>
      <c r="D59" s="11">
        <v>0</v>
      </c>
      <c r="E59" t="s">
        <v>304</v>
      </c>
      <c r="F59" s="17" t="str">
        <f>Table2[[#This Row],[Units]]</f>
        <v>Decibels Difference</v>
      </c>
      <c r="G59" t="s">
        <v>375</v>
      </c>
      <c r="H59" t="s">
        <v>41</v>
      </c>
    </row>
    <row r="60" spans="1:8" x14ac:dyDescent="0.25">
      <c r="A60" s="17" t="str">
        <f>'CR-TR_Interactions'!A60</f>
        <v>TR59</v>
      </c>
      <c r="B60" s="17" t="str">
        <f>Table2[[#This Row],[Requirement]]</f>
        <v>User annoyance rating due to noise</v>
      </c>
      <c r="C60" s="22">
        <f>'CR-TR_Importance'!W60</f>
        <v>61</v>
      </c>
      <c r="D60" s="11" t="s">
        <v>323</v>
      </c>
      <c r="E60" t="s">
        <v>303</v>
      </c>
      <c r="F60" s="17" t="str">
        <f>Table2[[#This Row],[Units]]</f>
        <v>Likert scale</v>
      </c>
      <c r="G60" t="s">
        <v>376</v>
      </c>
      <c r="H60" t="s">
        <v>41</v>
      </c>
    </row>
    <row r="61" spans="1:8" x14ac:dyDescent="0.25">
      <c r="A61" s="17" t="str">
        <f>'CR-TR_Interactions'!A61</f>
        <v>TR60</v>
      </c>
      <c r="B61" s="17" t="str">
        <f>Table2[[#This Row],[Requirement]]</f>
        <v>Time during which noise exceeds thresholds</v>
      </c>
      <c r="C61" s="22">
        <f>'CR-TR_Importance'!W61</f>
        <v>66.5</v>
      </c>
      <c r="D61" s="11">
        <v>0</v>
      </c>
      <c r="E61" t="s">
        <v>303</v>
      </c>
      <c r="F61" s="17" t="str">
        <f>Table2[[#This Row],[Units]]</f>
        <v>Min per day</v>
      </c>
      <c r="G61" t="s">
        <v>374</v>
      </c>
      <c r="H61" t="s">
        <v>41</v>
      </c>
    </row>
    <row r="62" spans="1:8" x14ac:dyDescent="0.25">
      <c r="A62" s="17" t="str">
        <f>'CR-TR_Interactions'!A62</f>
        <v>TR61</v>
      </c>
      <c r="B62" s="17" t="str">
        <f>Table2[[#This Row],[Requirement]]</f>
        <v>Total initial cost</v>
      </c>
      <c r="C62" s="22">
        <f>'CR-TR_Importance'!W62</f>
        <v>67</v>
      </c>
      <c r="D62" s="11" t="s">
        <v>377</v>
      </c>
      <c r="E62" t="s">
        <v>303</v>
      </c>
      <c r="F62" s="17" t="str">
        <f>Table2[[#This Row],[Units]]</f>
        <v>Dollars</v>
      </c>
      <c r="G62" t="s">
        <v>378</v>
      </c>
      <c r="H62" t="s">
        <v>44</v>
      </c>
    </row>
    <row r="63" spans="1:8" x14ac:dyDescent="0.25">
      <c r="A63" s="17" t="str">
        <f>'CR-TR_Interactions'!A63</f>
        <v>TR62</v>
      </c>
      <c r="B63" s="17" t="str">
        <f>Table2[[#This Row],[Requirement]]</f>
        <v>Percentage of budget utilized</v>
      </c>
      <c r="C63" s="22">
        <f>'CR-TR_Importance'!W63</f>
        <v>67</v>
      </c>
      <c r="D63" s="11" t="s">
        <v>379</v>
      </c>
      <c r="E63" t="s">
        <v>303</v>
      </c>
      <c r="F63" s="17" t="str">
        <f>Table2[[#This Row],[Units]]</f>
        <v>Percentage</v>
      </c>
      <c r="G63" t="s">
        <v>380</v>
      </c>
      <c r="H63" t="s">
        <v>44</v>
      </c>
    </row>
    <row r="64" spans="1:8" x14ac:dyDescent="0.25">
      <c r="A64" s="17" t="str">
        <f>'CR-TR_Interactions'!A64</f>
        <v>TR63</v>
      </c>
      <c r="B64" s="17" t="str">
        <f>Table2[[#This Row],[Requirement]]</f>
        <v>Cost savings compared to alternative solutions</v>
      </c>
      <c r="C64" s="22">
        <f>'CR-TR_Importance'!W64</f>
        <v>100.75</v>
      </c>
      <c r="D64" s="11" t="s">
        <v>381</v>
      </c>
      <c r="E64" t="s">
        <v>302</v>
      </c>
      <c r="F64" s="17" t="str">
        <f>Table2[[#This Row],[Units]]</f>
        <v>Dollars</v>
      </c>
      <c r="G64" t="s">
        <v>382</v>
      </c>
      <c r="H64" t="s">
        <v>44</v>
      </c>
    </row>
    <row r="65" spans="1:8" x14ac:dyDescent="0.25">
      <c r="A65" s="17" t="str">
        <f>'CR-TR_Interactions'!A65</f>
        <v>TR64</v>
      </c>
      <c r="B65" s="17" t="str">
        <f>Table2[[#This Row],[Requirement]]</f>
        <v>Return on investment period</v>
      </c>
      <c r="C65" s="22">
        <f>'CR-TR_Importance'!W65</f>
        <v>78.25</v>
      </c>
      <c r="D65" s="11" t="s">
        <v>312</v>
      </c>
      <c r="E65" t="s">
        <v>302</v>
      </c>
      <c r="F65" s="17" t="str">
        <f>Table2[[#This Row],[Units]]</f>
        <v>Years</v>
      </c>
      <c r="G65" t="s">
        <v>383</v>
      </c>
      <c r="H65" t="s">
        <v>44</v>
      </c>
    </row>
    <row r="66" spans="1:8" x14ac:dyDescent="0.25">
      <c r="A66" s="17" t="str">
        <f>'CR-TR_Interactions'!A66</f>
        <v>TR65</v>
      </c>
      <c r="B66" s="17" t="str">
        <f>Table2[[#This Row],[Requirement]]</f>
        <v>Annual operational cost</v>
      </c>
      <c r="C66" s="22">
        <f>'CR-TR_Importance'!W66</f>
        <v>120.25</v>
      </c>
      <c r="D66" s="11" t="s">
        <v>384</v>
      </c>
      <c r="E66" t="s">
        <v>303</v>
      </c>
      <c r="F66" s="17" t="str">
        <f>Table2[[#This Row],[Units]]</f>
        <v>Dollars/year</v>
      </c>
      <c r="G66" t="s">
        <v>385</v>
      </c>
      <c r="H66" t="s">
        <v>44</v>
      </c>
    </row>
    <row r="67" spans="1:8" x14ac:dyDescent="0.25">
      <c r="A67" s="17" t="str">
        <f>'CR-TR_Interactions'!A67</f>
        <v>TR66</v>
      </c>
      <c r="B67" s="17" t="str">
        <f>Table2[[#This Row],[Requirement]]</f>
        <v>Annual maintenance cost</v>
      </c>
      <c r="C67" s="22">
        <f>'CR-TR_Importance'!W67</f>
        <v>157.25</v>
      </c>
      <c r="D67" s="11" t="s">
        <v>354</v>
      </c>
      <c r="E67" t="s">
        <v>303</v>
      </c>
      <c r="F67" s="17" t="str">
        <f>Table2[[#This Row],[Units]]</f>
        <v>Dollars/yr</v>
      </c>
      <c r="G67" t="s">
        <v>423</v>
      </c>
      <c r="H67" t="s">
        <v>43</v>
      </c>
    </row>
    <row r="68" spans="1:8" x14ac:dyDescent="0.25">
      <c r="A68" s="17" t="str">
        <f>'CR-TR_Interactions'!A68</f>
        <v>TR67</v>
      </c>
      <c r="B68" s="17" t="str">
        <f>Table2[[#This Row],[Requirement]]</f>
        <v>Total cost of ownership over expected lifespan</v>
      </c>
      <c r="C68" s="22">
        <f>'CR-TR_Importance'!W68</f>
        <v>121.75</v>
      </c>
      <c r="D68" s="11" t="s">
        <v>386</v>
      </c>
      <c r="E68" t="s">
        <v>303</v>
      </c>
      <c r="F68" s="17" t="str">
        <f>Table2[[#This Row],[Units]]</f>
        <v>Dollars</v>
      </c>
      <c r="G68" t="s">
        <v>387</v>
      </c>
      <c r="H68" t="s">
        <v>44</v>
      </c>
    </row>
    <row r="69" spans="1:8" x14ac:dyDescent="0.25">
      <c r="A69" s="17" t="str">
        <f>'CR-TR_Interactions'!A69</f>
        <v>TR68</v>
      </c>
      <c r="B69" s="17" t="str">
        <f>Table2[[#This Row],[Requirement]]</f>
        <v>Cost per gallon of water delivered</v>
      </c>
      <c r="C69" s="22">
        <f>'CR-TR_Importance'!W69</f>
        <v>131.75</v>
      </c>
      <c r="D69" s="11" t="s">
        <v>388</v>
      </c>
      <c r="E69" t="s">
        <v>303</v>
      </c>
      <c r="F69" s="17" t="str">
        <f>Table2[[#This Row],[Units]]</f>
        <v>Dollars per gallon</v>
      </c>
      <c r="G69" t="s">
        <v>389</v>
      </c>
      <c r="H69" t="s">
        <v>44</v>
      </c>
    </row>
    <row r="70" spans="1:8" x14ac:dyDescent="0.25">
      <c r="A70" s="17" t="str">
        <f>'CR-TR_Interactions'!A70</f>
        <v>TR69</v>
      </c>
      <c r="B70" s="17" t="str">
        <f>Table2[[#This Row],[Requirement]]</f>
        <v>Cost per year over lifespan</v>
      </c>
      <c r="C70" s="22">
        <f>'CR-TR_Importance'!W70</f>
        <v>110.5</v>
      </c>
      <c r="D70" s="11" t="s">
        <v>390</v>
      </c>
      <c r="E70" t="s">
        <v>303</v>
      </c>
      <c r="F70" s="17" t="str">
        <f>Table2[[#This Row],[Units]]</f>
        <v>Dollars/year</v>
      </c>
      <c r="G70" t="s">
        <v>423</v>
      </c>
      <c r="H70" t="s">
        <v>43</v>
      </c>
    </row>
    <row r="71" spans="1:8" x14ac:dyDescent="0.25">
      <c r="A71" s="17" t="str">
        <f>'CR-TR_Interactions'!A71</f>
        <v>TR70</v>
      </c>
      <c r="B71" s="17" t="str">
        <f>Table2[[#This Row],[Requirement]]</f>
        <v>Efficiency rating of system components</v>
      </c>
      <c r="C71" s="22">
        <f>'CR-TR_Importance'!W71</f>
        <v>171.75</v>
      </c>
      <c r="D71" s="11" t="s">
        <v>331</v>
      </c>
      <c r="E71" t="s">
        <v>302</v>
      </c>
      <c r="F71" s="17" t="str">
        <f>Table2[[#This Row],[Units]]</f>
        <v>Percentage</v>
      </c>
      <c r="G71" t="s">
        <v>391</v>
      </c>
      <c r="H71" t="s">
        <v>41</v>
      </c>
    </row>
    <row r="72" spans="1:8" x14ac:dyDescent="0.25">
      <c r="A72" s="17" t="str">
        <f>'CR-TR_Interactions'!A72</f>
        <v>TR71</v>
      </c>
      <c r="B72" s="17" t="str">
        <f>Table2[[#This Row],[Requirement]]</f>
        <v>Maintenance cost savings due to durability</v>
      </c>
      <c r="C72" s="22">
        <f>'CR-TR_Importance'!W72</f>
        <v>146</v>
      </c>
      <c r="D72" s="11" t="s">
        <v>392</v>
      </c>
      <c r="E72" t="s">
        <v>303</v>
      </c>
      <c r="F72" s="17" t="str">
        <f>Table2[[#This Row],[Units]]</f>
        <v>Dollars/yr</v>
      </c>
      <c r="G72" t="s">
        <v>393</v>
      </c>
      <c r="H72" t="s">
        <v>43</v>
      </c>
    </row>
    <row r="73" spans="1:8" x14ac:dyDescent="0.25">
      <c r="A73" s="17" t="str">
        <f>'CR-TR_Interactions'!A73</f>
        <v>TR72</v>
      </c>
      <c r="B73" s="17" t="str">
        <f>Table2[[#This Row],[Requirement]]</f>
        <v>User satisfaction rating on value</v>
      </c>
      <c r="C73" s="22">
        <f>'CR-TR_Importance'!W73</f>
        <v>48</v>
      </c>
      <c r="D73" s="11" t="s">
        <v>338</v>
      </c>
      <c r="E73" t="s">
        <v>302</v>
      </c>
      <c r="F73" s="17" t="str">
        <f>Table2[[#This Row],[Units]]</f>
        <v>Likert scale</v>
      </c>
      <c r="G73" t="s">
        <v>394</v>
      </c>
      <c r="H73" t="s">
        <v>42</v>
      </c>
    </row>
    <row r="74" spans="1:8" x14ac:dyDescent="0.25">
      <c r="A74" s="17" t="str">
        <f>'CR-TR_Interactions'!A74</f>
        <v>TR73</v>
      </c>
      <c r="B74" s="17" t="str">
        <f>Table2[[#This Row],[Requirement]]</f>
        <v>Number of applicable standards met</v>
      </c>
      <c r="C74" s="22">
        <f>'CR-TR_Importance'!W74</f>
        <v>125.25</v>
      </c>
      <c r="D74" s="11" t="s">
        <v>359</v>
      </c>
      <c r="E74" t="s">
        <v>302</v>
      </c>
      <c r="F74" s="17" t="str">
        <f>Table2[[#This Row],[Units]]</f>
        <v>Count</v>
      </c>
      <c r="G74" t="s">
        <v>396</v>
      </c>
      <c r="H74" t="s">
        <v>44</v>
      </c>
    </row>
    <row r="75" spans="1:8" x14ac:dyDescent="0.25">
      <c r="A75" s="17" t="str">
        <f>'CR-TR_Interactions'!A75</f>
        <v>TR74</v>
      </c>
      <c r="B75" s="17" t="str">
        <f>Table2[[#This Row],[Requirement]]</f>
        <v>Compliance certification status</v>
      </c>
      <c r="C75" s="22">
        <f>'CR-TR_Importance'!W75</f>
        <v>141.75</v>
      </c>
      <c r="D75" s="11" t="s">
        <v>395</v>
      </c>
      <c r="E75" t="s">
        <v>304</v>
      </c>
      <c r="F75" s="17" t="str">
        <f>Table2[[#This Row],[Units]]</f>
        <v>Yes/No</v>
      </c>
      <c r="G75" t="s">
        <v>396</v>
      </c>
      <c r="H75" t="s">
        <v>44</v>
      </c>
    </row>
    <row r="76" spans="1:8" x14ac:dyDescent="0.25">
      <c r="A76" s="17" t="str">
        <f>'CR-TR_Interactions'!A76</f>
        <v>TR75</v>
      </c>
      <c r="B76" s="17" t="str">
        <f>Table2[[#This Row],[Requirement]]</f>
        <v>Number of non-compliance issues identified</v>
      </c>
      <c r="C76" s="22">
        <f>'CR-TR_Importance'!W76</f>
        <v>140.75</v>
      </c>
      <c r="D76" s="11">
        <v>0</v>
      </c>
      <c r="E76" t="s">
        <v>303</v>
      </c>
      <c r="F76" s="17" t="str">
        <f>Table2[[#This Row],[Units]]</f>
        <v>Count</v>
      </c>
      <c r="G76" t="s">
        <v>396</v>
      </c>
      <c r="H76" t="s">
        <v>44</v>
      </c>
    </row>
    <row r="77" spans="1:8" x14ac:dyDescent="0.25">
      <c r="A77" s="17" t="str">
        <f>'CR-TR_Interactions'!A77</f>
        <v>TR76</v>
      </c>
      <c r="B77" s="17" t="str">
        <f>Table2[[#This Row],[Requirement]]</f>
        <v>Time to achieve full compliance</v>
      </c>
      <c r="C77" s="22">
        <f>'CR-TR_Importance'!W77</f>
        <v>81</v>
      </c>
      <c r="D77" s="11" t="s">
        <v>397</v>
      </c>
      <c r="E77" t="s">
        <v>303</v>
      </c>
      <c r="F77" s="17" t="str">
        <f>Table2[[#This Row],[Units]]</f>
        <v>Months</v>
      </c>
      <c r="G77" t="s">
        <v>396</v>
      </c>
      <c r="H77" t="s">
        <v>44</v>
      </c>
    </row>
    <row r="78" spans="1:8" x14ac:dyDescent="0.25">
      <c r="A78" s="17" t="str">
        <f>'CR-TR_Interactions'!A78</f>
        <v>TR77</v>
      </c>
      <c r="B78" s="17" t="str">
        <f>Table2[[#This Row],[Requirement]]</f>
        <v>Number of potential hazards identified</v>
      </c>
      <c r="C78" s="22">
        <f>'CR-TR_Importance'!W78</f>
        <v>123.5</v>
      </c>
      <c r="D78" s="11">
        <v>0</v>
      </c>
      <c r="E78" t="s">
        <v>303</v>
      </c>
      <c r="F78" s="17" t="str">
        <f>Table2[[#This Row],[Units]]</f>
        <v>Count</v>
      </c>
      <c r="G78" t="s">
        <v>398</v>
      </c>
      <c r="H78" t="s">
        <v>44</v>
      </c>
    </row>
    <row r="79" spans="1:8" x14ac:dyDescent="0.25">
      <c r="A79" s="17" t="str">
        <f>'CR-TR_Interactions'!A79</f>
        <v>TR78</v>
      </c>
      <c r="B79" s="17" t="str">
        <f>Table2[[#This Row],[Requirement]]</f>
        <v>Safety incident rate during operation</v>
      </c>
      <c r="C79" s="22">
        <f>'CR-TR_Importance'!W79</f>
        <v>131</v>
      </c>
      <c r="D79" s="11">
        <v>0</v>
      </c>
      <c r="E79" t="s">
        <v>303</v>
      </c>
      <c r="F79" s="17" t="str">
        <f>Table2[[#This Row],[Units]]</f>
        <v>Incidents per yr</v>
      </c>
      <c r="G79" t="s">
        <v>399</v>
      </c>
      <c r="H79" t="s">
        <v>44</v>
      </c>
    </row>
    <row r="80" spans="1:8" x14ac:dyDescent="0.25">
      <c r="A80" s="17" t="str">
        <f>'CR-TR_Interactions'!A80</f>
        <v>TR79</v>
      </c>
      <c r="B80" s="17" t="str">
        <f>Table2[[#This Row],[Requirement]]</f>
        <v>Compliance with safety guidelines (e.g., OSHA)</v>
      </c>
      <c r="C80" s="22">
        <f>'CR-TR_Importance'!W80</f>
        <v>138.75</v>
      </c>
      <c r="D80" s="11" t="s">
        <v>345</v>
      </c>
      <c r="E80" t="s">
        <v>302</v>
      </c>
      <c r="F80" s="17" t="str">
        <f>Table2[[#This Row],[Units]]</f>
        <v>yes/no</v>
      </c>
      <c r="G80" t="s">
        <v>400</v>
      </c>
      <c r="H80" t="s">
        <v>44</v>
      </c>
    </row>
    <row r="81" spans="1:8" x14ac:dyDescent="0.25">
      <c r="A81" s="17" t="str">
        <f>'CR-TR_Interactions'!A81</f>
        <v>TR80</v>
      </c>
      <c r="B81" s="17" t="str">
        <f>Table2[[#This Row],[Requirement]]</f>
        <v>User perception of safety</v>
      </c>
      <c r="C81" s="22">
        <f>'CR-TR_Importance'!W81</f>
        <v>86.75</v>
      </c>
      <c r="D81" s="11" t="s">
        <v>338</v>
      </c>
      <c r="E81" t="s">
        <v>302</v>
      </c>
      <c r="F81" s="17" t="str">
        <f>Table2[[#This Row],[Units]]</f>
        <v>Likert Scale</v>
      </c>
      <c r="G81" t="s">
        <v>401</v>
      </c>
      <c r="H81" t="s">
        <v>42</v>
      </c>
    </row>
    <row r="82" spans="1:8" x14ac:dyDescent="0.25">
      <c r="A82" s="17" t="str">
        <f>'CR-TR_Interactions'!A82</f>
        <v>TR81</v>
      </c>
      <c r="B82" s="17" t="str">
        <f>Table2[[#This Row],[Requirement]]</f>
        <v>Operational reliability in adverse weather</v>
      </c>
      <c r="C82" s="22">
        <f>'CR-TR_Importance'!W82</f>
        <v>130.75</v>
      </c>
      <c r="D82" s="11" t="s">
        <v>402</v>
      </c>
      <c r="E82" t="s">
        <v>302</v>
      </c>
      <c r="F82" s="17" t="str">
        <f>Table2[[#This Row],[Units]]</f>
        <v>% uptime</v>
      </c>
      <c r="G82" t="s">
        <v>403</v>
      </c>
      <c r="H82" t="s">
        <v>41</v>
      </c>
    </row>
    <row r="83" spans="1:8" x14ac:dyDescent="0.25">
      <c r="A83" s="17" t="str">
        <f>'CR-TR_Interactions'!A83</f>
        <v>TR82</v>
      </c>
      <c r="B83" s="17" t="str">
        <f>Table2[[#This Row],[Requirement]]</f>
        <v>Temperature range for safe operation</v>
      </c>
      <c r="C83" s="22">
        <f>'CR-TR_Importance'!W83</f>
        <v>82.25</v>
      </c>
      <c r="D83" s="11" t="s">
        <v>424</v>
      </c>
      <c r="E83" t="s">
        <v>302</v>
      </c>
      <c r="F83" s="17" t="str">
        <f>Table2[[#This Row],[Units]]</f>
        <v>Degrees Fahrenheit</v>
      </c>
      <c r="G83" t="s">
        <v>404</v>
      </c>
      <c r="H83" t="s">
        <v>41</v>
      </c>
    </row>
    <row r="84" spans="1:8" x14ac:dyDescent="0.25">
      <c r="A84" s="17" t="str">
        <f>'CR-TR_Interactions'!A84</f>
        <v>TR83</v>
      </c>
      <c r="B84" s="17" t="str">
        <f>Table2[[#This Row],[Requirement]]</f>
        <v>Weatherproof rating of system components</v>
      </c>
      <c r="C84" s="22">
        <f>'CR-TR_Importance'!W84</f>
        <v>120</v>
      </c>
      <c r="D84" s="11" t="s">
        <v>405</v>
      </c>
      <c r="E84" t="s">
        <v>302</v>
      </c>
      <c r="F84" s="17" t="str">
        <f>Table2[[#This Row],[Units]]</f>
        <v>IP Rating</v>
      </c>
      <c r="G84" t="s">
        <v>406</v>
      </c>
      <c r="H84" t="s">
        <v>41</v>
      </c>
    </row>
    <row r="85" spans="1:8" x14ac:dyDescent="0.25">
      <c r="A85" s="17" t="str">
        <f>'CR-TR_Interactions'!A85</f>
        <v>TR84</v>
      </c>
      <c r="B85" s="17" t="str">
        <f>Table2[[#This Row],[Requirement]]</f>
        <v>Number of weather-related malfunctions per year</v>
      </c>
      <c r="C85" s="22">
        <f>'CR-TR_Importance'!W85</f>
        <v>135</v>
      </c>
      <c r="D85" s="11">
        <v>0</v>
      </c>
      <c r="E85" t="s">
        <v>303</v>
      </c>
      <c r="F85" s="17" t="str">
        <f>Table2[[#This Row],[Units]]</f>
        <v>Count</v>
      </c>
      <c r="G85" t="s">
        <v>401</v>
      </c>
      <c r="H8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NEW_METRICS</vt:lpstr>
      <vt:lpstr>Competitor assesment</vt:lpstr>
      <vt:lpstr>CR-TR interactions</vt:lpstr>
      <vt:lpstr>Technical Assesment and ranges</vt:lpstr>
      <vt:lpstr>Tech Req</vt:lpstr>
      <vt:lpstr>TR-TR</vt:lpstr>
      <vt:lpstr>Metrics_Voting</vt:lpstr>
      <vt:lpstr>Customer_Requirements</vt:lpstr>
      <vt:lpstr>Pretty_CR</vt:lpstr>
      <vt:lpstr>Technical_Requirements</vt:lpstr>
      <vt:lpstr>CR-TR_Interactions</vt:lpstr>
      <vt:lpstr>TR-TR_interaction</vt:lpstr>
      <vt:lpstr>CR-TR_Importance</vt:lpstr>
      <vt:lpstr>Technical_Targets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Sabalowsky, Andrew</dc:creator>
  <cp:keywords/>
  <dc:description/>
  <cp:lastModifiedBy>Vaught, Jacob</cp:lastModifiedBy>
  <cp:revision/>
  <dcterms:created xsi:type="dcterms:W3CDTF">2022-09-19T01:11:50Z</dcterms:created>
  <dcterms:modified xsi:type="dcterms:W3CDTF">2024-10-12T23:44:53Z</dcterms:modified>
  <cp:category/>
  <cp:contentStatus/>
</cp:coreProperties>
</file>