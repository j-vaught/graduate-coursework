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113" documentId="8_{1A14C186-3AEA-4FA5-8159-9627EC1D91D1}" xr6:coauthVersionLast="47" xr6:coauthVersionMax="47" xr10:uidLastSave="{4B1F9271-4A9E-48AA-B795-87586C854DA3}"/>
  <bookViews>
    <workbookView xWindow="-120" yWindow="-120" windowWidth="29040" windowHeight="17640" xr2:uid="{020110B7-D504-4C35-B062-DC68D33222A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1" l="1"/>
  <c r="Y16" i="1"/>
  <c r="Y17" i="1"/>
  <c r="Y18" i="1"/>
  <c r="X18" i="1" s="1"/>
  <c r="Y19" i="1"/>
  <c r="Y20" i="1"/>
  <c r="X20" i="1" s="1"/>
  <c r="Y14" i="1"/>
  <c r="X15" i="1"/>
  <c r="X16" i="1"/>
  <c r="X17" i="1"/>
  <c r="X19" i="1"/>
  <c r="X14" i="1"/>
  <c r="R15" i="1"/>
  <c r="R16" i="1"/>
  <c r="R17" i="1"/>
  <c r="R18" i="1"/>
  <c r="R19" i="1"/>
  <c r="R20" i="1"/>
  <c r="R14" i="1"/>
  <c r="S14" i="1"/>
  <c r="S15" i="1"/>
  <c r="S16" i="1"/>
  <c r="S17" i="1"/>
  <c r="S18" i="1"/>
  <c r="S19" i="1"/>
  <c r="S20" i="1"/>
  <c r="V20" i="1" s="1"/>
  <c r="U20" i="1" s="1"/>
  <c r="V14" i="1"/>
  <c r="U14" i="1" s="1"/>
  <c r="N14" i="1"/>
  <c r="V15" i="1"/>
  <c r="U15" i="1" s="1"/>
  <c r="V16" i="1"/>
  <c r="U16" i="1" s="1"/>
  <c r="V17" i="1"/>
  <c r="U17" i="1" s="1"/>
  <c r="V18" i="1"/>
  <c r="U18" i="1" s="1"/>
  <c r="V19" i="1"/>
  <c r="U19" i="1" s="1"/>
  <c r="O20" i="1"/>
  <c r="M14" i="1"/>
  <c r="M15" i="1"/>
  <c r="M16" i="1"/>
  <c r="M17" i="1"/>
  <c r="M18" i="1"/>
  <c r="M19" i="1"/>
  <c r="M20" i="1"/>
  <c r="L15" i="1"/>
  <c r="L16" i="1"/>
  <c r="L17" i="1"/>
  <c r="L18" i="1"/>
  <c r="L19" i="1"/>
  <c r="L20" i="1"/>
  <c r="L14" i="1"/>
  <c r="K14" i="1"/>
  <c r="K15" i="1"/>
  <c r="K16" i="1"/>
  <c r="K17" i="1"/>
  <c r="K18" i="1"/>
  <c r="K19" i="1"/>
  <c r="K20" i="1"/>
  <c r="J15" i="1"/>
  <c r="J16" i="1"/>
  <c r="J17" i="1"/>
  <c r="J18" i="1"/>
  <c r="J19" i="1"/>
  <c r="J20" i="1"/>
  <c r="J14" i="1"/>
  <c r="P15" i="1"/>
  <c r="O15" i="1" s="1"/>
  <c r="P16" i="1"/>
  <c r="O16" i="1" s="1"/>
  <c r="P17" i="1"/>
  <c r="O17" i="1" s="1"/>
  <c r="P18" i="1"/>
  <c r="O18" i="1" s="1"/>
  <c r="P19" i="1"/>
  <c r="O19" i="1" s="1"/>
  <c r="P20" i="1"/>
  <c r="P14" i="1"/>
  <c r="O14" i="1" s="1"/>
  <c r="N15" i="1"/>
  <c r="N16" i="1"/>
  <c r="N17" i="1"/>
  <c r="N18" i="1"/>
  <c r="N19" i="1"/>
  <c r="N2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2" i="1"/>
</calcChain>
</file>

<file path=xl/sharedStrings.xml><?xml version="1.0" encoding="utf-8"?>
<sst xmlns="http://schemas.openxmlformats.org/spreadsheetml/2006/main" count="9" uniqueCount="9">
  <si>
    <t>T©</t>
  </si>
  <si>
    <t>Rth</t>
  </si>
  <si>
    <t>Vout</t>
  </si>
  <si>
    <t>Rlow</t>
  </si>
  <si>
    <t>Rup</t>
  </si>
  <si>
    <t>V</t>
  </si>
  <si>
    <t>T_error=</t>
  </si>
  <si>
    <t>actual T</t>
  </si>
  <si>
    <t>5%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</si>
</sst>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594191259504048E-2"/>
          <c:y val="0.19738754821930649"/>
          <c:w val="0.93464770010430998"/>
          <c:h val="0.76003866687064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0.44496195806849442"/>
                  <c:y val="-0.199524642752989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-0.024x</a:t>
                    </a:r>
                    <a:r>
                      <a:rPr lang="en-US" baseline="30000"/>
                      <a:t>6</a:t>
                    </a:r>
                    <a:r>
                      <a:rPr lang="en-US" baseline="0"/>
                      <a:t> + 0.8709x</a:t>
                    </a:r>
                    <a:r>
                      <a:rPr lang="en-US" baseline="30000"/>
                      <a:t>5</a:t>
                    </a:r>
                    <a:r>
                      <a:rPr lang="en-US" baseline="0"/>
                      <a:t> - 8.14x</a:t>
                    </a:r>
                    <a:r>
                      <a:rPr lang="en-US" baseline="30000"/>
                      <a:t>4</a:t>
                    </a:r>
                    <a:r>
                      <a:rPr lang="en-US" baseline="0"/>
                      <a:t> + 34.017x</a:t>
                    </a:r>
                    <a:r>
                      <a:rPr lang="en-US" baseline="30000"/>
                      <a:t>3</a:t>
                    </a:r>
                    <a:r>
                      <a:rPr lang="en-US" baseline="0"/>
                      <a:t> - 71.628x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+ 92.474x - 51.081</a:t>
                    </a:r>
                    <a:endParaRPr lang="en-US" sz="11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Sheet1!$D$2:$D$29</c:f>
              <c:numCache>
                <c:formatCode>General</c:formatCode>
                <c:ptCount val="28"/>
                <c:pt idx="0">
                  <c:v>0.14615865814659129</c:v>
                </c:pt>
                <c:pt idx="1">
                  <c:v>0.20008003201280511</c:v>
                </c:pt>
                <c:pt idx="2">
                  <c:v>0.26997840172786175</c:v>
                </c:pt>
                <c:pt idx="3">
                  <c:v>0.35897104539547842</c:v>
                </c:pt>
                <c:pt idx="4">
                  <c:v>0.47011038191767429</c:v>
                </c:pt>
                <c:pt idx="5">
                  <c:v>0.60606060606060608</c:v>
                </c:pt>
                <c:pt idx="6">
                  <c:v>0.76868677551271403</c:v>
                </c:pt>
                <c:pt idx="7">
                  <c:v>0.95864409379373816</c:v>
                </c:pt>
                <c:pt idx="8">
                  <c:v>1.174977675424167</c:v>
                </c:pt>
                <c:pt idx="9">
                  <c:v>1.4148674269220973</c:v>
                </c:pt>
                <c:pt idx="10">
                  <c:v>1.6738082485270487</c:v>
                </c:pt>
                <c:pt idx="11">
                  <c:v>1.9456767063584715</c:v>
                </c:pt>
                <c:pt idx="12">
                  <c:v>2.2234080398434721</c:v>
                </c:pt>
                <c:pt idx="13">
                  <c:v>2.5</c:v>
                </c:pt>
                <c:pt idx="14">
                  <c:v>2.7687025859682155</c:v>
                </c:pt>
                <c:pt idx="15">
                  <c:v>3.0238887208950711</c:v>
                </c:pt>
                <c:pt idx="16">
                  <c:v>3.2615786040443573</c:v>
                </c:pt>
                <c:pt idx="17">
                  <c:v>3.4789869190091847</c:v>
                </c:pt>
                <c:pt idx="18">
                  <c:v>3.6751194413818449</c:v>
                </c:pt>
                <c:pt idx="19">
                  <c:v>3.849411040110863</c:v>
                </c:pt>
                <c:pt idx="20">
                  <c:v>4.0032025620496396</c:v>
                </c:pt>
                <c:pt idx="21">
                  <c:v>4.1377027474346244</c:v>
                </c:pt>
                <c:pt idx="22">
                  <c:v>4.2542329617969878</c:v>
                </c:pt>
                <c:pt idx="23">
                  <c:v>4.3550213396045638</c:v>
                </c:pt>
                <c:pt idx="24">
                  <c:v>4.4420753375977258</c:v>
                </c:pt>
                <c:pt idx="25">
                  <c:v>4.5167118337850045</c:v>
                </c:pt>
                <c:pt idx="26">
                  <c:v>4.5806841709877792</c:v>
                </c:pt>
                <c:pt idx="27">
                  <c:v>4.6356387910254035</c:v>
                </c:pt>
              </c:numCache>
            </c:numRef>
          </c:xVal>
          <c:yVal>
            <c:numRef>
              <c:f>Sheet1!$A$2:$A$29</c:f>
              <c:numCache>
                <c:formatCode>General</c:formatCode>
                <c:ptCount val="28"/>
                <c:pt idx="0">
                  <c:v>-40</c:v>
                </c:pt>
                <c:pt idx="1">
                  <c:v>-35</c:v>
                </c:pt>
                <c:pt idx="2">
                  <c:v>-30</c:v>
                </c:pt>
                <c:pt idx="3">
                  <c:v>-25</c:v>
                </c:pt>
                <c:pt idx="4">
                  <c:v>-20</c:v>
                </c:pt>
                <c:pt idx="5">
                  <c:v>-15</c:v>
                </c:pt>
                <c:pt idx="6">
                  <c:v>-10</c:v>
                </c:pt>
                <c:pt idx="7">
                  <c:v>-5</c:v>
                </c:pt>
                <c:pt idx="8">
                  <c:v>0</c:v>
                </c:pt>
                <c:pt idx="9">
                  <c:v>5</c:v>
                </c:pt>
                <c:pt idx="10">
                  <c:v>10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  <c:pt idx="17">
                  <c:v>45</c:v>
                </c:pt>
                <c:pt idx="18">
                  <c:v>50</c:v>
                </c:pt>
                <c:pt idx="19">
                  <c:v>55</c:v>
                </c:pt>
                <c:pt idx="20">
                  <c:v>60</c:v>
                </c:pt>
                <c:pt idx="21">
                  <c:v>65</c:v>
                </c:pt>
                <c:pt idx="22">
                  <c:v>70</c:v>
                </c:pt>
                <c:pt idx="23">
                  <c:v>75</c:v>
                </c:pt>
                <c:pt idx="24">
                  <c:v>80</c:v>
                </c:pt>
                <c:pt idx="25">
                  <c:v>85</c:v>
                </c:pt>
                <c:pt idx="26">
                  <c:v>90</c:v>
                </c:pt>
                <c:pt idx="27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CC-434C-8D80-19AAC7286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094128"/>
        <c:axId val="398089864"/>
      </c:scatterChart>
      <c:valAx>
        <c:axId val="39809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89864"/>
        <c:crosses val="autoZero"/>
        <c:crossBetween val="midCat"/>
      </c:valAx>
      <c:valAx>
        <c:axId val="39808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9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514349</xdr:colOff>
      <xdr:row>24</xdr:row>
      <xdr:rowOff>152400</xdr:rowOff>
    </xdr:from>
    <xdr:to>
      <xdr:col>20</xdr:col>
      <xdr:colOff>314324</xdr:colOff>
      <xdr:row>42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41EA4-FDAD-6FF8-F49F-C6C76B297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F015-36A3-460A-8C29-03ECA4DB2CD8}">
  <dimension ref="A1:Y29"/>
  <sheetViews>
    <sheetView tabSelected="1" topLeftCell="D21" workbookViewId="0">
      <selection activeCell="O23" sqref="O23"/>
    </sheetView>
  </sheetViews>
  <sheetFormatPr defaultRowHeight="15"/>
  <cols>
    <col min="12" max="12" width="8.85546875" customWidth="1"/>
    <col min="15" max="15" width="19.85546875" customWidth="1"/>
    <col min="20" max="20" width="10.28515625" customWidth="1"/>
  </cols>
  <sheetData>
    <row r="1" spans="1:25">
      <c r="A1" t="s">
        <v>0</v>
      </c>
      <c r="B1" t="s">
        <v>1</v>
      </c>
      <c r="D1" t="s">
        <v>2</v>
      </c>
      <c r="F1" t="s">
        <v>3</v>
      </c>
      <c r="G1" t="s">
        <v>4</v>
      </c>
    </row>
    <row r="2" spans="1:25">
      <c r="A2">
        <v>-40</v>
      </c>
      <c r="B2">
        <v>332094</v>
      </c>
      <c r="D2">
        <f>5*10000/(B2+10000)</f>
        <v>0.14615865814659129</v>
      </c>
      <c r="F2">
        <f>D2*100000/5</f>
        <v>2923.173162931826</v>
      </c>
      <c r="G2">
        <f>100000-F2</f>
        <v>97076.826837068176</v>
      </c>
    </row>
    <row r="3" spans="1:25">
      <c r="A3">
        <v>-35</v>
      </c>
      <c r="B3">
        <v>239900</v>
      </c>
      <c r="D3">
        <f t="shared" ref="D3:D29" si="0">5*10000/(B3+10000)</f>
        <v>0.20008003201280511</v>
      </c>
      <c r="F3">
        <f t="shared" ref="F3:F29" si="1">D3*100000/5</f>
        <v>4001.600640256102</v>
      </c>
      <c r="G3">
        <f t="shared" ref="G3:G29" si="2">100000-F3</f>
        <v>95998.399359743897</v>
      </c>
    </row>
    <row r="4" spans="1:25">
      <c r="A4">
        <v>-30</v>
      </c>
      <c r="B4">
        <v>175200</v>
      </c>
      <c r="D4">
        <f t="shared" si="0"/>
        <v>0.26997840172786175</v>
      </c>
      <c r="F4">
        <f t="shared" si="1"/>
        <v>5399.5680345572346</v>
      </c>
      <c r="G4">
        <f t="shared" si="2"/>
        <v>94600.431965442767</v>
      </c>
    </row>
    <row r="5" spans="1:25">
      <c r="A5">
        <v>-25</v>
      </c>
      <c r="B5">
        <v>129287</v>
      </c>
      <c r="D5">
        <f t="shared" si="0"/>
        <v>0.35897104539547842</v>
      </c>
      <c r="F5">
        <f t="shared" si="1"/>
        <v>7179.420907909569</v>
      </c>
      <c r="G5">
        <f t="shared" si="2"/>
        <v>92820.579092090426</v>
      </c>
    </row>
    <row r="6" spans="1:25">
      <c r="A6">
        <v>-20</v>
      </c>
      <c r="B6">
        <v>96358</v>
      </c>
      <c r="D6">
        <f t="shared" si="0"/>
        <v>0.47011038191767429</v>
      </c>
      <c r="F6">
        <f t="shared" si="1"/>
        <v>9402.2076383534859</v>
      </c>
      <c r="G6">
        <f t="shared" si="2"/>
        <v>90597.792361646512</v>
      </c>
    </row>
    <row r="7" spans="1:25">
      <c r="A7">
        <v>-15</v>
      </c>
      <c r="B7">
        <v>72500</v>
      </c>
      <c r="D7">
        <f t="shared" si="0"/>
        <v>0.60606060606060608</v>
      </c>
      <c r="F7">
        <f t="shared" si="1"/>
        <v>12121.212121212122</v>
      </c>
      <c r="G7">
        <f t="shared" si="2"/>
        <v>87878.787878787873</v>
      </c>
    </row>
    <row r="8" spans="1:25">
      <c r="A8">
        <v>-10</v>
      </c>
      <c r="B8">
        <v>55046</v>
      </c>
      <c r="D8">
        <f t="shared" si="0"/>
        <v>0.76868677551271403</v>
      </c>
      <c r="F8">
        <f t="shared" si="1"/>
        <v>15373.735510254282</v>
      </c>
      <c r="G8">
        <f t="shared" si="2"/>
        <v>84626.264489745721</v>
      </c>
    </row>
    <row r="9" spans="1:25">
      <c r="A9">
        <v>-5</v>
      </c>
      <c r="B9">
        <v>42157</v>
      </c>
      <c r="D9">
        <f t="shared" si="0"/>
        <v>0.95864409379373816</v>
      </c>
      <c r="F9">
        <f t="shared" si="1"/>
        <v>19172.881875874762</v>
      </c>
      <c r="G9">
        <f t="shared" si="2"/>
        <v>80827.118124125234</v>
      </c>
    </row>
    <row r="10" spans="1:25">
      <c r="A10">
        <v>0</v>
      </c>
      <c r="B10">
        <v>32554</v>
      </c>
      <c r="D10">
        <f t="shared" si="0"/>
        <v>1.174977675424167</v>
      </c>
      <c r="F10">
        <f t="shared" si="1"/>
        <v>23499.553508483339</v>
      </c>
      <c r="G10">
        <f t="shared" si="2"/>
        <v>76500.446491516661</v>
      </c>
    </row>
    <row r="11" spans="1:25">
      <c r="A11">
        <v>5</v>
      </c>
      <c r="B11">
        <v>25339</v>
      </c>
      <c r="D11">
        <f t="shared" si="0"/>
        <v>1.4148674269220973</v>
      </c>
      <c r="F11">
        <f t="shared" si="1"/>
        <v>28297.348538441944</v>
      </c>
      <c r="G11">
        <f t="shared" si="2"/>
        <v>71702.651461558053</v>
      </c>
    </row>
    <row r="12" spans="1:25">
      <c r="A12">
        <v>10</v>
      </c>
      <c r="B12">
        <v>19872</v>
      </c>
      <c r="D12">
        <f t="shared" si="0"/>
        <v>1.6738082485270487</v>
      </c>
      <c r="F12">
        <f t="shared" si="1"/>
        <v>33476.164970540973</v>
      </c>
      <c r="G12">
        <f t="shared" si="2"/>
        <v>66523.835029459035</v>
      </c>
    </row>
    <row r="13" spans="1:25">
      <c r="A13">
        <v>15</v>
      </c>
      <c r="B13">
        <v>15698</v>
      </c>
      <c r="D13">
        <f t="shared" si="0"/>
        <v>1.9456767063584715</v>
      </c>
      <c r="F13">
        <f t="shared" si="1"/>
        <v>38913.534127169427</v>
      </c>
      <c r="G13">
        <f t="shared" si="2"/>
        <v>61086.465872830573</v>
      </c>
      <c r="H13">
        <v>39</v>
      </c>
      <c r="N13" t="s">
        <v>5</v>
      </c>
      <c r="O13" t="s">
        <v>6</v>
      </c>
      <c r="P13" t="s">
        <v>7</v>
      </c>
      <c r="Q13" t="s">
        <v>8</v>
      </c>
      <c r="R13" s="1">
        <v>-0.05</v>
      </c>
      <c r="S13" s="1">
        <v>0.05</v>
      </c>
    </row>
    <row r="14" spans="1:25">
      <c r="A14">
        <v>20</v>
      </c>
      <c r="B14">
        <v>12488</v>
      </c>
      <c r="D14">
        <f t="shared" si="0"/>
        <v>2.2234080398434721</v>
      </c>
      <c r="F14">
        <f t="shared" si="1"/>
        <v>44468.160796869444</v>
      </c>
      <c r="G14">
        <f t="shared" si="2"/>
        <v>55531.839203130556</v>
      </c>
      <c r="H14">
        <v>47</v>
      </c>
      <c r="I14">
        <v>56</v>
      </c>
      <c r="J14">
        <f>H14*1.05</f>
        <v>49.35</v>
      </c>
      <c r="K14">
        <f>I14*1.05</f>
        <v>58.800000000000004</v>
      </c>
      <c r="L14">
        <f>H14*0.95</f>
        <v>44.65</v>
      </c>
      <c r="M14">
        <f>I14*0.95</f>
        <v>53.199999999999996</v>
      </c>
      <c r="N14">
        <f>H14/(I14+H14)*5</f>
        <v>2.2815533980582527</v>
      </c>
      <c r="O14">
        <f>ABS(A14-P14)</f>
        <v>0.93741735879332566</v>
      </c>
      <c r="P14">
        <f>-0.024*N14^6+0.8709*N14^5-8.14*N14^4+34.017*N14^3-71.628*N14^2+92.474*N14-51.081</f>
        <v>20.937417358793326</v>
      </c>
      <c r="R14">
        <f>L14/(K14+L14)*5</f>
        <v>2.1580473658772354</v>
      </c>
      <c r="S14">
        <f>J14/(M14+J14)*5</f>
        <v>2.4061433447098981</v>
      </c>
      <c r="U14">
        <f>ABS(A14-V14)</f>
        <v>3.343695037518799</v>
      </c>
      <c r="V14">
        <f>-0.024*S14^6+0.8709*S14^5-8.14*S14^4+34.017*S14^3-71.628*S14^2+92.474*S14-51.081</f>
        <v>23.343695037518799</v>
      </c>
      <c r="X14">
        <f>ABS(A14-Y14)</f>
        <v>1.4280922395626447</v>
      </c>
      <c r="Y14">
        <f>-0.024*R14^6+0.8709*R14^5-8.14*R14^4+34.017*R14^3-71.628*R14^2+92.474*R14-51.081</f>
        <v>18.571907760437355</v>
      </c>
    </row>
    <row r="15" spans="1:25">
      <c r="A15">
        <v>25</v>
      </c>
      <c r="B15">
        <v>10000</v>
      </c>
      <c r="D15">
        <f t="shared" si="0"/>
        <v>2.5</v>
      </c>
      <c r="F15">
        <f t="shared" si="1"/>
        <v>50000</v>
      </c>
      <c r="G15">
        <f t="shared" si="2"/>
        <v>50000</v>
      </c>
      <c r="H15">
        <v>47</v>
      </c>
      <c r="I15">
        <v>47</v>
      </c>
      <c r="J15">
        <f>H15*1.05</f>
        <v>49.35</v>
      </c>
      <c r="K15">
        <f>I15*1.05</f>
        <v>49.35</v>
      </c>
      <c r="L15">
        <f>H15*0.95</f>
        <v>44.65</v>
      </c>
      <c r="M15">
        <f>I15*0.95</f>
        <v>44.65</v>
      </c>
      <c r="N15">
        <f>H15/(I15+H15)*5</f>
        <v>2.5</v>
      </c>
      <c r="O15">
        <f>ABS(A15-P15)</f>
        <v>0.16532812499998784</v>
      </c>
      <c r="P15">
        <f t="shared" ref="P15:P20" si="3">-0.024*N15^6+0.8709*N15^5-8.14*N15^4+34.017*N15^3-71.628*N15^2+92.474*N15-51.081</f>
        <v>25.165328124999988</v>
      </c>
      <c r="R15">
        <f>L15/(K15+L15)*5</f>
        <v>2.375</v>
      </c>
      <c r="S15">
        <f>J15/(M15+J15)*5</f>
        <v>2.625</v>
      </c>
      <c r="U15">
        <f>ABS(A15-V15)</f>
        <v>2.5984633148193694</v>
      </c>
      <c r="V15">
        <f>-0.024*S15^6+0.8709*S15^5-8.14*S15^4+34.017*S15^3-71.628*S15^2+92.474*S15-51.081</f>
        <v>27.598463314819369</v>
      </c>
      <c r="X15">
        <f>ABS(A15-Y15)</f>
        <v>2.2592797821044002</v>
      </c>
      <c r="Y15">
        <f>-0.024*R15^6+0.8709*R15^5-8.14*R15^4+34.017*R15^3-71.628*R15^2+92.474*R15-51.081</f>
        <v>22.7407202178956</v>
      </c>
    </row>
    <row r="16" spans="1:25">
      <c r="A16">
        <v>30</v>
      </c>
      <c r="B16">
        <v>8059</v>
      </c>
      <c r="D16">
        <f t="shared" si="0"/>
        <v>2.7687025859682155</v>
      </c>
      <c r="F16">
        <f t="shared" si="1"/>
        <v>55374.051719364317</v>
      </c>
      <c r="G16">
        <f t="shared" si="2"/>
        <v>44625.948280635683</v>
      </c>
      <c r="H16">
        <v>56</v>
      </c>
      <c r="I16">
        <v>47</v>
      </c>
      <c r="J16">
        <f>H16*1.05</f>
        <v>58.800000000000004</v>
      </c>
      <c r="K16">
        <f>I16*1.05</f>
        <v>49.35</v>
      </c>
      <c r="L16">
        <f>H16*0.95</f>
        <v>53.199999999999996</v>
      </c>
      <c r="M16">
        <f>I16*0.95</f>
        <v>44.65</v>
      </c>
      <c r="N16">
        <f>H16/(I16+H16)*5</f>
        <v>2.7184466019417473</v>
      </c>
      <c r="O16">
        <f>ABS(A16-P16)</f>
        <v>0.57920335136942924</v>
      </c>
      <c r="P16">
        <f t="shared" si="3"/>
        <v>29.420796648630571</v>
      </c>
      <c r="R16">
        <f>L16/(K16+L16)*5</f>
        <v>2.5938566552901019</v>
      </c>
      <c r="S16">
        <f>J16/(M16+J16)*5</f>
        <v>2.8419526341227646</v>
      </c>
      <c r="U16">
        <f>ABS(A16-V16)</f>
        <v>1.8342451824056099</v>
      </c>
      <c r="V16">
        <f>-0.024*S16^6+0.8709*S16^5-8.14*S16^4+34.017*S16^3-71.628*S16^2+92.474*S16-51.081</f>
        <v>31.83424518240561</v>
      </c>
      <c r="X16">
        <f>ABS(A16-Y16)</f>
        <v>3.008290792292641</v>
      </c>
      <c r="Y16">
        <f>-0.024*R16^6+0.8709*R16^5-8.14*R16^4+34.017*R16^3-71.628*R16^2+92.474*R16-51.081</f>
        <v>26.991709207707359</v>
      </c>
    </row>
    <row r="17" spans="1:25">
      <c r="A17">
        <v>35</v>
      </c>
      <c r="B17">
        <v>6535</v>
      </c>
      <c r="D17">
        <f t="shared" si="0"/>
        <v>3.0238887208950711</v>
      </c>
      <c r="F17">
        <f t="shared" si="1"/>
        <v>60477.774417901426</v>
      </c>
      <c r="G17">
        <f t="shared" si="2"/>
        <v>39522.225582098574</v>
      </c>
      <c r="H17">
        <v>56</v>
      </c>
      <c r="I17">
        <v>39</v>
      </c>
      <c r="J17">
        <f>H17*1.05</f>
        <v>58.800000000000004</v>
      </c>
      <c r="K17">
        <f>I17*1.05</f>
        <v>40.950000000000003</v>
      </c>
      <c r="L17">
        <f>H17*0.95</f>
        <v>53.199999999999996</v>
      </c>
      <c r="M17">
        <f>I17*0.95</f>
        <v>37.049999999999997</v>
      </c>
      <c r="N17">
        <f>H17/(I17+H17)*5</f>
        <v>2.9473684210526314</v>
      </c>
      <c r="O17">
        <f>ABS(A17-P17)</f>
        <v>1.0973122633072165</v>
      </c>
      <c r="P17">
        <f t="shared" si="3"/>
        <v>33.902687736692783</v>
      </c>
      <c r="R17">
        <f>L17/(K17+L17)*5</f>
        <v>2.8252788104089217</v>
      </c>
      <c r="S17">
        <f>J17/(M17+J17)*5</f>
        <v>3.0672926447574338</v>
      </c>
      <c r="U17">
        <f>ABS(A17-V17)</f>
        <v>1.2757710081070428</v>
      </c>
      <c r="V17">
        <f>-0.024*S17^6+0.8709*S17^5-8.14*S17^4+34.017*S17^3-71.628*S17^2+92.474*S17-51.081</f>
        <v>36.275771008107043</v>
      </c>
      <c r="X17">
        <f>ABS(A17-Y17)</f>
        <v>3.492041118574079</v>
      </c>
      <c r="Y17">
        <f>-0.024*R17^6+0.8709*R17^5-8.14*R17^4+34.017*R17^3-71.628*R17^2+92.474*R17-51.081</f>
        <v>31.507958881425921</v>
      </c>
    </row>
    <row r="18" spans="1:25">
      <c r="A18">
        <v>40</v>
      </c>
      <c r="B18">
        <v>5330</v>
      </c>
      <c r="D18">
        <f t="shared" si="0"/>
        <v>3.2615786040443573</v>
      </c>
      <c r="F18">
        <f t="shared" si="1"/>
        <v>65231.572080887141</v>
      </c>
      <c r="G18">
        <f t="shared" si="2"/>
        <v>34768.427919112859</v>
      </c>
      <c r="H18">
        <v>68</v>
      </c>
      <c r="I18">
        <v>33</v>
      </c>
      <c r="J18">
        <f>H18*1.05</f>
        <v>71.400000000000006</v>
      </c>
      <c r="K18">
        <f>I18*1.05</f>
        <v>34.65</v>
      </c>
      <c r="L18">
        <f>H18*0.95</f>
        <v>64.599999999999994</v>
      </c>
      <c r="M18">
        <f>I18*0.95</f>
        <v>31.349999999999998</v>
      </c>
      <c r="N18">
        <f>H18/(I18+H18)*5</f>
        <v>3.3663366336633667</v>
      </c>
      <c r="O18">
        <f>ABS(A18-P18)</f>
        <v>2.4290706446624455</v>
      </c>
      <c r="P18">
        <f t="shared" si="3"/>
        <v>42.429070644662445</v>
      </c>
      <c r="R18">
        <f>L18/(K18+L18)*5</f>
        <v>3.2544080604534003</v>
      </c>
      <c r="S18">
        <f>J18/(M18+J18)*5</f>
        <v>3.4744525547445262</v>
      </c>
      <c r="U18">
        <f>ABS(A18-V18)</f>
        <v>4.8161831440130101</v>
      </c>
      <c r="V18">
        <f>-0.024*S18^6+0.8709*S18^5-8.14*S18^4+34.017*S18^3-71.628*S18^2+92.474*S18-51.081</f>
        <v>44.81618314401301</v>
      </c>
      <c r="X18">
        <f>ABS(A18-Y18)</f>
        <v>6.7530347233642374E-2</v>
      </c>
      <c r="Y18">
        <f>-0.024*R18^6+0.8709*R18^5-8.14*R18^4+34.017*R18^3-71.628*R18^2+92.474*R18-51.081</f>
        <v>40.067530347233642</v>
      </c>
    </row>
    <row r="19" spans="1:25">
      <c r="A19">
        <v>45</v>
      </c>
      <c r="B19">
        <v>4372</v>
      </c>
      <c r="D19">
        <f t="shared" si="0"/>
        <v>3.4789869190091847</v>
      </c>
      <c r="F19">
        <f t="shared" si="1"/>
        <v>69579.738380183699</v>
      </c>
      <c r="G19">
        <f t="shared" si="2"/>
        <v>30420.261619816301</v>
      </c>
      <c r="H19">
        <v>68</v>
      </c>
      <c r="I19">
        <v>27</v>
      </c>
      <c r="J19">
        <f>H19*1.05</f>
        <v>71.400000000000006</v>
      </c>
      <c r="K19">
        <f>I19*1.05</f>
        <v>28.35</v>
      </c>
      <c r="L19">
        <f>H19*0.95</f>
        <v>64.599999999999994</v>
      </c>
      <c r="M19">
        <f>I19*0.95</f>
        <v>25.65</v>
      </c>
      <c r="N19">
        <f>H19/(I19+H19)*5</f>
        <v>3.5789473684210527</v>
      </c>
      <c r="O19">
        <f>ABS(A19-P19)</f>
        <v>2.2607127545939107</v>
      </c>
      <c r="P19">
        <f t="shared" si="3"/>
        <v>47.260712754593911</v>
      </c>
      <c r="R19">
        <f>L19/(K19+L19)*5</f>
        <v>3.474986551909629</v>
      </c>
      <c r="S19">
        <f>J19/(M19+J19)*5</f>
        <v>3.6785162287480677</v>
      </c>
      <c r="U19">
        <f>ABS(A19-V19)</f>
        <v>4.7564767823971152</v>
      </c>
      <c r="V19">
        <f>-0.024*S19^6+0.8709*S19^5-8.14*S19^4+34.017*S19^3-71.628*S19^2+92.474*S19-51.081</f>
        <v>49.756476782397115</v>
      </c>
      <c r="X19">
        <f>ABS(A19-Y19)</f>
        <v>0.17170339335591223</v>
      </c>
      <c r="Y19">
        <f>-0.024*R19^6+0.8709*R19^5-8.14*R19^4+34.017*R19^3-71.628*R19^2+92.474*R19-51.081</f>
        <v>44.828296606644088</v>
      </c>
    </row>
    <row r="20" spans="1:25">
      <c r="A20">
        <v>50</v>
      </c>
      <c r="B20">
        <v>3605</v>
      </c>
      <c r="D20">
        <f t="shared" si="0"/>
        <v>3.6751194413818449</v>
      </c>
      <c r="F20">
        <f t="shared" si="1"/>
        <v>73502.388827636896</v>
      </c>
      <c r="G20">
        <f t="shared" si="2"/>
        <v>26497.611172363104</v>
      </c>
      <c r="H20">
        <v>68</v>
      </c>
      <c r="I20">
        <v>27</v>
      </c>
      <c r="J20">
        <f>H20*1.05</f>
        <v>71.400000000000006</v>
      </c>
      <c r="K20">
        <f>I20*1.05</f>
        <v>28.35</v>
      </c>
      <c r="L20">
        <f>H20*0.95</f>
        <v>64.599999999999994</v>
      </c>
      <c r="M20">
        <f>I20*0.95</f>
        <v>25.65</v>
      </c>
      <c r="N20">
        <f>H20/(I20+H20)*5</f>
        <v>3.5789473684210527</v>
      </c>
      <c r="O20">
        <f>ABS(A20-P20)</f>
        <v>2.7392872454060893</v>
      </c>
      <c r="P20">
        <f t="shared" si="3"/>
        <v>47.260712754593911</v>
      </c>
      <c r="R20">
        <f>L20/(K20+L20)*5</f>
        <v>3.474986551909629</v>
      </c>
      <c r="S20">
        <f>J20/(M20+J20)*5</f>
        <v>3.6785162287480677</v>
      </c>
      <c r="U20">
        <f>ABS(A20-V20)</f>
        <v>0.24352321760288476</v>
      </c>
      <c r="V20">
        <f>-0.024*S20^6+0.8709*S20^5-8.14*S20^4+34.017*S20^3-71.628*S20^2+92.474*S20-51.081</f>
        <v>49.756476782397115</v>
      </c>
      <c r="X20">
        <f>ABS(A20-Y20)</f>
        <v>5.1717033933559122</v>
      </c>
      <c r="Y20">
        <f>-0.024*R20^6+0.8709*R20^5-8.14*R20^4+34.017*R20^3-71.628*R20^2+92.474*R20-51.081</f>
        <v>44.828296606644088</v>
      </c>
    </row>
    <row r="21" spans="1:25">
      <c r="A21">
        <v>55</v>
      </c>
      <c r="B21">
        <v>2989</v>
      </c>
      <c r="D21">
        <f t="shared" si="0"/>
        <v>3.849411040110863</v>
      </c>
      <c r="F21">
        <f t="shared" si="1"/>
        <v>76988.220802217256</v>
      </c>
      <c r="G21">
        <f t="shared" si="2"/>
        <v>23011.779197782744</v>
      </c>
    </row>
    <row r="22" spans="1:25">
      <c r="A22">
        <v>60</v>
      </c>
      <c r="B22">
        <v>2490</v>
      </c>
      <c r="D22">
        <f t="shared" si="0"/>
        <v>4.0032025620496396</v>
      </c>
      <c r="F22">
        <f t="shared" si="1"/>
        <v>80064.051240992791</v>
      </c>
      <c r="G22">
        <f t="shared" si="2"/>
        <v>19935.948759007209</v>
      </c>
    </row>
    <row r="23" spans="1:25">
      <c r="A23">
        <v>65</v>
      </c>
      <c r="B23">
        <v>2084</v>
      </c>
      <c r="D23">
        <f t="shared" si="0"/>
        <v>4.1377027474346244</v>
      </c>
      <c r="F23">
        <f t="shared" si="1"/>
        <v>82754.054948692487</v>
      </c>
      <c r="G23">
        <f t="shared" si="2"/>
        <v>17245.945051307513</v>
      </c>
    </row>
    <row r="24" spans="1:25">
      <c r="A24">
        <v>70</v>
      </c>
      <c r="B24">
        <v>1753</v>
      </c>
      <c r="D24">
        <f t="shared" si="0"/>
        <v>4.2542329617969878</v>
      </c>
      <c r="F24">
        <f t="shared" si="1"/>
        <v>85084.659235939762</v>
      </c>
      <c r="G24">
        <f t="shared" si="2"/>
        <v>14915.340764060238</v>
      </c>
    </row>
    <row r="25" spans="1:25">
      <c r="A25">
        <v>75</v>
      </c>
      <c r="B25">
        <v>1481</v>
      </c>
      <c r="D25">
        <f t="shared" si="0"/>
        <v>4.3550213396045638</v>
      </c>
      <c r="F25">
        <f t="shared" si="1"/>
        <v>87100.426792091268</v>
      </c>
      <c r="G25">
        <f t="shared" si="2"/>
        <v>12899.573207908732</v>
      </c>
    </row>
    <row r="26" spans="1:25">
      <c r="A26">
        <v>80</v>
      </c>
      <c r="B26">
        <v>1256</v>
      </c>
      <c r="D26">
        <f t="shared" si="0"/>
        <v>4.4420753375977258</v>
      </c>
      <c r="F26">
        <f t="shared" si="1"/>
        <v>88841.506751954526</v>
      </c>
      <c r="G26">
        <f t="shared" si="2"/>
        <v>11158.493248045474</v>
      </c>
    </row>
    <row r="27" spans="1:25">
      <c r="A27">
        <v>85</v>
      </c>
      <c r="B27">
        <v>1070</v>
      </c>
      <c r="D27">
        <f t="shared" si="0"/>
        <v>4.5167118337850045</v>
      </c>
      <c r="F27">
        <f t="shared" si="1"/>
        <v>90334.236675700085</v>
      </c>
      <c r="G27">
        <f t="shared" si="2"/>
        <v>9665.7633242999145</v>
      </c>
    </row>
    <row r="28" spans="1:25">
      <c r="A28">
        <v>90</v>
      </c>
      <c r="B28">
        <v>915.4</v>
      </c>
      <c r="D28">
        <f t="shared" si="0"/>
        <v>4.5806841709877792</v>
      </c>
      <c r="F28">
        <f t="shared" si="1"/>
        <v>91613.683419755587</v>
      </c>
      <c r="G28">
        <f t="shared" si="2"/>
        <v>8386.3165802444128</v>
      </c>
    </row>
    <row r="29" spans="1:25">
      <c r="A29">
        <v>95</v>
      </c>
      <c r="B29">
        <v>786</v>
      </c>
      <c r="D29">
        <f t="shared" si="0"/>
        <v>4.6356387910254035</v>
      </c>
      <c r="F29">
        <f t="shared" si="1"/>
        <v>92712.775820508075</v>
      </c>
      <c r="G29">
        <f t="shared" si="2"/>
        <v>7287.2241794919246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3" ma:contentTypeDescription="Create a new document." ma:contentTypeScope="" ma:versionID="f557099976f4f16fa9627675cbeb35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638d26fb7ab688331b9e3f60221f519a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8E1C57-7E00-4415-A393-9BD5B045C146}"/>
</file>

<file path=customXml/itemProps2.xml><?xml version="1.0" encoding="utf-8"?>
<ds:datastoreItem xmlns:ds="http://schemas.openxmlformats.org/officeDocument/2006/customXml" ds:itemID="{83462BB1-23B5-4EB4-A423-49D08E4F7BC1}"/>
</file>

<file path=customXml/itemProps3.xml><?xml version="1.0" encoding="utf-8"?>
<ds:datastoreItem xmlns:ds="http://schemas.openxmlformats.org/officeDocument/2006/customXml" ds:itemID="{DAFA1632-BD15-49EA-B7E8-BBFCFFF2A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Vaught</dc:creator>
  <cp:keywords/>
  <dc:description/>
  <cp:lastModifiedBy>Vaught, Jacob</cp:lastModifiedBy>
  <cp:revision/>
  <dcterms:created xsi:type="dcterms:W3CDTF">2022-09-27T15:45:48Z</dcterms:created>
  <dcterms:modified xsi:type="dcterms:W3CDTF">2022-10-02T02:25:06Z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