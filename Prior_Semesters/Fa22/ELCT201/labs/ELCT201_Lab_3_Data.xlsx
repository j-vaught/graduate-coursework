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0" documentId="8_{640C71AF-3EB6-4CF2-B0DF-649D6B88E5B8}" xr6:coauthVersionLast="47" xr6:coauthVersionMax="47" xr10:uidLastSave="{00000000-0000-0000-0000-000000000000}"/>
  <bookViews>
    <workbookView xWindow="-108" yWindow="-108" windowWidth="23256" windowHeight="12456" xr2:uid="{959AC02D-E211-46BA-B733-FB44D0E96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9" i="1"/>
  <c r="B9" i="1"/>
  <c r="C8" i="1"/>
  <c r="B8" i="1"/>
  <c r="C7" i="1"/>
  <c r="B5" i="1"/>
  <c r="C5" i="1"/>
  <c r="B7" i="1"/>
  <c r="C6" i="1"/>
  <c r="B6" i="1"/>
  <c r="C4" i="1"/>
  <c r="B4" i="1"/>
</calcChain>
</file>

<file path=xl/sharedStrings.xml><?xml version="1.0" encoding="utf-8"?>
<sst xmlns="http://schemas.openxmlformats.org/spreadsheetml/2006/main" count="15" uniqueCount="14">
  <si>
    <t>500g</t>
  </si>
  <si>
    <t>250g</t>
  </si>
  <si>
    <t>90mA</t>
  </si>
  <si>
    <t>150mA</t>
  </si>
  <si>
    <t>Current</t>
  </si>
  <si>
    <t>Time</t>
  </si>
  <si>
    <t>rad/s</t>
  </si>
  <si>
    <t>Torque</t>
  </si>
  <si>
    <t>Power</t>
  </si>
  <si>
    <t>Pe</t>
  </si>
  <si>
    <t>n</t>
  </si>
  <si>
    <t>k</t>
  </si>
  <si>
    <t>Voltage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</si>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</sst>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vs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Sheet1!$A$12:$A$14</c:f>
              <c:numCache>
                <c:formatCode>General</c:formatCode>
                <c:ptCount val="3"/>
                <c:pt idx="0">
                  <c:v>5</c:v>
                </c:pt>
                <c:pt idx="1">
                  <c:v>7.5</c:v>
                </c:pt>
                <c:pt idx="2">
                  <c:v>10</c:v>
                </c:pt>
              </c:numCache>
            </c:numRef>
          </c:xVal>
          <c:yVal>
            <c:numRef>
              <c:f>Sheet1!$C$12:$C$14</c:f>
              <c:numCache>
                <c:formatCode>General</c:formatCode>
                <c:ptCount val="3"/>
                <c:pt idx="0">
                  <c:v>1.8779342723004695</c:v>
                </c:pt>
                <c:pt idx="1">
                  <c:v>3.2154340836012865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6-42A4-8C1D-3DB8CA0C6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829664"/>
        <c:axId val="736826752"/>
      </c:scatterChart>
      <c:valAx>
        <c:axId val="73682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26752"/>
        <c:crosses val="autoZero"/>
        <c:crossBetween val="midCat"/>
      </c:valAx>
      <c:valAx>
        <c:axId val="7368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2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102576</xdr:colOff>
      <xdr:row>2</xdr:row>
      <xdr:rowOff>67408</xdr:rowOff>
    </xdr:from>
    <xdr:to>
      <xdr:col>11</xdr:col>
      <xdr:colOff>407376</xdr:colOff>
      <xdr:row>17</xdr:row>
      <xdr:rowOff>84992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6E393F-B682-D462-87B7-A3F9B8A59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272-67FF-4F0B-AF1D-6CE024226552}">
  <dimension ref="A1:C14"/>
  <sheetViews>
    <sheetView tabSelected="1" zoomScale="130" zoomScaleNormal="130" workbookViewId="0">
      <selection activeCell="M6" sqref="M6"/>
    </sheetView>
  </sheetViews>
  <sheetFormatPr defaultRowHeight="14.4" x14ac:dyDescent="0.3"/>
  <sheetData>
    <row r="1" spans="1:3" x14ac:dyDescent="0.3">
      <c r="A1" s="2"/>
      <c r="B1" s="3" t="s">
        <v>0</v>
      </c>
      <c r="C1" s="3" t="s">
        <v>1</v>
      </c>
    </row>
    <row r="2" spans="1:3" x14ac:dyDescent="0.3">
      <c r="A2" s="4" t="s">
        <v>4</v>
      </c>
      <c r="B2" s="1" t="s">
        <v>3</v>
      </c>
      <c r="C2" s="1" t="s">
        <v>2</v>
      </c>
    </row>
    <row r="3" spans="1:3" x14ac:dyDescent="0.3">
      <c r="A3" s="4" t="s">
        <v>5</v>
      </c>
      <c r="B3" s="1">
        <v>9.8000000000000007</v>
      </c>
      <c r="C3" s="1">
        <v>7.52</v>
      </c>
    </row>
    <row r="4" spans="1:3" x14ac:dyDescent="0.3">
      <c r="A4" s="5" t="s">
        <v>6</v>
      </c>
      <c r="B4" s="1">
        <f>1/0.05/B3</f>
        <v>2.0408163265306123</v>
      </c>
      <c r="C4" s="1">
        <f>1/0.05/C3</f>
        <v>2.6595744680851063</v>
      </c>
    </row>
    <row r="5" spans="1:3" x14ac:dyDescent="0.3">
      <c r="A5" s="5" t="s">
        <v>7</v>
      </c>
      <c r="B5" s="1">
        <f>0.05*0.5*9.81</f>
        <v>0.24525000000000002</v>
      </c>
      <c r="C5" s="1">
        <f>0.05*0.25*9.81</f>
        <v>0.12262500000000001</v>
      </c>
    </row>
    <row r="6" spans="1:3" x14ac:dyDescent="0.3">
      <c r="A6" s="5" t="s">
        <v>8</v>
      </c>
      <c r="B6" s="1">
        <f>B4*B5</f>
        <v>0.50051020408163271</v>
      </c>
      <c r="C6" s="1">
        <f>C4*C5</f>
        <v>0.3261303191489362</v>
      </c>
    </row>
    <row r="7" spans="1:3" x14ac:dyDescent="0.3">
      <c r="A7" s="5" t="s">
        <v>9</v>
      </c>
      <c r="B7" s="1">
        <f>0.15*10</f>
        <v>1.5</v>
      </c>
      <c r="C7" s="1">
        <f>0.09*10</f>
        <v>0.89999999999999991</v>
      </c>
    </row>
    <row r="8" spans="1:3" x14ac:dyDescent="0.3">
      <c r="A8" s="5" t="s">
        <v>10</v>
      </c>
      <c r="B8" s="1">
        <f>B6/B7</f>
        <v>0.33367346938775516</v>
      </c>
      <c r="C8" s="1">
        <f>C6/C7</f>
        <v>0.36236702127659581</v>
      </c>
    </row>
    <row r="9" spans="1:3" x14ac:dyDescent="0.3">
      <c r="A9" s="5" t="s">
        <v>11</v>
      </c>
      <c r="B9" s="1">
        <f>B5/0.15</f>
        <v>1.6350000000000002</v>
      </c>
      <c r="C9" s="1">
        <f>C5/0.09</f>
        <v>1.3625000000000003</v>
      </c>
    </row>
    <row r="11" spans="1:3" x14ac:dyDescent="0.3">
      <c r="A11" s="1" t="s">
        <v>12</v>
      </c>
      <c r="B11" s="1" t="s">
        <v>5</v>
      </c>
      <c r="C11" s="1" t="s">
        <v>13</v>
      </c>
    </row>
    <row r="12" spans="1:3" x14ac:dyDescent="0.3">
      <c r="A12">
        <v>5</v>
      </c>
      <c r="B12">
        <v>10.65</v>
      </c>
      <c r="C12">
        <f>1/0.05/B12</f>
        <v>1.8779342723004695</v>
      </c>
    </row>
    <row r="13" spans="1:3" x14ac:dyDescent="0.3">
      <c r="A13">
        <v>7.5</v>
      </c>
      <c r="B13">
        <v>6.22</v>
      </c>
      <c r="C13">
        <f t="shared" ref="C13:C14" si="0">1/0.05/B13</f>
        <v>3.2154340836012865</v>
      </c>
    </row>
    <row r="14" spans="1:3" x14ac:dyDescent="0.3">
      <c r="A14">
        <v>10</v>
      </c>
      <c r="B14">
        <v>4</v>
      </c>
      <c r="C14">
        <f t="shared" si="0"/>
        <v>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486DE9-E7F3-45F9-AE3F-7B8C36B41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3A6470-0B6F-43AA-B205-3812BC2A99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679BAB-166B-489D-9DDE-DDACFEDFEA52}">
  <ds:schemaRefs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593646a3-f4b2-4797-891f-a58c41aec49e"/>
    <ds:schemaRef ds:uri="27638313-1e11-4999-9038-bfa2141b3777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2022-09-29T03:40:50Z</dcterms:created>
  <dcterms:modified xsi:type="dcterms:W3CDTF">2022-09-29T05:50:57Z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