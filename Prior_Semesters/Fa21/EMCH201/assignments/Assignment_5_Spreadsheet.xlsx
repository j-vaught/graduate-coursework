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"/>
    </mc:Choice>
  </mc:AlternateContent>
  <xr:revisionPtr revIDLastSave="117" documentId="8_{25FF2C2D-B090-4DD8-8356-47A8512245B9}" xr6:coauthVersionLast="47" xr6:coauthVersionMax="47" xr10:uidLastSave="{961F9E14-F9BB-4ABE-8D58-B8A6273CA019}"/>
  <bookViews>
    <workbookView xWindow="-16320" yWindow="-11160" windowWidth="16440" windowHeight="28440" xr2:uid="{FC230EDA-A544-4C57-95AB-F90AF52B2B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H12" i="1"/>
  <c r="D12" i="1"/>
  <c r="E12" i="1"/>
  <c r="F12" i="1"/>
  <c r="G12" i="1"/>
  <c r="C12" i="1"/>
  <c r="H11" i="1"/>
  <c r="D11" i="1"/>
  <c r="E11" i="1"/>
  <c r="F11" i="1"/>
  <c r="G11" i="1"/>
  <c r="C11" i="1"/>
  <c r="M16" i="1"/>
  <c r="N16" i="1"/>
  <c r="O16" i="1"/>
  <c r="P16" i="1"/>
  <c r="L16" i="1"/>
  <c r="Q16" i="1" s="1"/>
  <c r="R9" i="1"/>
  <c r="P15" i="1" l="1"/>
  <c r="L15" i="1"/>
  <c r="N15" i="1"/>
  <c r="Q9" i="1"/>
  <c r="O18" i="1" s="1"/>
  <c r="Q8" i="1"/>
  <c r="L19" i="1" s="1"/>
  <c r="M13" i="1"/>
  <c r="N13" i="1"/>
  <c r="O13" i="1"/>
  <c r="P13" i="1"/>
  <c r="L13" i="1"/>
  <c r="M11" i="1"/>
  <c r="N11" i="1"/>
  <c r="O11" i="1"/>
  <c r="P11" i="1"/>
  <c r="M12" i="1"/>
  <c r="N12" i="1"/>
  <c r="O12" i="1"/>
  <c r="P12" i="1"/>
  <c r="L12" i="1"/>
  <c r="L11" i="1"/>
  <c r="M10" i="1"/>
  <c r="M15" i="1" s="1"/>
  <c r="N10" i="1"/>
  <c r="O10" i="1"/>
  <c r="O15" i="1" s="1"/>
  <c r="P10" i="1"/>
  <c r="L10" i="1"/>
  <c r="H6" i="1"/>
  <c r="H5" i="1"/>
  <c r="D8" i="1"/>
  <c r="D9" i="1" s="1"/>
  <c r="E8" i="1"/>
  <c r="F8" i="1"/>
  <c r="F9" i="1" s="1"/>
  <c r="G8" i="1"/>
  <c r="G9" i="1" s="1"/>
  <c r="C8" i="1"/>
  <c r="D7" i="1"/>
  <c r="E7" i="1"/>
  <c r="F7" i="1"/>
  <c r="G7" i="1"/>
  <c r="C7" i="1"/>
  <c r="Q15" i="1" l="1"/>
  <c r="M14" i="1"/>
  <c r="I8" i="1"/>
  <c r="F10" i="1"/>
  <c r="C9" i="1"/>
  <c r="L14" i="1"/>
  <c r="Q12" i="1"/>
  <c r="N20" i="1" s="1"/>
  <c r="Q11" i="1"/>
  <c r="N19" i="1" s="1"/>
  <c r="P14" i="1"/>
  <c r="I7" i="1"/>
  <c r="D10" i="1"/>
  <c r="H8" i="1"/>
  <c r="O14" i="1"/>
  <c r="Q13" i="1"/>
  <c r="O19" i="1" s="1"/>
  <c r="M18" i="1"/>
  <c r="N14" i="1"/>
  <c r="Q10" i="1"/>
  <c r="G10" i="1"/>
  <c r="E9" i="1"/>
  <c r="H9" i="1" s="1"/>
  <c r="H7" i="1"/>
  <c r="C10" i="1"/>
  <c r="E10" i="1"/>
  <c r="N5" i="1"/>
  <c r="O5" i="1"/>
  <c r="P5" i="1"/>
  <c r="L5" i="1"/>
  <c r="M5" i="1"/>
  <c r="N4" i="1"/>
  <c r="O4" i="1"/>
  <c r="P4" i="1"/>
  <c r="M4" i="1"/>
  <c r="L4" i="1"/>
  <c r="M20" i="1" l="1"/>
  <c r="Q14" i="1"/>
  <c r="O20" i="1" s="1"/>
  <c r="M19" i="1"/>
  <c r="N18" i="1"/>
  <c r="L20" i="1"/>
  <c r="H10" i="1"/>
  <c r="L22" i="1" l="1" a="1"/>
  <c r="L22" i="1" s="1"/>
  <c r="P22" i="1" s="1" a="1"/>
  <c r="P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<sst xmlns="http://schemas.openxmlformats.org/spreadsheetml/2006/main" count="22" uniqueCount="17">
  <si>
    <t>SUM</t>
  </si>
  <si>
    <t>mean</t>
  </si>
  <si>
    <t>c</t>
  </si>
  <si>
    <t>k</t>
  </si>
  <si>
    <t>y</t>
  </si>
  <si>
    <t>1/k</t>
  </si>
  <si>
    <t>x</t>
  </si>
  <si>
    <t>1/c^2</t>
  </si>
  <si>
    <t>x^2</t>
  </si>
  <si>
    <t>(1/c^2)^2</t>
  </si>
  <si>
    <t>xy</t>
  </si>
  <si>
    <t>1/c^2*1/k</t>
  </si>
  <si>
    <t>x^3</t>
  </si>
  <si>
    <t>x^4</t>
  </si>
  <si>
    <t>x^2*y</t>
  </si>
  <si>
    <t>(yi-a0-a1xi-a2xi^2)^2</t>
  </si>
  <si>
    <t>(yi-y\bar)^2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</si>
</sst>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Sheet1!$C$5:$G$5</c:f>
              <c:numCache>
                <c:formatCode>General</c:formatCode>
                <c:ptCount val="5"/>
                <c:pt idx="0">
                  <c:v>0.5</c:v>
                </c:pt>
                <c:pt idx="1">
                  <c:v>0.8</c:v>
                </c:pt>
                <c:pt idx="2">
                  <c:v>1.6</c:v>
                </c:pt>
                <c:pt idx="3">
                  <c:v>2.5</c:v>
                </c:pt>
                <c:pt idx="4">
                  <c:v>4</c:v>
                </c:pt>
              </c:numCache>
            </c:numRef>
          </c:xVal>
          <c:yVal>
            <c:numRef>
              <c:f>Sheet1!$C$6:$G$6</c:f>
              <c:numCache>
                <c:formatCode>General</c:formatCode>
                <c:ptCount val="5"/>
                <c:pt idx="0">
                  <c:v>1.08</c:v>
                </c:pt>
                <c:pt idx="1">
                  <c:v>2.41</c:v>
                </c:pt>
                <c:pt idx="2">
                  <c:v>5.35</c:v>
                </c:pt>
                <c:pt idx="3">
                  <c:v>7.91</c:v>
                </c:pt>
                <c:pt idx="4">
                  <c:v>8.9499999999999993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1A-4985-B082-4DF700B00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22223"/>
        <c:axId val="1759820975"/>
      </c:scatterChart>
      <c:valAx>
        <c:axId val="175982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20975"/>
        <c:crosses val="autoZero"/>
        <c:crossBetween val="midCat"/>
      </c:valAx>
      <c:valAx>
        <c:axId val="175982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2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200025</xdr:colOff>
      <xdr:row>0</xdr:row>
      <xdr:rowOff>147637</xdr:rowOff>
    </xdr:from>
    <xdr:to>
      <xdr:col>29</xdr:col>
      <xdr:colOff>504825</xdr:colOff>
      <xdr:row>15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41E42-A379-4F84-96FC-58819F978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090B-1846-41E8-BDF0-54D5C9CB2C77}">
  <dimension ref="A1:R24"/>
  <sheetViews>
    <sheetView tabSelected="1" topLeftCell="G1" zoomScaleNormal="100" workbookViewId="0">
      <selection activeCell="L15" sqref="L15:Q15"/>
    </sheetView>
  </sheetViews>
  <sheetFormatPr defaultRowHeight="15"/>
  <cols>
    <col min="1" max="1" width="4" bestFit="1" customWidth="1"/>
    <col min="2" max="2" width="9.5703125" customWidth="1"/>
    <col min="3" max="5" width="12" bestFit="1" customWidth="1"/>
    <col min="6" max="6" width="11" bestFit="1" customWidth="1"/>
    <col min="7" max="9" width="12" bestFit="1" customWidth="1"/>
    <col min="10" max="10" width="9.42578125" customWidth="1"/>
    <col min="11" max="11" width="18.5703125" customWidth="1"/>
    <col min="12" max="12" width="8" bestFit="1" customWidth="1"/>
    <col min="13" max="13" width="11" bestFit="1" customWidth="1"/>
    <col min="14" max="14" width="7" customWidth="1"/>
    <col min="15" max="15" width="11" bestFit="1" customWidth="1"/>
    <col min="16" max="16" width="9.140625" customWidth="1"/>
    <col min="17" max="17" width="13.7109375" customWidth="1"/>
    <col min="18" max="18" width="13" customWidth="1"/>
  </cols>
  <sheetData>
    <row r="1" spans="1:18">
      <c r="B1" s="1"/>
    </row>
    <row r="2" spans="1:18">
      <c r="B2" s="1"/>
    </row>
    <row r="4" spans="1:18">
      <c r="H4" t="s">
        <v>0</v>
      </c>
      <c r="I4" t="s">
        <v>1</v>
      </c>
      <c r="L4">
        <f>C5^2</f>
        <v>0.25</v>
      </c>
      <c r="M4">
        <f>D5^2</f>
        <v>0.64000000000000012</v>
      </c>
      <c r="N4">
        <f t="shared" ref="N4:P4" si="0">E5^2</f>
        <v>2.5600000000000005</v>
      </c>
      <c r="O4">
        <f t="shared" si="0"/>
        <v>6.25</v>
      </c>
      <c r="P4">
        <f t="shared" si="0"/>
        <v>16</v>
      </c>
    </row>
    <row r="5" spans="1:18">
      <c r="B5" t="s">
        <v>2</v>
      </c>
      <c r="C5">
        <v>0.5</v>
      </c>
      <c r="D5">
        <v>0.8</v>
      </c>
      <c r="E5">
        <v>1.6</v>
      </c>
      <c r="F5">
        <v>2.5</v>
      </c>
      <c r="G5">
        <v>4</v>
      </c>
      <c r="H5">
        <f>SUM(C5:G5)</f>
        <v>9.4</v>
      </c>
      <c r="L5">
        <f>C5*C6</f>
        <v>0.54</v>
      </c>
      <c r="M5">
        <f>D5*D6</f>
        <v>1.9280000000000002</v>
      </c>
      <c r="N5">
        <f t="shared" ref="N5:P5" si="1">E5*E6</f>
        <v>8.56</v>
      </c>
      <c r="O5">
        <f t="shared" si="1"/>
        <v>19.774999999999999</v>
      </c>
      <c r="P5">
        <f t="shared" si="1"/>
        <v>35.799999999999997</v>
      </c>
    </row>
    <row r="6" spans="1:18">
      <c r="B6" t="s">
        <v>3</v>
      </c>
      <c r="C6">
        <v>1.08</v>
      </c>
      <c r="D6">
        <v>2.41</v>
      </c>
      <c r="E6">
        <v>5.35</v>
      </c>
      <c r="F6">
        <v>7.91</v>
      </c>
      <c r="G6">
        <v>8.9499999999999993</v>
      </c>
      <c r="H6">
        <f t="shared" ref="H6:H12" si="2">SUM(C6:G6)</f>
        <v>25.7</v>
      </c>
    </row>
    <row r="7" spans="1:18">
      <c r="A7" t="s">
        <v>4</v>
      </c>
      <c r="B7" t="s">
        <v>5</v>
      </c>
      <c r="C7">
        <f>1/C6</f>
        <v>0.92592592592592582</v>
      </c>
      <c r="D7">
        <f t="shared" ref="D7:G7" si="3">1/D6</f>
        <v>0.41493775933609955</v>
      </c>
      <c r="E7">
        <f t="shared" si="3"/>
        <v>0.18691588785046731</v>
      </c>
      <c r="F7">
        <f t="shared" si="3"/>
        <v>0.12642225031605561</v>
      </c>
      <c r="G7">
        <f t="shared" si="3"/>
        <v>0.111731843575419</v>
      </c>
      <c r="H7">
        <f t="shared" si="2"/>
        <v>1.7659336670039676</v>
      </c>
      <c r="I7">
        <f>AVERAGE(C7:G7)</f>
        <v>0.35318673340079354</v>
      </c>
      <c r="K7" s="2"/>
      <c r="L7" s="2"/>
      <c r="M7" s="2"/>
      <c r="N7" s="2"/>
      <c r="O7" s="2"/>
      <c r="P7" s="2"/>
      <c r="Q7" s="2" t="s">
        <v>0</v>
      </c>
    </row>
    <row r="8" spans="1:18">
      <c r="A8" t="s">
        <v>6</v>
      </c>
      <c r="B8" t="s">
        <v>7</v>
      </c>
      <c r="C8">
        <f>1/(C5^2)</f>
        <v>4</v>
      </c>
      <c r="D8">
        <f t="shared" ref="D8:G8" si="4">1/(D5^2)</f>
        <v>1.5624999999999998</v>
      </c>
      <c r="E8">
        <f t="shared" si="4"/>
        <v>0.39062499999999994</v>
      </c>
      <c r="F8">
        <f t="shared" si="4"/>
        <v>0.16</v>
      </c>
      <c r="G8">
        <f t="shared" si="4"/>
        <v>6.25E-2</v>
      </c>
      <c r="H8">
        <f t="shared" si="2"/>
        <v>6.1756250000000001</v>
      </c>
      <c r="I8">
        <f>AVERAGE(C8:G8)</f>
        <v>1.235125</v>
      </c>
      <c r="K8" s="2" t="s">
        <v>6</v>
      </c>
      <c r="L8" s="2">
        <v>-1.8</v>
      </c>
      <c r="M8" s="2">
        <v>-1.65</v>
      </c>
      <c r="N8" s="2">
        <v>-1.5</v>
      </c>
      <c r="O8" s="2">
        <v>-1.25</v>
      </c>
      <c r="P8" s="2">
        <v>-1</v>
      </c>
      <c r="Q8" s="2">
        <f>SUM(L8:P8)</f>
        <v>-7.2</v>
      </c>
    </row>
    <row r="9" spans="1:18">
      <c r="A9" t="s">
        <v>8</v>
      </c>
      <c r="B9" t="s">
        <v>9</v>
      </c>
      <c r="C9">
        <f>C8^2</f>
        <v>16</v>
      </c>
      <c r="D9">
        <f t="shared" ref="D9:G9" si="5">D8^2</f>
        <v>2.4414062499999991</v>
      </c>
      <c r="E9">
        <f t="shared" si="5"/>
        <v>0.15258789062499994</v>
      </c>
      <c r="F9">
        <f t="shared" si="5"/>
        <v>2.5600000000000001E-2</v>
      </c>
      <c r="G9">
        <f t="shared" si="5"/>
        <v>3.90625E-3</v>
      </c>
      <c r="H9">
        <f t="shared" si="2"/>
        <v>18.623500390625001</v>
      </c>
      <c r="K9" s="2" t="s">
        <v>4</v>
      </c>
      <c r="L9" s="2">
        <v>-40</v>
      </c>
      <c r="M9" s="2">
        <v>-20</v>
      </c>
      <c r="N9" s="2">
        <v>10</v>
      </c>
      <c r="O9" s="2">
        <v>38</v>
      </c>
      <c r="P9" s="2">
        <v>76</v>
      </c>
      <c r="Q9" s="2">
        <f t="shared" ref="Q9:Q16" si="6">SUM(L9:P9)</f>
        <v>64</v>
      </c>
      <c r="R9">
        <f>AVERAGE(L9:P9)</f>
        <v>12.8</v>
      </c>
    </row>
    <row r="10" spans="1:18">
      <c r="A10" t="s">
        <v>10</v>
      </c>
      <c r="B10" t="s">
        <v>11</v>
      </c>
      <c r="C10">
        <f>C8*C7</f>
        <v>3.7037037037037033</v>
      </c>
      <c r="D10">
        <f t="shared" ref="D10:G10" si="7">D8*D7</f>
        <v>0.64834024896265541</v>
      </c>
      <c r="E10">
        <f t="shared" si="7"/>
        <v>7.3014018691588786E-2</v>
      </c>
      <c r="F10">
        <f t="shared" si="7"/>
        <v>2.0227560050568898E-2</v>
      </c>
      <c r="G10">
        <f t="shared" si="7"/>
        <v>6.9832402234636876E-3</v>
      </c>
      <c r="H10">
        <f t="shared" si="2"/>
        <v>4.4522687716319789</v>
      </c>
      <c r="K10" s="2" t="s">
        <v>8</v>
      </c>
      <c r="L10" s="2">
        <f>L8^2</f>
        <v>3.24</v>
      </c>
      <c r="M10" s="2">
        <f t="shared" ref="M10:P10" si="8">M8^2</f>
        <v>2.7224999999999997</v>
      </c>
      <c r="N10" s="2">
        <f t="shared" si="8"/>
        <v>2.25</v>
      </c>
      <c r="O10" s="2">
        <f t="shared" si="8"/>
        <v>1.5625</v>
      </c>
      <c r="P10" s="2">
        <f t="shared" si="8"/>
        <v>1</v>
      </c>
      <c r="Q10" s="2">
        <f t="shared" si="6"/>
        <v>10.775</v>
      </c>
    </row>
    <row r="11" spans="1:18">
      <c r="C11">
        <f>(C7-0.09813-0.2065*C8)^2</f>
        <v>3.2253499314124854E-6</v>
      </c>
      <c r="D11">
        <f t="shared" ref="D11:G11" si="9">(D7-0.09813-0.2065*D8)^2</f>
        <v>3.4204843045729709E-5</v>
      </c>
      <c r="E11">
        <f t="shared" si="9"/>
        <v>6.5964047023493844E-5</v>
      </c>
      <c r="F11">
        <f t="shared" si="9"/>
        <v>2.2541127061393985E-5</v>
      </c>
      <c r="G11">
        <f t="shared" si="9"/>
        <v>4.8385042216419795E-7</v>
      </c>
      <c r="H11">
        <f t="shared" si="2"/>
        <v>1.2641921748419424E-4</v>
      </c>
      <c r="K11" s="2" t="s">
        <v>12</v>
      </c>
      <c r="L11" s="2">
        <f>L8^3</f>
        <v>-5.8320000000000007</v>
      </c>
      <c r="M11" s="2">
        <f t="shared" ref="M11:P11" si="10">M8^3</f>
        <v>-4.4921249999999997</v>
      </c>
      <c r="N11" s="2">
        <f t="shared" si="10"/>
        <v>-3.375</v>
      </c>
      <c r="O11" s="2">
        <f t="shared" si="10"/>
        <v>-1.953125</v>
      </c>
      <c r="P11" s="2">
        <f t="shared" si="10"/>
        <v>-1</v>
      </c>
      <c r="Q11" s="2">
        <f t="shared" si="6"/>
        <v>-16.652250000000002</v>
      </c>
    </row>
    <row r="12" spans="1:18">
      <c r="C12">
        <f>(C7-0.353186733)^2</f>
        <v>0.32803018311344084</v>
      </c>
      <c r="D12">
        <f t="shared" ref="D12:G12" si="11">(D7-0.353186733)^2</f>
        <v>3.8131892535616637E-3</v>
      </c>
      <c r="E12">
        <f t="shared" si="11"/>
        <v>2.7645993946739871E-2</v>
      </c>
      <c r="F12">
        <f t="shared" si="11"/>
        <v>5.1422130606916902E-2</v>
      </c>
      <c r="G12">
        <f t="shared" si="11"/>
        <v>5.8300463627036635E-2</v>
      </c>
      <c r="H12">
        <f t="shared" si="2"/>
        <v>0.46921196054769593</v>
      </c>
      <c r="K12" s="2" t="s">
        <v>13</v>
      </c>
      <c r="L12" s="2">
        <f>L8^4</f>
        <v>10.497600000000002</v>
      </c>
      <c r="M12" s="2">
        <f t="shared" ref="M12:P12" si="12">M8^4</f>
        <v>7.4120062499999984</v>
      </c>
      <c r="N12" s="2">
        <f t="shared" si="12"/>
        <v>5.0625</v>
      </c>
      <c r="O12" s="2">
        <f t="shared" si="12"/>
        <v>2.44140625</v>
      </c>
      <c r="P12" s="2">
        <f t="shared" si="12"/>
        <v>1</v>
      </c>
      <c r="Q12" s="2">
        <f t="shared" si="6"/>
        <v>26.4135125</v>
      </c>
    </row>
    <row r="13" spans="1:18">
      <c r="D13">
        <f>(H12-H11)/H12</f>
        <v>0.99973057119572006</v>
      </c>
      <c r="K13" s="2" t="s">
        <v>10</v>
      </c>
      <c r="L13" s="2">
        <f>L8*L9</f>
        <v>72</v>
      </c>
      <c r="M13" s="2">
        <f t="shared" ref="M13:P13" si="13">M8*M9</f>
        <v>33</v>
      </c>
      <c r="N13" s="2">
        <f t="shared" si="13"/>
        <v>-15</v>
      </c>
      <c r="O13" s="2">
        <f t="shared" si="13"/>
        <v>-47.5</v>
      </c>
      <c r="P13" s="2">
        <f t="shared" si="13"/>
        <v>-76</v>
      </c>
      <c r="Q13" s="2">
        <f t="shared" si="6"/>
        <v>-33.5</v>
      </c>
    </row>
    <row r="14" spans="1:18">
      <c r="K14" s="2" t="s">
        <v>14</v>
      </c>
      <c r="L14" s="2">
        <f>L10*L9</f>
        <v>-129.60000000000002</v>
      </c>
      <c r="M14" s="2">
        <f t="shared" ref="M14:P14" si="14">M10*M9</f>
        <v>-54.449999999999996</v>
      </c>
      <c r="N14" s="2">
        <f t="shared" si="14"/>
        <v>22.5</v>
      </c>
      <c r="O14" s="2">
        <f t="shared" si="14"/>
        <v>59.375</v>
      </c>
      <c r="P14" s="2">
        <f t="shared" si="14"/>
        <v>76</v>
      </c>
      <c r="Q14" s="2">
        <f t="shared" si="6"/>
        <v>-26.175000000000011</v>
      </c>
    </row>
    <row r="15" spans="1:18">
      <c r="K15" s="3" t="s">
        <v>15</v>
      </c>
      <c r="L15">
        <f>(L9-Q22-Q23*L8-Q24*L10)^2</f>
        <v>0.10739852579959681</v>
      </c>
      <c r="M15">
        <f>(M9-Q22-Q23*M8-Q24*M10)^2</f>
        <v>7.9787387062872117</v>
      </c>
      <c r="N15">
        <f>(N9-Q22-Q23*N8-Q24*N10)^2</f>
        <v>22.294839889247282</v>
      </c>
      <c r="O15">
        <f>(O9-Q22-Q23*O8-Q24*O10)^2</f>
        <v>9.9101893545816431</v>
      </c>
      <c r="P15">
        <f>(P9-Q22-Q23*P8-Q24*P10)^2</f>
        <v>0.85239630568919089</v>
      </c>
      <c r="Q15" s="2">
        <f t="shared" si="6"/>
        <v>41.143562781604921</v>
      </c>
    </row>
    <row r="16" spans="1:18">
      <c r="K16" s="3" t="s">
        <v>16</v>
      </c>
      <c r="L16">
        <f>(L9-12.8)^2</f>
        <v>2787.8399999999997</v>
      </c>
      <c r="M16">
        <f t="shared" ref="M16:P16" si="15">(M9-12.8)^2</f>
        <v>1075.8399999999999</v>
      </c>
      <c r="N16">
        <f t="shared" si="15"/>
        <v>7.8400000000000043</v>
      </c>
      <c r="O16">
        <f t="shared" si="15"/>
        <v>635.04</v>
      </c>
      <c r="P16">
        <f t="shared" si="15"/>
        <v>3994.2400000000002</v>
      </c>
      <c r="Q16" s="2">
        <f t="shared" si="6"/>
        <v>8500.7999999999993</v>
      </c>
    </row>
    <row r="18" spans="12:17">
      <c r="L18">
        <v>5</v>
      </c>
      <c r="M18">
        <f>Q8</f>
        <v>-7.2</v>
      </c>
      <c r="N18">
        <f>Q10</f>
        <v>10.775</v>
      </c>
      <c r="O18">
        <f>Q9</f>
        <v>64</v>
      </c>
    </row>
    <row r="19" spans="12:17">
      <c r="L19">
        <f>Q8</f>
        <v>-7.2</v>
      </c>
      <c r="M19">
        <f>Q10</f>
        <v>10.775</v>
      </c>
      <c r="N19">
        <f>Q11</f>
        <v>-16.652250000000002</v>
      </c>
      <c r="O19">
        <f>Q13</f>
        <v>-33.5</v>
      </c>
    </row>
    <row r="20" spans="12:17">
      <c r="L20">
        <f>Q10</f>
        <v>10.775</v>
      </c>
      <c r="M20">
        <f>Q11</f>
        <v>-16.652250000000002</v>
      </c>
      <c r="N20">
        <f>Q12</f>
        <v>26.4135125</v>
      </c>
      <c r="O20">
        <f>Q14</f>
        <v>-26.175000000000011</v>
      </c>
    </row>
    <row r="22" spans="12:17">
      <c r="L22" cm="1">
        <f t="array" ref="L22:N24">MINVERSE(L18:N20)</f>
        <v>169.07953763318193</v>
      </c>
      <c r="M22">
        <v>248.6924571846198</v>
      </c>
      <c r="N22">
        <v>87.813271792422512</v>
      </c>
      <c r="P22" cm="1">
        <f t="array" ref="P22:P24">MMULT(_xlfn.ANCHORARRAY(L22),O18:O20)</f>
        <v>191.38070367221962</v>
      </c>
      <c r="Q22">
        <v>191.38070367221962</v>
      </c>
    </row>
    <row r="23" spans="12:17">
      <c r="L23">
        <v>248.6924571846198</v>
      </c>
      <c r="M23">
        <v>369.40622234578922</v>
      </c>
      <c r="N23">
        <v>131.43967656302397</v>
      </c>
      <c r="P23">
        <v>100.77527719457476</v>
      </c>
      <c r="Q23">
        <v>100.77527719457476</v>
      </c>
    </row>
    <row r="24" spans="12:17">
      <c r="L24">
        <v>87.81327179242254</v>
      </c>
      <c r="M24">
        <v>131.43967656302399</v>
      </c>
      <c r="N24">
        <v>47.081142672079807</v>
      </c>
      <c r="P24">
        <v>-15.528679587950592</v>
      </c>
      <c r="Q24">
        <v>-15.528679587950592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4" ma:contentTypeDescription="Create a new document." ma:contentTypeScope="" ma:versionID="c9af017fbbde6f143c92f856ab5ebd1e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9364578cf86e4149828d1b27882cb78b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DF30D0-7077-4B4B-965A-4EE178B2925A}"/>
</file>

<file path=customXml/itemProps2.xml><?xml version="1.0" encoding="utf-8"?>
<ds:datastoreItem xmlns:ds="http://schemas.openxmlformats.org/officeDocument/2006/customXml" ds:itemID="{553F99E2-8BBD-4733-923A-D66EEE94FBA6}"/>
</file>

<file path=customXml/itemProps3.xml><?xml version="1.0" encoding="utf-8"?>
<ds:datastoreItem xmlns:ds="http://schemas.openxmlformats.org/officeDocument/2006/customXml" ds:itemID="{18F7A7F9-E8B2-43E9-BB28-C8E5918DB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</dc:creator>
  <cp:keywords/>
  <dc:description/>
  <cp:lastModifiedBy>Jacob Vaught</cp:lastModifiedBy>
  <cp:revision/>
  <dcterms:created xsi:type="dcterms:W3CDTF">2021-10-22T16:45:46Z</dcterms:created>
  <dcterms:modified xsi:type="dcterms:W3CDTF">2021-11-14T01:01:54Z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