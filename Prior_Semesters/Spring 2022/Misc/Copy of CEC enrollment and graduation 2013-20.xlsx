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email_sc_edu/Documents/CLASS-USC/Spring 2022/Misc/"/>
    </mc:Choice>
  </mc:AlternateContent>
  <xr:revisionPtr revIDLastSave="0" documentId="8_{DF0010A5-593F-48D9-BD50-30A05B882FDA}" xr6:coauthVersionLast="47" xr6:coauthVersionMax="47" xr10:uidLastSave="{00000000-0000-0000-0000-000000000000}"/>
  <bookViews>
    <workbookView xWindow="-18120" yWindow="-10965" windowWidth="18240" windowHeight="28440" xr2:uid="{02A624A1-9679-423F-A0F3-880BFC9E95B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1" l="1"/>
  <c r="L14" i="1"/>
  <c r="L15" i="1"/>
  <c r="L16" i="1"/>
  <c r="L17" i="1"/>
  <c r="L18" i="1"/>
  <c r="L19" i="1"/>
  <c r="L20" i="1"/>
  <c r="L13" i="1"/>
  <c r="L3" i="1"/>
  <c r="L4" i="1"/>
  <c r="L5" i="1"/>
  <c r="L6" i="1"/>
  <c r="L7" i="1"/>
  <c r="L8" i="1"/>
  <c r="L9" i="1"/>
  <c r="L2" i="1"/>
  <c r="M18" i="1"/>
  <c r="M19" i="1"/>
  <c r="M16" i="1" l="1"/>
  <c r="M15" i="1"/>
  <c r="M14" i="1"/>
  <c r="M20" i="1"/>
  <c r="M13" i="1"/>
  <c r="M17" i="1"/>
</calcChain>
</file>

<file path=xl/sharedStrings.xml><?xml version="1.0" encoding="utf-8"?>
<sst xmlns="http://schemas.openxmlformats.org/spreadsheetml/2006/main" count="25" uniqueCount="14">
  <si>
    <t>Year</t>
  </si>
  <si>
    <t>Aerospace</t>
  </si>
  <si>
    <t>BioMedical</t>
  </si>
  <si>
    <t>Computer Science</t>
  </si>
  <si>
    <t>Computer Engineering</t>
  </si>
  <si>
    <t>Computer Information Systems</t>
  </si>
  <si>
    <t>Civil</t>
  </si>
  <si>
    <t>Chemical</t>
  </si>
  <si>
    <t>Electrical</t>
  </si>
  <si>
    <t>Integrated Information Technology</t>
  </si>
  <si>
    <t>Mechanical</t>
  </si>
  <si>
    <t>Total Graduates</t>
  </si>
  <si>
    <t>Total Enrolled</t>
  </si>
  <si>
    <t>Graduates vs enrolled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</si>
</sst>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1" fontId="1" fillId="0" borderId="1" xfId="0" applyNumberFormat="1" applyFont="1" applyBorder="1"/>
    <xf numFmtId="1" fontId="2" fillId="2" borderId="1" xfId="0" applyNumberFormat="1" applyFont="1" applyFill="1" applyBorder="1" applyAlignment="1">
      <alignment vertical="top" wrapText="1"/>
    </xf>
    <xf numFmtId="1" fontId="2" fillId="3" borderId="1" xfId="0" applyNumberFormat="1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1" fontId="0" fillId="0" borderId="0" xfId="0" applyNumberFormat="1"/>
    <xf numFmtId="0" fontId="1" fillId="0" borderId="2" xfId="0" applyFont="1" applyFill="1" applyBorder="1" applyAlignment="1">
      <alignment horizontal="center" vertical="center"/>
    </xf>
    <xf numFmtId="2" fontId="0" fillId="0" borderId="0" xfId="0" applyNumberFormat="1"/>
    <xf numFmtId="0" fontId="2" fillId="3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918038906561834E-2"/>
          <c:y val="1.5059782511308061E-2"/>
          <c:w val="0.94048326653894521"/>
          <c:h val="0.70765814312018827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Aerospace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Sheet1!$A$2:$A$10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Sheet1!$B$2:$B$10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73</c:v>
                </c:pt>
                <c:pt idx="7">
                  <c:v>117</c:v>
                </c:pt>
                <c:pt idx="8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A4-4AED-A2F2-310F64BFCD6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BioMedical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Sheet1!$A$2:$A$10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Sheet1!$C$2:$C$10</c:f>
              <c:numCache>
                <c:formatCode>0</c:formatCode>
                <c:ptCount val="9"/>
                <c:pt idx="0">
                  <c:v>288</c:v>
                </c:pt>
                <c:pt idx="1">
                  <c:v>305</c:v>
                </c:pt>
                <c:pt idx="2">
                  <c:v>341</c:v>
                </c:pt>
                <c:pt idx="3">
                  <c:v>340</c:v>
                </c:pt>
                <c:pt idx="4">
                  <c:v>320</c:v>
                </c:pt>
                <c:pt idx="5">
                  <c:v>288</c:v>
                </c:pt>
                <c:pt idx="6">
                  <c:v>260</c:v>
                </c:pt>
                <c:pt idx="7">
                  <c:v>224</c:v>
                </c:pt>
                <c:pt idx="8">
                  <c:v>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A4-4AED-A2F2-310F64BFCD6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Computer Science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Sheet1!$A$2:$A$10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Sheet1!$D$2:$D$10</c:f>
              <c:numCache>
                <c:formatCode>0</c:formatCode>
                <c:ptCount val="9"/>
                <c:pt idx="0">
                  <c:v>251</c:v>
                </c:pt>
                <c:pt idx="1">
                  <c:v>330</c:v>
                </c:pt>
                <c:pt idx="2">
                  <c:v>375</c:v>
                </c:pt>
                <c:pt idx="3">
                  <c:v>469</c:v>
                </c:pt>
                <c:pt idx="4">
                  <c:v>504</c:v>
                </c:pt>
                <c:pt idx="5">
                  <c:v>556</c:v>
                </c:pt>
                <c:pt idx="6">
                  <c:v>579</c:v>
                </c:pt>
                <c:pt idx="7">
                  <c:v>606</c:v>
                </c:pt>
                <c:pt idx="8">
                  <c:v>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BA4-4AED-A2F2-310F64BFCD6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Computer Engineering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Sheet1!$A$2:$A$10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Sheet1!$E$2:$E$10</c:f>
              <c:numCache>
                <c:formatCode>0</c:formatCode>
                <c:ptCount val="9"/>
                <c:pt idx="0">
                  <c:v>141</c:v>
                </c:pt>
                <c:pt idx="1">
                  <c:v>160</c:v>
                </c:pt>
                <c:pt idx="2">
                  <c:v>185</c:v>
                </c:pt>
                <c:pt idx="3">
                  <c:v>193</c:v>
                </c:pt>
                <c:pt idx="4">
                  <c:v>222</c:v>
                </c:pt>
                <c:pt idx="5">
                  <c:v>226</c:v>
                </c:pt>
                <c:pt idx="6">
                  <c:v>187</c:v>
                </c:pt>
                <c:pt idx="7">
                  <c:v>193</c:v>
                </c:pt>
                <c:pt idx="8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A4-4AED-A2F2-310F64BFCD6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Computer Information Systems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Sheet1!$A$2:$A$10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Sheet1!$F$2:$F$10</c:f>
              <c:numCache>
                <c:formatCode>0</c:formatCode>
                <c:ptCount val="9"/>
                <c:pt idx="0">
                  <c:v>61</c:v>
                </c:pt>
                <c:pt idx="1">
                  <c:v>96</c:v>
                </c:pt>
                <c:pt idx="2">
                  <c:v>147</c:v>
                </c:pt>
                <c:pt idx="3">
                  <c:v>177</c:v>
                </c:pt>
                <c:pt idx="4">
                  <c:v>194</c:v>
                </c:pt>
                <c:pt idx="5">
                  <c:v>168</c:v>
                </c:pt>
                <c:pt idx="6">
                  <c:v>161</c:v>
                </c:pt>
                <c:pt idx="7">
                  <c:v>194</c:v>
                </c:pt>
                <c:pt idx="8">
                  <c:v>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BA4-4AED-A2F2-310F64BFCD6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Civil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Sheet1!$A$2:$A$10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Sheet1!$G$2:$G$10</c:f>
              <c:numCache>
                <c:formatCode>0</c:formatCode>
                <c:ptCount val="9"/>
                <c:pt idx="0">
                  <c:v>276</c:v>
                </c:pt>
                <c:pt idx="1">
                  <c:v>297</c:v>
                </c:pt>
                <c:pt idx="2">
                  <c:v>295</c:v>
                </c:pt>
                <c:pt idx="3">
                  <c:v>323</c:v>
                </c:pt>
                <c:pt idx="4">
                  <c:v>348</c:v>
                </c:pt>
                <c:pt idx="5">
                  <c:v>363</c:v>
                </c:pt>
                <c:pt idx="6">
                  <c:v>352</c:v>
                </c:pt>
                <c:pt idx="7">
                  <c:v>345</c:v>
                </c:pt>
                <c:pt idx="8">
                  <c:v>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BA4-4AED-A2F2-310F64BFCD65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Chemical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Sheet1!$A$2:$A$10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Sheet1!$H$2:$H$10</c:f>
              <c:numCache>
                <c:formatCode>0</c:formatCode>
                <c:ptCount val="9"/>
                <c:pt idx="0">
                  <c:v>261</c:v>
                </c:pt>
                <c:pt idx="1">
                  <c:v>274</c:v>
                </c:pt>
                <c:pt idx="2">
                  <c:v>301</c:v>
                </c:pt>
                <c:pt idx="3">
                  <c:v>325</c:v>
                </c:pt>
                <c:pt idx="4">
                  <c:v>313</c:v>
                </c:pt>
                <c:pt idx="5">
                  <c:v>308</c:v>
                </c:pt>
                <c:pt idx="6">
                  <c:v>289</c:v>
                </c:pt>
                <c:pt idx="7">
                  <c:v>255</c:v>
                </c:pt>
                <c:pt idx="8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BA4-4AED-A2F2-310F64BFCD65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Electrical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Sheet1!$A$2:$A$10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Sheet1!$I$2:$I$10</c:f>
              <c:numCache>
                <c:formatCode>0</c:formatCode>
                <c:ptCount val="9"/>
                <c:pt idx="0">
                  <c:v>204</c:v>
                </c:pt>
                <c:pt idx="1">
                  <c:v>242</c:v>
                </c:pt>
                <c:pt idx="2">
                  <c:v>237</c:v>
                </c:pt>
                <c:pt idx="3">
                  <c:v>227</c:v>
                </c:pt>
                <c:pt idx="4">
                  <c:v>222</c:v>
                </c:pt>
                <c:pt idx="5">
                  <c:v>230</c:v>
                </c:pt>
                <c:pt idx="6">
                  <c:v>214</c:v>
                </c:pt>
                <c:pt idx="7">
                  <c:v>217</c:v>
                </c:pt>
                <c:pt idx="8">
                  <c:v>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BA4-4AED-A2F2-310F64BFCD65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Integrated Information Technology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Sheet1!$A$2:$A$10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Sheet1!$J$2:$J$10</c:f>
              <c:numCache>
                <c:formatCode>0</c:formatCode>
                <c:ptCount val="9"/>
                <c:pt idx="0">
                  <c:v>186</c:v>
                </c:pt>
                <c:pt idx="1">
                  <c:v>186</c:v>
                </c:pt>
                <c:pt idx="2">
                  <c:v>185</c:v>
                </c:pt>
                <c:pt idx="3">
                  <c:v>224</c:v>
                </c:pt>
                <c:pt idx="4">
                  <c:v>221</c:v>
                </c:pt>
                <c:pt idx="5">
                  <c:v>239</c:v>
                </c:pt>
                <c:pt idx="6">
                  <c:v>264</c:v>
                </c:pt>
                <c:pt idx="7">
                  <c:v>260</c:v>
                </c:pt>
                <c:pt idx="8">
                  <c:v>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BA4-4AED-A2F2-310F64BFCD65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Mechanical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Sheet1!$A$2:$A$10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Sheet1!$K$2:$K$10</c:f>
              <c:numCache>
                <c:formatCode>0</c:formatCode>
                <c:ptCount val="9"/>
                <c:pt idx="0">
                  <c:v>628</c:v>
                </c:pt>
                <c:pt idx="1">
                  <c:v>744</c:v>
                </c:pt>
                <c:pt idx="2">
                  <c:v>832</c:v>
                </c:pt>
                <c:pt idx="3">
                  <c:v>838</c:v>
                </c:pt>
                <c:pt idx="4">
                  <c:v>862</c:v>
                </c:pt>
                <c:pt idx="5">
                  <c:v>848</c:v>
                </c:pt>
                <c:pt idx="6">
                  <c:v>812</c:v>
                </c:pt>
                <c:pt idx="7">
                  <c:v>757</c:v>
                </c:pt>
                <c:pt idx="8">
                  <c:v>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BA4-4AED-A2F2-310F64BFC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5353392"/>
        <c:axId val="955360464"/>
      </c:lineChart>
      <c:catAx>
        <c:axId val="95535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360464"/>
        <c:crosses val="autoZero"/>
        <c:auto val="1"/>
        <c:lblAlgn val="ctr"/>
        <c:lblOffset val="100"/>
        <c:noMultiLvlLbl val="0"/>
      </c:catAx>
      <c:valAx>
        <c:axId val="95536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35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7851782467014663"/>
          <c:w val="1"/>
          <c:h val="0.214821753298533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Graduates in each Engineering Major by Year</a:t>
            </a:r>
          </a:p>
        </c:rich>
      </c:tx>
      <c:layout>
        <c:manualLayout>
          <c:xMode val="edge"/>
          <c:yMode val="edge"/>
          <c:x val="0.1381010145388701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329343949567053E-2"/>
          <c:y val="0.10525250133449197"/>
          <c:w val="0.88963704565304891"/>
          <c:h val="0.61628556951304769"/>
        </c:manualLayout>
      </c:layout>
      <c:lineChart>
        <c:grouping val="standard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Aerospace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Sheet1!$A$2:$A$9</c:f>
              <c:numCache>
                <c:formatCode>General</c:formatCode>
                <c:ptCount val="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</c:numCache>
            </c:numRef>
          </c:cat>
          <c:val>
            <c:numRef>
              <c:f>Sheet1!$B$13:$B$20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A-4F0E-862D-7D40379185FE}"/>
            </c:ext>
          </c:extLst>
        </c:ser>
        <c:ser>
          <c:idx val="1"/>
          <c:order val="1"/>
          <c:tx>
            <c:strRef>
              <c:f>Sheet1!$C$12</c:f>
              <c:strCache>
                <c:ptCount val="1"/>
                <c:pt idx="0">
                  <c:v>BioMedical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Sheet1!$C$13:$C$20</c:f>
              <c:numCache>
                <c:formatCode>0</c:formatCode>
                <c:ptCount val="8"/>
                <c:pt idx="0">
                  <c:v>43</c:v>
                </c:pt>
                <c:pt idx="1">
                  <c:v>47</c:v>
                </c:pt>
                <c:pt idx="2">
                  <c:v>53</c:v>
                </c:pt>
                <c:pt idx="3">
                  <c:v>66</c:v>
                </c:pt>
                <c:pt idx="4">
                  <c:v>52</c:v>
                </c:pt>
                <c:pt idx="5">
                  <c:v>51</c:v>
                </c:pt>
                <c:pt idx="6">
                  <c:v>39</c:v>
                </c:pt>
                <c:pt idx="7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A-4F0E-862D-7D40379185FE}"/>
            </c:ext>
          </c:extLst>
        </c:ser>
        <c:ser>
          <c:idx val="2"/>
          <c:order val="2"/>
          <c:tx>
            <c:strRef>
              <c:f>Sheet1!$D$12</c:f>
              <c:strCache>
                <c:ptCount val="1"/>
                <c:pt idx="0">
                  <c:v>Computer Science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Sheet1!$D$13:$D$20</c:f>
              <c:numCache>
                <c:formatCode>0</c:formatCode>
                <c:ptCount val="8"/>
                <c:pt idx="0">
                  <c:v>26</c:v>
                </c:pt>
                <c:pt idx="1">
                  <c:v>46</c:v>
                </c:pt>
                <c:pt idx="2">
                  <c:v>62</c:v>
                </c:pt>
                <c:pt idx="3">
                  <c:v>73</c:v>
                </c:pt>
                <c:pt idx="4">
                  <c:v>71</c:v>
                </c:pt>
                <c:pt idx="5">
                  <c:v>98</c:v>
                </c:pt>
                <c:pt idx="6">
                  <c:v>105</c:v>
                </c:pt>
                <c:pt idx="7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5A-4F0E-862D-7D40379185FE}"/>
            </c:ext>
          </c:extLst>
        </c:ser>
        <c:ser>
          <c:idx val="3"/>
          <c:order val="3"/>
          <c:tx>
            <c:strRef>
              <c:f>Sheet1!$E$12</c:f>
              <c:strCache>
                <c:ptCount val="1"/>
                <c:pt idx="0">
                  <c:v>Computer Engineering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Sheet1!$E$13:$E$20</c:f>
              <c:numCache>
                <c:formatCode>0</c:formatCode>
                <c:ptCount val="8"/>
                <c:pt idx="0">
                  <c:v>22</c:v>
                </c:pt>
                <c:pt idx="1">
                  <c:v>27</c:v>
                </c:pt>
                <c:pt idx="2">
                  <c:v>16</c:v>
                </c:pt>
                <c:pt idx="3">
                  <c:v>28</c:v>
                </c:pt>
                <c:pt idx="4">
                  <c:v>26</c:v>
                </c:pt>
                <c:pt idx="5">
                  <c:v>47</c:v>
                </c:pt>
                <c:pt idx="6">
                  <c:v>28</c:v>
                </c:pt>
                <c:pt idx="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5A-4F0E-862D-7D40379185FE}"/>
            </c:ext>
          </c:extLst>
        </c:ser>
        <c:ser>
          <c:idx val="4"/>
          <c:order val="4"/>
          <c:tx>
            <c:strRef>
              <c:f>Sheet1!$F$12</c:f>
              <c:strCache>
                <c:ptCount val="1"/>
                <c:pt idx="0">
                  <c:v>Computer Information Systems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Sheet1!$F$13:$F$20</c:f>
              <c:numCache>
                <c:formatCode>0</c:formatCode>
                <c:ptCount val="8"/>
                <c:pt idx="0">
                  <c:v>11</c:v>
                </c:pt>
                <c:pt idx="1">
                  <c:v>8</c:v>
                </c:pt>
                <c:pt idx="2">
                  <c:v>11</c:v>
                </c:pt>
                <c:pt idx="3">
                  <c:v>24</c:v>
                </c:pt>
                <c:pt idx="4">
                  <c:v>44</c:v>
                </c:pt>
                <c:pt idx="5">
                  <c:v>42</c:v>
                </c:pt>
                <c:pt idx="6">
                  <c:v>18</c:v>
                </c:pt>
                <c:pt idx="7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5A-4F0E-862D-7D40379185FE}"/>
            </c:ext>
          </c:extLst>
        </c:ser>
        <c:ser>
          <c:idx val="5"/>
          <c:order val="5"/>
          <c:tx>
            <c:strRef>
              <c:f>Sheet1!$G$12</c:f>
              <c:strCache>
                <c:ptCount val="1"/>
                <c:pt idx="0">
                  <c:v>Civil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Sheet1!$G$13:$G$20</c:f>
              <c:numCache>
                <c:formatCode>0</c:formatCode>
                <c:ptCount val="8"/>
                <c:pt idx="0">
                  <c:v>43</c:v>
                </c:pt>
                <c:pt idx="1">
                  <c:v>61</c:v>
                </c:pt>
                <c:pt idx="2">
                  <c:v>44</c:v>
                </c:pt>
                <c:pt idx="3">
                  <c:v>54</c:v>
                </c:pt>
                <c:pt idx="4">
                  <c:v>62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95A-4F0E-862D-7D40379185FE}"/>
            </c:ext>
          </c:extLst>
        </c:ser>
        <c:ser>
          <c:idx val="6"/>
          <c:order val="6"/>
          <c:tx>
            <c:strRef>
              <c:f>Sheet1!$H$12</c:f>
              <c:strCache>
                <c:ptCount val="1"/>
                <c:pt idx="0">
                  <c:v>Chemical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Sheet1!$H$13:$H$20</c:f>
              <c:numCache>
                <c:formatCode>0</c:formatCode>
                <c:ptCount val="8"/>
                <c:pt idx="0">
                  <c:v>38</c:v>
                </c:pt>
                <c:pt idx="1">
                  <c:v>37</c:v>
                </c:pt>
                <c:pt idx="2">
                  <c:v>50</c:v>
                </c:pt>
                <c:pt idx="3">
                  <c:v>82</c:v>
                </c:pt>
                <c:pt idx="4">
                  <c:v>61</c:v>
                </c:pt>
                <c:pt idx="5">
                  <c:v>68</c:v>
                </c:pt>
                <c:pt idx="6">
                  <c:v>60</c:v>
                </c:pt>
                <c:pt idx="7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95A-4F0E-862D-7D40379185FE}"/>
            </c:ext>
          </c:extLst>
        </c:ser>
        <c:ser>
          <c:idx val="7"/>
          <c:order val="7"/>
          <c:tx>
            <c:strRef>
              <c:f>Sheet1!$I$12</c:f>
              <c:strCache>
                <c:ptCount val="1"/>
                <c:pt idx="0">
                  <c:v>Electrical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Sheet1!$I$13:$I$20</c:f>
              <c:numCache>
                <c:formatCode>0</c:formatCode>
                <c:ptCount val="8"/>
                <c:pt idx="0">
                  <c:v>25</c:v>
                </c:pt>
                <c:pt idx="1">
                  <c:v>50</c:v>
                </c:pt>
                <c:pt idx="2">
                  <c:v>35</c:v>
                </c:pt>
                <c:pt idx="3">
                  <c:v>54</c:v>
                </c:pt>
                <c:pt idx="4">
                  <c:v>38</c:v>
                </c:pt>
                <c:pt idx="5">
                  <c:v>48</c:v>
                </c:pt>
                <c:pt idx="6">
                  <c:v>29</c:v>
                </c:pt>
                <c:pt idx="7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95A-4F0E-862D-7D40379185FE}"/>
            </c:ext>
          </c:extLst>
        </c:ser>
        <c:ser>
          <c:idx val="8"/>
          <c:order val="8"/>
          <c:tx>
            <c:strRef>
              <c:f>Sheet1!$J$12</c:f>
              <c:strCache>
                <c:ptCount val="1"/>
                <c:pt idx="0">
                  <c:v>Integrated Information Technology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Sheet1!$J$13:$J$20</c:f>
              <c:numCache>
                <c:formatCode>0</c:formatCode>
                <c:ptCount val="8"/>
                <c:pt idx="0">
                  <c:v>55</c:v>
                </c:pt>
                <c:pt idx="1">
                  <c:v>61</c:v>
                </c:pt>
                <c:pt idx="2">
                  <c:v>49</c:v>
                </c:pt>
                <c:pt idx="3">
                  <c:v>58</c:v>
                </c:pt>
                <c:pt idx="4">
                  <c:v>61</c:v>
                </c:pt>
                <c:pt idx="5">
                  <c:v>64</c:v>
                </c:pt>
                <c:pt idx="6">
                  <c:v>68</c:v>
                </c:pt>
                <c:pt idx="7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95A-4F0E-862D-7D40379185FE}"/>
            </c:ext>
          </c:extLst>
        </c:ser>
        <c:ser>
          <c:idx val="9"/>
          <c:order val="9"/>
          <c:tx>
            <c:strRef>
              <c:f>Sheet1!$K$12</c:f>
              <c:strCache>
                <c:ptCount val="1"/>
                <c:pt idx="0">
                  <c:v>Mechanical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Sheet1!$K$13:$K$20</c:f>
              <c:numCache>
                <c:formatCode>0</c:formatCode>
                <c:ptCount val="8"/>
                <c:pt idx="0">
                  <c:v>87</c:v>
                </c:pt>
                <c:pt idx="1">
                  <c:v>119</c:v>
                </c:pt>
                <c:pt idx="2">
                  <c:v>139</c:v>
                </c:pt>
                <c:pt idx="3">
                  <c:v>147</c:v>
                </c:pt>
                <c:pt idx="4">
                  <c:v>180</c:v>
                </c:pt>
                <c:pt idx="5">
                  <c:v>202</c:v>
                </c:pt>
                <c:pt idx="6">
                  <c:v>179</c:v>
                </c:pt>
                <c:pt idx="7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95A-4F0E-862D-7D4037918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3204895"/>
        <c:axId val="853037247"/>
      </c:lineChart>
      <c:catAx>
        <c:axId val="171320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037247"/>
        <c:crosses val="autoZero"/>
        <c:auto val="1"/>
        <c:lblAlgn val="ctr"/>
        <c:lblOffset val="100"/>
        <c:noMultiLvlLbl val="0"/>
      </c:catAx>
      <c:valAx>
        <c:axId val="85303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204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Total Enrolled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Sheet1!$A$2:$A$10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Sheet1!$L$2:$L$10</c:f>
              <c:numCache>
                <c:formatCode>0</c:formatCode>
                <c:ptCount val="9"/>
                <c:pt idx="0">
                  <c:v>2296</c:v>
                </c:pt>
                <c:pt idx="1">
                  <c:v>2634</c:v>
                </c:pt>
                <c:pt idx="2">
                  <c:v>2898</c:v>
                </c:pt>
                <c:pt idx="3">
                  <c:v>3116</c:v>
                </c:pt>
                <c:pt idx="4">
                  <c:v>3206</c:v>
                </c:pt>
                <c:pt idx="5">
                  <c:v>3232</c:v>
                </c:pt>
                <c:pt idx="6">
                  <c:v>3191</c:v>
                </c:pt>
                <c:pt idx="7">
                  <c:v>3168</c:v>
                </c:pt>
                <c:pt idx="8">
                  <c:v>2970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75-458C-95C4-C4A684E19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5021104"/>
        <c:axId val="2048176032"/>
      </c:lineChart>
      <c:catAx>
        <c:axId val="205502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176032"/>
        <c:crosses val="autoZero"/>
        <c:auto val="1"/>
        <c:lblAlgn val="ctr"/>
        <c:lblOffset val="100"/>
        <c:noMultiLvlLbl val="0"/>
      </c:catAx>
      <c:valAx>
        <c:axId val="204817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02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Sheet1!$L$12</c:f>
              <c:strCache>
                <c:ptCount val="1"/>
                <c:pt idx="0">
                  <c:v>Total Graduates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Sheet1!$A$2:$A$9</c:f>
              <c:numCache>
                <c:formatCode>General</c:formatCode>
                <c:ptCount val="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</c:numCache>
            </c:numRef>
          </c:cat>
          <c:val>
            <c:numRef>
              <c:f>Sheet1!$L$13:$L$20</c:f>
              <c:numCache>
                <c:formatCode>0</c:formatCode>
                <c:ptCount val="8"/>
                <c:pt idx="0">
                  <c:v>350</c:v>
                </c:pt>
                <c:pt idx="1">
                  <c:v>456</c:v>
                </c:pt>
                <c:pt idx="2">
                  <c:v>459</c:v>
                </c:pt>
                <c:pt idx="3">
                  <c:v>586</c:v>
                </c:pt>
                <c:pt idx="4">
                  <c:v>595</c:v>
                </c:pt>
                <c:pt idx="5">
                  <c:v>700</c:v>
                </c:pt>
                <c:pt idx="6">
                  <c:v>602</c:v>
                </c:pt>
                <c:pt idx="7">
                  <c:v>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5E-41EA-98E6-0EFD5FC85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5602864"/>
        <c:axId val="2042275360"/>
      </c:lineChart>
      <c:catAx>
        <c:axId val="204560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275360"/>
        <c:crosses val="autoZero"/>
        <c:auto val="1"/>
        <c:lblAlgn val="ctr"/>
        <c:lblOffset val="100"/>
        <c:noMultiLvlLbl val="0"/>
      </c:catAx>
      <c:valAx>
        <c:axId val="204227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60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58314</xdr:rowOff>
    </xdr:from>
    <xdr:to>
      <xdr:col>9</xdr:col>
      <xdr:colOff>1796143</xdr:colOff>
      <xdr:row>48</xdr:row>
      <xdr:rowOff>131794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AE73D0-8561-4426-AA54-D1E8691B3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1883207</xdr:colOff>
      <xdr:row>24</xdr:row>
      <xdr:rowOff>122595</xdr:rowOff>
    </xdr:from>
    <xdr:to>
      <xdr:col>16</xdr:col>
      <xdr:colOff>1857604</xdr:colOff>
      <xdr:row>48</xdr:row>
      <xdr:rowOff>113071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A49FAA-92C5-45FD-95F1-107B1C0962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48</xdr:row>
      <xdr:rowOff>127185</xdr:rowOff>
    </xdr:from>
    <xdr:to>
      <xdr:col>9</xdr:col>
      <xdr:colOff>1912776</xdr:colOff>
      <xdr:row>72</xdr:row>
      <xdr:rowOff>170889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1DFD5A-F156-4155-871B-438CE5F16621}"/>
            </a:ext>
            <a:ext uri="{147F2762-F138-4A5C-976F-8EAC2B608ADB}">
              <a16:predDERef xmlns:a16="http://schemas.microsoft.com/office/drawing/2014/main" pred="{90A49FAA-92C5-45FD-95F1-107B1C0962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1903758</xdr:colOff>
      <xdr:row>48</xdr:row>
      <xdr:rowOff>164952</xdr:rowOff>
    </xdr:from>
    <xdr:to>
      <xdr:col>16</xdr:col>
      <xdr:colOff>1894151</xdr:colOff>
      <xdr:row>72</xdr:row>
      <xdr:rowOff>186243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FEED1E-CC50-492A-88FA-41DBAEC0F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7335-1F15-407B-A893-F98C4A5C05A8}">
  <dimension ref="A1:M25"/>
  <sheetViews>
    <sheetView tabSelected="1" topLeftCell="A16" zoomScaleNormal="100" workbookViewId="0">
      <selection activeCell="L24" sqref="L24"/>
    </sheetView>
  </sheetViews>
  <sheetFormatPr defaultRowHeight="15" x14ac:dyDescent="0.25"/>
  <cols>
    <col min="1" max="1" width="5.5703125" bestFit="1" customWidth="1"/>
    <col min="2" max="2" width="10.7109375" bestFit="1" customWidth="1"/>
    <col min="3" max="3" width="11.42578125" bestFit="1" customWidth="1"/>
    <col min="4" max="4" width="17.85546875" bestFit="1" customWidth="1"/>
    <col min="5" max="5" width="22" bestFit="1" customWidth="1"/>
    <col min="6" max="6" width="30.140625" bestFit="1" customWidth="1"/>
    <col min="7" max="7" width="5" bestFit="1" customWidth="1"/>
    <col min="8" max="9" width="9.5703125" bestFit="1" customWidth="1"/>
    <col min="10" max="10" width="33.85546875" bestFit="1" customWidth="1"/>
    <col min="11" max="11" width="11.7109375" bestFit="1" customWidth="1"/>
    <col min="12" max="12" width="16.28515625" customWidth="1"/>
    <col min="13" max="13" width="26.5703125" customWidth="1"/>
    <col min="14" max="14" width="11.42578125" bestFit="1" customWidth="1"/>
    <col min="15" max="15" width="17.85546875" bestFit="1" customWidth="1"/>
    <col min="16" max="16" width="22" bestFit="1" customWidth="1"/>
    <col min="17" max="17" width="30.140625" bestFit="1" customWidth="1"/>
    <col min="18" max="18" width="5" bestFit="1" customWidth="1"/>
    <col min="19" max="20" width="9.5703125" bestFit="1" customWidth="1"/>
    <col min="21" max="21" width="33.85546875" bestFit="1" customWidth="1"/>
    <col min="22" max="22" width="11.7109375" bestFit="1" customWidth="1"/>
    <col min="23" max="23" width="4" bestFit="1" customWidth="1"/>
  </cols>
  <sheetData>
    <row r="1" spans="1:13" ht="15.4" x14ac:dyDescent="0.25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9" t="s">
        <v>12</v>
      </c>
    </row>
    <row r="2" spans="1:13" ht="16.149999999999999" customHeight="1" x14ac:dyDescent="0.25">
      <c r="A2" s="2">
        <v>2013</v>
      </c>
      <c r="B2" s="4">
        <v>0</v>
      </c>
      <c r="C2" s="5">
        <v>288</v>
      </c>
      <c r="D2" s="5">
        <v>251</v>
      </c>
      <c r="E2" s="5">
        <v>141</v>
      </c>
      <c r="F2" s="5">
        <v>61</v>
      </c>
      <c r="G2" s="5">
        <v>276</v>
      </c>
      <c r="H2" s="5">
        <v>261</v>
      </c>
      <c r="I2" s="5">
        <v>204</v>
      </c>
      <c r="J2" s="5">
        <v>186</v>
      </c>
      <c r="K2" s="5">
        <v>628</v>
      </c>
      <c r="L2" s="8">
        <f>SUM(B2:K2)</f>
        <v>2296</v>
      </c>
    </row>
    <row r="3" spans="1:13" ht="15.4" x14ac:dyDescent="0.25">
      <c r="A3" s="3">
        <v>2014</v>
      </c>
      <c r="B3" s="6">
        <v>0</v>
      </c>
      <c r="C3" s="6">
        <v>305</v>
      </c>
      <c r="D3" s="6">
        <v>330</v>
      </c>
      <c r="E3" s="6">
        <v>160</v>
      </c>
      <c r="F3" s="6">
        <v>96</v>
      </c>
      <c r="G3" s="6">
        <v>297</v>
      </c>
      <c r="H3" s="6">
        <v>274</v>
      </c>
      <c r="I3" s="6">
        <v>242</v>
      </c>
      <c r="J3" s="6">
        <v>186</v>
      </c>
      <c r="K3" s="6">
        <v>744</v>
      </c>
      <c r="L3" s="8">
        <f t="shared" ref="L3:L10" si="0">SUM(B3:K3)</f>
        <v>2634</v>
      </c>
    </row>
    <row r="4" spans="1:13" ht="15.4" x14ac:dyDescent="0.25">
      <c r="A4" s="2">
        <v>2015</v>
      </c>
      <c r="B4" s="5">
        <v>0</v>
      </c>
      <c r="C4" s="5">
        <v>341</v>
      </c>
      <c r="D4" s="5">
        <v>375</v>
      </c>
      <c r="E4" s="5">
        <v>185</v>
      </c>
      <c r="F4" s="5">
        <v>147</v>
      </c>
      <c r="G4" s="5">
        <v>295</v>
      </c>
      <c r="H4" s="5">
        <v>301</v>
      </c>
      <c r="I4" s="5">
        <v>237</v>
      </c>
      <c r="J4" s="5">
        <v>185</v>
      </c>
      <c r="K4" s="5">
        <v>832</v>
      </c>
      <c r="L4" s="8">
        <f t="shared" si="0"/>
        <v>2898</v>
      </c>
    </row>
    <row r="5" spans="1:13" ht="15.4" x14ac:dyDescent="0.25">
      <c r="A5" s="3">
        <v>2016</v>
      </c>
      <c r="B5" s="6">
        <v>0</v>
      </c>
      <c r="C5" s="6">
        <v>340</v>
      </c>
      <c r="D5" s="6">
        <v>469</v>
      </c>
      <c r="E5" s="6">
        <v>193</v>
      </c>
      <c r="F5" s="6">
        <v>177</v>
      </c>
      <c r="G5" s="6">
        <v>323</v>
      </c>
      <c r="H5" s="6">
        <v>325</v>
      </c>
      <c r="I5" s="6">
        <v>227</v>
      </c>
      <c r="J5" s="6">
        <v>224</v>
      </c>
      <c r="K5" s="6">
        <v>838</v>
      </c>
      <c r="L5" s="8">
        <f t="shared" si="0"/>
        <v>3116</v>
      </c>
    </row>
    <row r="6" spans="1:13" ht="15.4" x14ac:dyDescent="0.25">
      <c r="A6" s="2">
        <v>2017</v>
      </c>
      <c r="B6" s="5">
        <v>0</v>
      </c>
      <c r="C6" s="5">
        <v>320</v>
      </c>
      <c r="D6" s="5">
        <v>504</v>
      </c>
      <c r="E6" s="5">
        <v>222</v>
      </c>
      <c r="F6" s="5">
        <v>194</v>
      </c>
      <c r="G6" s="5">
        <v>348</v>
      </c>
      <c r="H6" s="5">
        <v>313</v>
      </c>
      <c r="I6" s="5">
        <v>222</v>
      </c>
      <c r="J6" s="5">
        <v>221</v>
      </c>
      <c r="K6" s="5">
        <v>862</v>
      </c>
      <c r="L6" s="8">
        <f t="shared" si="0"/>
        <v>3206</v>
      </c>
    </row>
    <row r="7" spans="1:13" ht="15.4" x14ac:dyDescent="0.25">
      <c r="A7" s="3">
        <v>2018</v>
      </c>
      <c r="B7" s="6">
        <v>6</v>
      </c>
      <c r="C7" s="6">
        <v>288</v>
      </c>
      <c r="D7" s="6">
        <v>556</v>
      </c>
      <c r="E7" s="6">
        <v>226</v>
      </c>
      <c r="F7" s="6">
        <v>168</v>
      </c>
      <c r="G7" s="6">
        <v>363</v>
      </c>
      <c r="H7" s="6">
        <v>308</v>
      </c>
      <c r="I7" s="6">
        <v>230</v>
      </c>
      <c r="J7" s="6">
        <v>239</v>
      </c>
      <c r="K7" s="6">
        <v>848</v>
      </c>
      <c r="L7" s="8">
        <f t="shared" si="0"/>
        <v>3232</v>
      </c>
    </row>
    <row r="8" spans="1:13" ht="15.4" x14ac:dyDescent="0.25">
      <c r="A8" s="2">
        <v>2019</v>
      </c>
      <c r="B8" s="5">
        <v>73</v>
      </c>
      <c r="C8" s="5">
        <v>260</v>
      </c>
      <c r="D8" s="5">
        <v>579</v>
      </c>
      <c r="E8" s="5">
        <v>187</v>
      </c>
      <c r="F8" s="5">
        <v>161</v>
      </c>
      <c r="G8" s="5">
        <v>352</v>
      </c>
      <c r="H8" s="5">
        <v>289</v>
      </c>
      <c r="I8" s="5">
        <v>214</v>
      </c>
      <c r="J8" s="5">
        <v>264</v>
      </c>
      <c r="K8" s="5">
        <v>812</v>
      </c>
      <c r="L8" s="8">
        <f t="shared" si="0"/>
        <v>3191</v>
      </c>
    </row>
    <row r="9" spans="1:13" ht="15.4" x14ac:dyDescent="0.25">
      <c r="A9" s="3">
        <v>2020</v>
      </c>
      <c r="B9" s="6">
        <v>117</v>
      </c>
      <c r="C9" s="6">
        <v>224</v>
      </c>
      <c r="D9" s="6">
        <v>606</v>
      </c>
      <c r="E9" s="6">
        <v>193</v>
      </c>
      <c r="F9" s="6">
        <v>194</v>
      </c>
      <c r="G9" s="6">
        <v>345</v>
      </c>
      <c r="H9" s="6">
        <v>255</v>
      </c>
      <c r="I9" s="6">
        <v>217</v>
      </c>
      <c r="J9" s="6">
        <v>260</v>
      </c>
      <c r="K9" s="6">
        <v>757</v>
      </c>
      <c r="L9" s="8">
        <f t="shared" si="0"/>
        <v>3168</v>
      </c>
    </row>
    <row r="10" spans="1:13" ht="15.4" x14ac:dyDescent="0.25">
      <c r="A10" s="11">
        <v>2021</v>
      </c>
      <c r="B10" s="5">
        <v>150</v>
      </c>
      <c r="C10" s="5">
        <v>225</v>
      </c>
      <c r="D10" s="5">
        <v>621</v>
      </c>
      <c r="E10" s="5">
        <v>190</v>
      </c>
      <c r="F10" s="5">
        <v>176</v>
      </c>
      <c r="G10" s="5">
        <v>329</v>
      </c>
      <c r="H10" s="5">
        <v>210</v>
      </c>
      <c r="I10" s="5">
        <v>172</v>
      </c>
      <c r="J10" s="5">
        <v>244</v>
      </c>
      <c r="K10" s="5">
        <v>653</v>
      </c>
      <c r="L10" s="8">
        <f t="shared" si="0"/>
        <v>2970</v>
      </c>
    </row>
    <row r="12" spans="1:13" ht="15.4" x14ac:dyDescent="0.25">
      <c r="A12" t="s">
        <v>0</v>
      </c>
      <c r="B12" s="7" t="s">
        <v>1</v>
      </c>
      <c r="C12" s="7" t="s">
        <v>2</v>
      </c>
      <c r="D12" s="7" t="s">
        <v>3</v>
      </c>
      <c r="E12" s="7" t="s">
        <v>4</v>
      </c>
      <c r="F12" s="7" t="s">
        <v>5</v>
      </c>
      <c r="G12" s="7" t="s">
        <v>6</v>
      </c>
      <c r="H12" s="7" t="s">
        <v>7</v>
      </c>
      <c r="I12" s="7" t="s">
        <v>8</v>
      </c>
      <c r="J12" s="7" t="s">
        <v>9</v>
      </c>
      <c r="K12" s="7" t="s">
        <v>10</v>
      </c>
      <c r="L12" s="9" t="s">
        <v>11</v>
      </c>
      <c r="M12" t="s">
        <v>13</v>
      </c>
    </row>
    <row r="13" spans="1:13" ht="15.4" x14ac:dyDescent="0.25">
      <c r="A13" s="2">
        <v>2013</v>
      </c>
      <c r="B13" s="4">
        <v>0</v>
      </c>
      <c r="C13" s="5">
        <v>43</v>
      </c>
      <c r="D13" s="5">
        <v>26</v>
      </c>
      <c r="E13" s="5">
        <v>22</v>
      </c>
      <c r="F13" s="5">
        <v>11</v>
      </c>
      <c r="G13" s="5">
        <v>43</v>
      </c>
      <c r="H13" s="5">
        <v>38</v>
      </c>
      <c r="I13" s="5">
        <v>25</v>
      </c>
      <c r="J13" s="5">
        <v>55</v>
      </c>
      <c r="K13" s="5">
        <v>87</v>
      </c>
      <c r="L13" s="8">
        <f>SUM(B13:K13)</f>
        <v>350</v>
      </c>
      <c r="M13">
        <f t="shared" ref="M13:M20" si="1">L2/L13</f>
        <v>6.56</v>
      </c>
    </row>
    <row r="14" spans="1:13" ht="15.4" x14ac:dyDescent="0.25">
      <c r="A14" s="3">
        <v>2014</v>
      </c>
      <c r="B14" s="6">
        <v>0</v>
      </c>
      <c r="C14" s="6">
        <v>47</v>
      </c>
      <c r="D14" s="6">
        <v>46</v>
      </c>
      <c r="E14" s="6">
        <v>27</v>
      </c>
      <c r="F14" s="6">
        <v>8</v>
      </c>
      <c r="G14" s="6">
        <v>61</v>
      </c>
      <c r="H14" s="6">
        <v>37</v>
      </c>
      <c r="I14" s="6">
        <v>50</v>
      </c>
      <c r="J14" s="6">
        <v>61</v>
      </c>
      <c r="K14" s="6">
        <v>119</v>
      </c>
      <c r="L14" s="8">
        <f t="shared" ref="L14:L20" si="2">SUM(B14:K14)</f>
        <v>456</v>
      </c>
      <c r="M14" s="10">
        <f t="shared" si="1"/>
        <v>5.7763157894736841</v>
      </c>
    </row>
    <row r="15" spans="1:13" ht="15.4" x14ac:dyDescent="0.25">
      <c r="A15" s="2">
        <v>2015</v>
      </c>
      <c r="B15" s="5">
        <v>0</v>
      </c>
      <c r="C15" s="5">
        <v>53</v>
      </c>
      <c r="D15" s="5">
        <v>62</v>
      </c>
      <c r="E15" s="5">
        <v>16</v>
      </c>
      <c r="F15" s="5">
        <v>11</v>
      </c>
      <c r="G15" s="5">
        <v>44</v>
      </c>
      <c r="H15" s="5">
        <v>50</v>
      </c>
      <c r="I15" s="5">
        <v>35</v>
      </c>
      <c r="J15" s="5">
        <v>49</v>
      </c>
      <c r="K15" s="5">
        <v>139</v>
      </c>
      <c r="L15" s="8">
        <f t="shared" si="2"/>
        <v>459</v>
      </c>
      <c r="M15" s="10">
        <f t="shared" si="1"/>
        <v>6.3137254901960782</v>
      </c>
    </row>
    <row r="16" spans="1:13" ht="15.4" x14ac:dyDescent="0.25">
      <c r="A16" s="3">
        <v>2016</v>
      </c>
      <c r="B16" s="6">
        <v>0</v>
      </c>
      <c r="C16" s="6">
        <v>66</v>
      </c>
      <c r="D16" s="6">
        <v>73</v>
      </c>
      <c r="E16" s="6">
        <v>28</v>
      </c>
      <c r="F16" s="6">
        <v>24</v>
      </c>
      <c r="G16" s="6">
        <v>54</v>
      </c>
      <c r="H16" s="6">
        <v>82</v>
      </c>
      <c r="I16" s="6">
        <v>54</v>
      </c>
      <c r="J16" s="6">
        <v>58</v>
      </c>
      <c r="K16" s="6">
        <v>147</v>
      </c>
      <c r="L16" s="8">
        <f t="shared" si="2"/>
        <v>586</v>
      </c>
      <c r="M16" s="10">
        <f t="shared" si="1"/>
        <v>5.3174061433447095</v>
      </c>
    </row>
    <row r="17" spans="1:13" ht="15.4" x14ac:dyDescent="0.25">
      <c r="A17" s="2">
        <v>2017</v>
      </c>
      <c r="B17" s="5">
        <v>0</v>
      </c>
      <c r="C17" s="5">
        <v>52</v>
      </c>
      <c r="D17" s="5">
        <v>71</v>
      </c>
      <c r="E17" s="5">
        <v>26</v>
      </c>
      <c r="F17" s="5">
        <v>44</v>
      </c>
      <c r="G17" s="5">
        <v>62</v>
      </c>
      <c r="H17" s="5">
        <v>61</v>
      </c>
      <c r="I17" s="5">
        <v>38</v>
      </c>
      <c r="J17" s="5">
        <v>61</v>
      </c>
      <c r="K17" s="5">
        <v>180</v>
      </c>
      <c r="L17" s="8">
        <f t="shared" si="2"/>
        <v>595</v>
      </c>
      <c r="M17" s="10">
        <f t="shared" si="1"/>
        <v>5.3882352941176475</v>
      </c>
    </row>
    <row r="18" spans="1:13" ht="15.4" x14ac:dyDescent="0.25">
      <c r="A18" s="3">
        <v>2018</v>
      </c>
      <c r="B18" s="6">
        <v>0</v>
      </c>
      <c r="C18" s="6">
        <v>51</v>
      </c>
      <c r="D18" s="6">
        <v>98</v>
      </c>
      <c r="E18" s="6">
        <v>47</v>
      </c>
      <c r="F18" s="6">
        <v>42</v>
      </c>
      <c r="G18" s="6">
        <v>80</v>
      </c>
      <c r="H18" s="6">
        <v>68</v>
      </c>
      <c r="I18" s="6">
        <v>48</v>
      </c>
      <c r="J18" s="6">
        <v>64</v>
      </c>
      <c r="K18" s="6">
        <v>202</v>
      </c>
      <c r="L18" s="8">
        <f t="shared" si="2"/>
        <v>700</v>
      </c>
      <c r="M18" s="10">
        <f t="shared" si="1"/>
        <v>4.6171428571428574</v>
      </c>
    </row>
    <row r="19" spans="1:13" ht="15.4" x14ac:dyDescent="0.25">
      <c r="A19" s="2">
        <v>2019</v>
      </c>
      <c r="B19" s="5">
        <v>0</v>
      </c>
      <c r="C19" s="5">
        <v>39</v>
      </c>
      <c r="D19" s="5">
        <v>105</v>
      </c>
      <c r="E19" s="5">
        <v>28</v>
      </c>
      <c r="F19" s="5">
        <v>18</v>
      </c>
      <c r="G19" s="5">
        <v>76</v>
      </c>
      <c r="H19" s="5">
        <v>60</v>
      </c>
      <c r="I19" s="5">
        <v>29</v>
      </c>
      <c r="J19" s="5">
        <v>68</v>
      </c>
      <c r="K19" s="5">
        <v>179</v>
      </c>
      <c r="L19" s="8">
        <f t="shared" si="2"/>
        <v>602</v>
      </c>
      <c r="M19" s="10">
        <f t="shared" si="1"/>
        <v>5.3006644518272426</v>
      </c>
    </row>
    <row r="20" spans="1:13" ht="15.4" x14ac:dyDescent="0.25">
      <c r="A20" s="3">
        <v>2020</v>
      </c>
      <c r="B20" s="6">
        <v>4</v>
      </c>
      <c r="C20" s="6">
        <v>31</v>
      </c>
      <c r="D20" s="6">
        <v>107</v>
      </c>
      <c r="E20" s="6">
        <v>35</v>
      </c>
      <c r="F20" s="6">
        <v>38</v>
      </c>
      <c r="G20" s="6">
        <v>72</v>
      </c>
      <c r="H20" s="6">
        <v>68</v>
      </c>
      <c r="I20" s="6">
        <v>48</v>
      </c>
      <c r="J20" s="6">
        <v>89</v>
      </c>
      <c r="K20" s="6">
        <v>206</v>
      </c>
      <c r="L20" s="8">
        <f t="shared" si="2"/>
        <v>698</v>
      </c>
      <c r="M20" s="10">
        <f t="shared" si="1"/>
        <v>4.5386819484240686</v>
      </c>
    </row>
    <row r="21" spans="1:13" ht="15.4" x14ac:dyDescent="0.25">
      <c r="A21" s="11">
        <v>2021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8"/>
      <c r="M21" s="10"/>
    </row>
    <row r="25" spans="1:13" ht="14.65" x14ac:dyDescent="0.25">
      <c r="K25" s="8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7D6DF335A894D9FC8E888F85ED2A3" ma:contentTypeVersion="13" ma:contentTypeDescription="Create a new document." ma:contentTypeScope="" ma:versionID="f557099976f4f16fa9627675cbeb3518">
  <xsd:schema xmlns:xsd="http://www.w3.org/2001/XMLSchema" xmlns:xs="http://www.w3.org/2001/XMLSchema" xmlns:p="http://schemas.microsoft.com/office/2006/metadata/properties" xmlns:ns3="27638313-1e11-4999-9038-bfa2141b3777" xmlns:ns4="593646a3-f4b2-4797-891f-a58c41aec49e" targetNamespace="http://schemas.microsoft.com/office/2006/metadata/properties" ma:root="true" ma:fieldsID="638d26fb7ab688331b9e3f60221f519a" ns3:_="" ns4:_="">
    <xsd:import namespace="27638313-1e11-4999-9038-bfa2141b3777"/>
    <xsd:import namespace="593646a3-f4b2-4797-891f-a58c41aec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8313-1e11-4999-9038-bfa2141b37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646a3-f4b2-4797-891f-a58c41aec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D5A40-0711-4F41-839C-1BEA9BA20AB0}">
  <ds:schemaRefs>
    <ds:schemaRef ds:uri="27638313-1e11-4999-9038-bfa2141b3777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dcmitype/"/>
    <ds:schemaRef ds:uri="593646a3-f4b2-4797-891f-a58c41aec49e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F90BEED-78E3-4B35-8532-D6A331B7B9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0FFD45-A587-40F1-8BD9-7DE61FFE9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38313-1e11-4999-9038-bfa2141b3777"/>
    <ds:schemaRef ds:uri="593646a3-f4b2-4797-891f-a58c41aec4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</dc:creator>
  <cp:keywords/>
  <dc:description/>
  <cp:lastModifiedBy>User</cp:lastModifiedBy>
  <cp:revision/>
  <dcterms:created xsi:type="dcterms:W3CDTF">2022-01-24T15:03:32Z</dcterms:created>
  <dcterms:modified xsi:type="dcterms:W3CDTF">2022-05-06T00:18:12Z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0x0101008C97D6DF335A894D9FC8E888F85ED2A3</vt:lpwstr>
  </property>
</Properties>
</file>