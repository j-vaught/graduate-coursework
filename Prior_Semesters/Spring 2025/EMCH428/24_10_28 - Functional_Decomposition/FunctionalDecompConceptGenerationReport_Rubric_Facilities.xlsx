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emailsc-my.sharepoint.com/personal/sabalows_mailbox_sc_edu/Documents/Documents/EMCH427_428/Fall2024_Artifacts/002/FuncDecompConceptGenReport/"/>
    </mc:Choice>
  </mc:AlternateContent>
  <xr:revisionPtr revIDLastSave="16" documentId="8_{F4EA38BC-9D46-4A5F-9AC9-D3D2933B0DAD}" xr6:coauthVersionLast="47" xr6:coauthVersionMax="47" xr10:uidLastSave="{6DDEE957-7D21-4592-A623-DDE0BD2E9EBA}"/>
  <bookViews>
    <workbookView xWindow="-108" yWindow="-108" windowWidth="23256" windowHeight="12456" xr2:uid="{1B1F534D-2971-462D-9DB3-879A15B397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1" l="1"/>
  <c r="D41" i="1"/>
  <c r="C38" i="1"/>
  <c r="B38" i="1"/>
  <c r="D37" i="1"/>
  <c r="D35" i="1"/>
  <c r="D34" i="1"/>
  <c r="D32" i="1"/>
  <c r="D31" i="1"/>
  <c r="D30" i="1"/>
  <c r="D29" i="1"/>
  <c r="D28" i="1"/>
  <c r="D26" i="1"/>
  <c r="D25" i="1"/>
  <c r="D24" i="1"/>
  <c r="D23" i="1"/>
  <c r="D22" i="1"/>
  <c r="D20" i="1"/>
  <c r="D19" i="1"/>
  <c r="D18" i="1"/>
  <c r="D17" i="1"/>
  <c r="D16" i="1"/>
  <c r="D15" i="1"/>
  <c r="D14" i="1"/>
  <c r="D13" i="1"/>
  <c r="D11" i="1"/>
  <c r="D10" i="1"/>
  <c r="D9" i="1"/>
  <c r="D8" i="1"/>
  <c r="D7" i="1"/>
  <c r="D5" i="1"/>
  <c r="D4" i="1"/>
  <c r="D3" i="1"/>
  <c r="D2" i="1"/>
  <c r="D38" i="1" l="1"/>
  <c r="D48" i="1"/>
  <c r="D46" i="1" l="1"/>
  <c r="D50" i="1" s="1"/>
</calcChain>
</file>

<file path=xl/sharedStrings.xml><?xml version="1.0" encoding="utf-8"?>
<sst xmlns="http://schemas.openxmlformats.org/spreadsheetml/2006/main" count="54" uniqueCount="54">
  <si>
    <t>Introduction</t>
  </si>
  <si>
    <t>Factor</t>
  </si>
  <si>
    <t>Score</t>
  </si>
  <si>
    <t>Input</t>
  </si>
  <si>
    <t>Sum</t>
  </si>
  <si>
    <t>Conceptual Quality:  Demonstrates understanding of key principles of the design process performed and the project/product/sponsor, critical and deeper thinking</t>
  </si>
  <si>
    <t>Grammar, spelling and formatting:  Written all in passive voice, no spelling or grammar errors detected, all formatting requirements satisfied (page numbering, title page, figure and table labeling, header, etc.)</t>
  </si>
  <si>
    <t>Subtotal:</t>
  </si>
  <si>
    <t>Final Score</t>
  </si>
  <si>
    <t>Lateness deductions: Number of days late</t>
  </si>
  <si>
    <t>Conclusions</t>
  </si>
  <si>
    <t>Statement of what major subject/theme of the report is (i.e. functional decompostion and concept generation)</t>
  </si>
  <si>
    <t>Statement explaining what sources you researched for obtaining ideas</t>
  </si>
  <si>
    <t>Statement explaining a patent search was conducted and outcome of that search</t>
  </si>
  <si>
    <t>Statement explaining how many concepts you present in the report, and that concept selection will be performed at a later juncture</t>
  </si>
  <si>
    <t>Functional Decompostion</t>
  </si>
  <si>
    <t>Supplies brief explanation of what a functional decompostion is</t>
  </si>
  <si>
    <t>Supplies a list of all identified functions in approximate temporal order</t>
  </si>
  <si>
    <t>Functional Decomp diagram is properly labeled as Figure 1, with appropriate title</t>
  </si>
  <si>
    <t>Supplies brief explanation of process illustrated in the functional decomposition diagram (i.e. what the flows are, what the arrows mean, what interactions there are)</t>
  </si>
  <si>
    <t>Concept Combinations</t>
  </si>
  <si>
    <t>Concept Combination Table is supplied, and has exhaustive list of technologies listed for each function</t>
  </si>
  <si>
    <t>Concept Combination Table is correctly labled as Table 1, and with informative title</t>
  </si>
  <si>
    <t>Supplies brief explanation of other tools, approaches for ideating and generating concepts</t>
  </si>
  <si>
    <t>Concept generation</t>
  </si>
  <si>
    <t>Briefly explains  approach for generating concepts.</t>
  </si>
  <si>
    <t xml:space="preserve"> Clearly indicates which of the different concept combinations were selected as the top 5 (or more) solutions.  I.e. that all the identified functions are addressed, and how those functions are technologically satisfied </t>
  </si>
  <si>
    <t>Each concept is illustrated, with an appropriate figure number and informative title</t>
  </si>
  <si>
    <t>Each figure has enough detail that the reader can understand how it would work just by looking at the figure</t>
  </si>
  <si>
    <t>Each concept has a brief explanation of how it works, wich sufficiently explains how the reader would use it.</t>
  </si>
  <si>
    <t>Research Performed</t>
  </si>
  <si>
    <t>Explains what patent search terms were used, how many patents were discovered for each search word/phrase, and apropriate amounts and types of search terms were used (i.e. enough different serach phrases were tried, and they were relevant words/phrases)</t>
  </si>
  <si>
    <t>Supplies a statement of how many patents of concern (anywhere from zero to thousands) were discovered.</t>
  </si>
  <si>
    <t>Relevant patents (of interest or of concern) are referred to in the Appendix, and the Appendix supplies either a copy of the patent, or list of patent numbers of interest</t>
  </si>
  <si>
    <t>A statement of other materials used for research (web sites, catalogues, articles, etc.) is supplied, and are properly refered to with bibliographic information in the Appendix</t>
  </si>
  <si>
    <t>Appendix</t>
  </si>
  <si>
    <t>Supplies a statement indicating concept selection will be the next step after further feedback and refinement from project sponsor</t>
  </si>
  <si>
    <t>Briefly explains process for ideating and filling in the Concept Combination Table, and point out if any key concepts were required and why (i.e. if you did not generate multiple concepts for any particular function, such as it is known that you must use 110V outlet or plant air, etc.)</t>
  </si>
  <si>
    <t>10 pts</t>
  </si>
  <si>
    <t>Supplies a statement that a patent search was conducted</t>
  </si>
  <si>
    <t>Functional Decompostion diagram is supplied, including indication of which functions are information, energy, or material process, is concsistent with functional list and concept combination table</t>
  </si>
  <si>
    <t>Statement explaining what information is supplied in the table</t>
  </si>
  <si>
    <t>Rationale: explains why CCT is being performed</t>
  </si>
  <si>
    <t>Supplies statement of what a concept combination table is</t>
  </si>
  <si>
    <t>States what known technological/functional constraints there are, or indicates there are none.</t>
  </si>
  <si>
    <t>Significant observations/considerations discussed (including but not limited to: key customer needs that are drivers, key technologies to be implemented or avoided, functions anticipated to be challenging or important, etc.)</t>
  </si>
  <si>
    <t xml:space="preserve">Relevant patent numbers and/or patents of interest are supplied, References: Uses a conistent format, is complete, ordered correctly, and all references listed were cited (and all citations made have a reference).  </t>
  </si>
  <si>
    <t>15 pts</t>
  </si>
  <si>
    <t>Good!</t>
  </si>
  <si>
    <t>not findin mentionof functional analysis</t>
  </si>
  <si>
    <t>vague… you use the word fuction to define the functinal decomposition. Reads like you copied from text book</t>
  </si>
  <si>
    <t>All looks good</t>
  </si>
  <si>
    <t>A bit too simplistic.  Where are the valves? Where are the different energy supplies actually located. Would be good to show different style pumps a bit more detail so one sees which are elcetric, and how the human powered ones work.  Also… you mentioned plant air avialable.  WHy are non of the concepts using air to pressurize the system and avoid elcetricity?</t>
  </si>
  <si>
    <t>All quite good!  Illustrations should have more details on how/where all the functional elements reside, and what style hand pumping oyu are talking about. Otherwise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</si>
</sst>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rgb="FF000000"/>
      <name val="Segoe UI"/>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left" vertical="center" wrapText="1"/>
    </xf>
    <xf numFmtId="0" fontId="0" fillId="2" borderId="0" xfId="0" applyFill="1" applyAlignment="1">
      <alignment wrapText="1"/>
    </xf>
    <xf numFmtId="0" fontId="0" fillId="0" borderId="1" xfId="0" applyBorder="1"/>
    <xf numFmtId="0" fontId="1" fillId="0" borderId="0" xfId="0" applyFont="1"/>
    <xf numFmtId="0" fontId="1" fillId="2" borderId="0" xfId="0" applyFont="1" applyFill="1" applyAlignment="1">
      <alignment horizontal="left" vertical="center" wrapText="1"/>
    </xf>
    <xf numFmtId="0" fontId="0" fillId="2" borderId="0" xfId="0" applyFill="1"/>
    <xf numFmtId="0" fontId="1" fillId="0" borderId="0" xfId="0" applyFont="1" applyAlignment="1">
      <alignment horizontal="left" vertical="center" wrapText="1"/>
    </xf>
    <xf numFmtId="0" fontId="1" fillId="3"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Radio" firstButton="1" fmlaLink="$B$4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lockText="1" noThreeD="1"/>
</file>

<file path=xl/ctrlProps/ctrlProp6.xml><?xml version="1.0" encoding="utf-8"?>
<formControlPr xmlns="http://schemas.microsoft.com/office/spreadsheetml/2009/9/main" objectType="Radio" firstButton="1" fmlaLink="$B$43"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checked="Checked" lockText="1"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40</xdr:row>
          <xdr:rowOff>22860</xdr:rowOff>
        </xdr:from>
        <xdr:to>
          <xdr:col>0</xdr:col>
          <xdr:colOff>1127760</xdr:colOff>
          <xdr:row>40</xdr:row>
          <xdr:rowOff>251460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1242060</xdr:colOff>
          <xdr:row>40</xdr:row>
          <xdr:rowOff>22860</xdr:rowOff>
        </xdr:from>
        <xdr:to>
          <xdr:col>0</xdr:col>
          <xdr:colOff>2148840</xdr:colOff>
          <xdr:row>40</xdr:row>
          <xdr:rowOff>236220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2011680</xdr:colOff>
          <xdr:row>40</xdr:row>
          <xdr:rowOff>22860</xdr:rowOff>
        </xdr:from>
        <xdr:to>
          <xdr:col>0</xdr:col>
          <xdr:colOff>3299460</xdr:colOff>
          <xdr:row>40</xdr:row>
          <xdr:rowOff>243840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40</xdr:row>
          <xdr:rowOff>22860</xdr:rowOff>
        </xdr:from>
        <xdr:to>
          <xdr:col>0</xdr:col>
          <xdr:colOff>4373880</xdr:colOff>
          <xdr:row>40</xdr:row>
          <xdr:rowOff>236220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4130040</xdr:colOff>
          <xdr:row>40</xdr:row>
          <xdr:rowOff>22860</xdr:rowOff>
        </xdr:from>
        <xdr:to>
          <xdr:col>0</xdr:col>
          <xdr:colOff>5036820</xdr:colOff>
          <xdr:row>40</xdr:row>
          <xdr:rowOff>236220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42</xdr:row>
          <xdr:rowOff>22860</xdr:rowOff>
        </xdr:from>
        <xdr:to>
          <xdr:col>0</xdr:col>
          <xdr:colOff>1127760</xdr:colOff>
          <xdr:row>42</xdr:row>
          <xdr:rowOff>251460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1242060</xdr:colOff>
          <xdr:row>42</xdr:row>
          <xdr:rowOff>22860</xdr:rowOff>
        </xdr:from>
        <xdr:to>
          <xdr:col>0</xdr:col>
          <xdr:colOff>2148840</xdr:colOff>
          <xdr:row>42</xdr:row>
          <xdr:rowOff>236220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2011680</xdr:colOff>
          <xdr:row>42</xdr:row>
          <xdr:rowOff>22860</xdr:rowOff>
        </xdr:from>
        <xdr:to>
          <xdr:col>0</xdr:col>
          <xdr:colOff>3299460</xdr:colOff>
          <xdr:row>42</xdr:row>
          <xdr:rowOff>243840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42</xdr:row>
          <xdr:rowOff>22860</xdr:rowOff>
        </xdr:from>
        <xdr:to>
          <xdr:col>0</xdr:col>
          <xdr:colOff>4373880</xdr:colOff>
          <xdr:row>42</xdr:row>
          <xdr:rowOff>236220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4130040</xdr:colOff>
          <xdr:row>42</xdr:row>
          <xdr:rowOff>22860</xdr:rowOff>
        </xdr:from>
        <xdr:to>
          <xdr:col>0</xdr:col>
          <xdr:colOff>5036820</xdr:colOff>
          <xdr:row>42</xdr:row>
          <xdr:rowOff>236220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68580</xdr:colOff>
          <xdr:row>40</xdr:row>
          <xdr:rowOff>7620</xdr:rowOff>
        </xdr:from>
        <xdr:to>
          <xdr:col>0</xdr:col>
          <xdr:colOff>5242560</xdr:colOff>
          <xdr:row>40</xdr:row>
          <xdr:rowOff>266700</xdr:rowOff>
        </xdr:to>
        <xdr:sp macro="" textlink="">
          <xdr:nvSpPr>
            <xdr:cNvPr id="1035" name="Group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en-US" sz="800" b="0" i="0" u="none" strike="noStrike" baseline="0">
                  <a:solidFill>
                    <a:srgbClr val="000000"/>
                  </a:solidFill>
                  <a:latin typeface="Segoe UI"/>
                  <a:cs typeface="Segoe UI"/>
                </a:rPr>
                <a:t>Group Box 58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53340</xdr:colOff>
          <xdr:row>42</xdr:row>
          <xdr:rowOff>7620</xdr:rowOff>
        </xdr:from>
        <xdr:to>
          <xdr:col>0</xdr:col>
          <xdr:colOff>5318760</xdr:colOff>
          <xdr:row>42</xdr:row>
          <xdr:rowOff>266700</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en-US" sz="800" b="0" i="0" u="none" strike="noStrike" baseline="0">
                  <a:solidFill>
                    <a:srgbClr val="000000"/>
                  </a:solidFill>
                  <a:latin typeface="Segoe UI"/>
                  <a:cs typeface="Segoe UI"/>
                </a:rPr>
                <a:t>Group Box 59</a:t>
              </a:r>
            </a:p>
          </xdr:txBody>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DDE4-83C9-40F1-88BE-E9E7AB3DE58D}">
  <dimension ref="A1:E50"/>
  <sheetViews>
    <sheetView tabSelected="1" topLeftCell="A35" workbookViewId="0">
      <selection activeCell="E51" sqref="E51"/>
    </sheetView>
  </sheetViews>
  <sheetFormatPr defaultRowHeight="14.4" x14ac:dyDescent="0.3"/>
  <cols>
    <col min="1" max="1" width="79.5546875" customWidth="1"/>
  </cols>
  <sheetData>
    <row r="1" spans="1:5" x14ac:dyDescent="0.3">
      <c r="A1" s="6" t="s">
        <v>0</v>
      </c>
      <c r="B1" s="5" t="s">
        <v>3</v>
      </c>
      <c r="C1" s="5" t="s">
        <v>1</v>
      </c>
      <c r="D1" s="5" t="s">
        <v>2</v>
      </c>
    </row>
    <row r="2" spans="1:5" ht="28.8" x14ac:dyDescent="0.3">
      <c r="A2" s="2" t="s">
        <v>11</v>
      </c>
      <c r="B2" s="1">
        <v>0.5</v>
      </c>
      <c r="C2" s="1">
        <v>1</v>
      </c>
      <c r="D2" s="1">
        <f>B2*C2</f>
        <v>0.5</v>
      </c>
      <c r="E2" t="s">
        <v>49</v>
      </c>
    </row>
    <row r="3" spans="1:5" x14ac:dyDescent="0.3">
      <c r="A3" s="2" t="s">
        <v>12</v>
      </c>
      <c r="B3" s="1">
        <v>1</v>
      </c>
      <c r="C3" s="1">
        <v>1</v>
      </c>
      <c r="D3" s="1">
        <f t="shared" ref="D3:D5" si="0">B3*C3</f>
        <v>1</v>
      </c>
    </row>
    <row r="4" spans="1:5" x14ac:dyDescent="0.3">
      <c r="A4" t="s">
        <v>13</v>
      </c>
      <c r="B4">
        <v>1</v>
      </c>
      <c r="C4">
        <v>1</v>
      </c>
      <c r="D4" s="1">
        <f t="shared" si="0"/>
        <v>1</v>
      </c>
    </row>
    <row r="5" spans="1:5" ht="28.8" x14ac:dyDescent="0.3">
      <c r="A5" s="2" t="s">
        <v>14</v>
      </c>
      <c r="B5">
        <v>1</v>
      </c>
      <c r="C5">
        <v>2</v>
      </c>
      <c r="D5" s="1">
        <f t="shared" si="0"/>
        <v>2</v>
      </c>
    </row>
    <row r="6" spans="1:5" x14ac:dyDescent="0.3">
      <c r="A6" s="6" t="s">
        <v>15</v>
      </c>
      <c r="B6" s="3"/>
      <c r="C6" s="3"/>
      <c r="D6" s="3"/>
    </row>
    <row r="7" spans="1:5" x14ac:dyDescent="0.3">
      <c r="A7" s="1" t="s">
        <v>16</v>
      </c>
      <c r="B7">
        <v>0.5</v>
      </c>
      <c r="C7">
        <v>2</v>
      </c>
      <c r="D7" s="1">
        <f t="shared" ref="D7:D20" si="1">B7*C7</f>
        <v>1</v>
      </c>
      <c r="E7" t="s">
        <v>50</v>
      </c>
    </row>
    <row r="8" spans="1:5" x14ac:dyDescent="0.3">
      <c r="A8" s="1" t="s">
        <v>17</v>
      </c>
      <c r="B8">
        <v>1</v>
      </c>
      <c r="C8">
        <v>3</v>
      </c>
      <c r="D8" s="1">
        <f t="shared" si="1"/>
        <v>3</v>
      </c>
    </row>
    <row r="9" spans="1:5" ht="28.8" x14ac:dyDescent="0.3">
      <c r="A9" s="1" t="s">
        <v>19</v>
      </c>
      <c r="B9">
        <v>1</v>
      </c>
      <c r="C9">
        <v>3</v>
      </c>
      <c r="D9" s="1">
        <f>B9*C9</f>
        <v>3</v>
      </c>
    </row>
    <row r="10" spans="1:5" ht="43.2" x14ac:dyDescent="0.3">
      <c r="A10" s="1" t="s">
        <v>40</v>
      </c>
      <c r="B10">
        <v>1</v>
      </c>
      <c r="C10">
        <v>4</v>
      </c>
      <c r="D10" s="1">
        <f t="shared" si="1"/>
        <v>4</v>
      </c>
      <c r="E10" t="s">
        <v>51</v>
      </c>
    </row>
    <row r="11" spans="1:5" x14ac:dyDescent="0.3">
      <c r="A11" s="1" t="s">
        <v>18</v>
      </c>
      <c r="B11">
        <v>1</v>
      </c>
      <c r="C11">
        <v>1</v>
      </c>
      <c r="D11" s="1">
        <f t="shared" si="1"/>
        <v>1</v>
      </c>
    </row>
    <row r="12" spans="1:5" x14ac:dyDescent="0.3">
      <c r="A12" s="6" t="s">
        <v>20</v>
      </c>
      <c r="B12" s="3"/>
      <c r="C12" s="3"/>
      <c r="D12" s="3"/>
    </row>
    <row r="13" spans="1:5" x14ac:dyDescent="0.3">
      <c r="A13" s="2" t="s">
        <v>43</v>
      </c>
      <c r="B13">
        <v>1</v>
      </c>
      <c r="C13">
        <v>2</v>
      </c>
      <c r="D13" s="1">
        <f t="shared" si="1"/>
        <v>2</v>
      </c>
    </row>
    <row r="14" spans="1:5" x14ac:dyDescent="0.3">
      <c r="A14" s="2" t="s">
        <v>41</v>
      </c>
      <c r="B14">
        <v>1</v>
      </c>
      <c r="C14">
        <v>2</v>
      </c>
      <c r="D14" s="1">
        <f t="shared" si="1"/>
        <v>2</v>
      </c>
    </row>
    <row r="15" spans="1:5" ht="45" customHeight="1" x14ac:dyDescent="0.3">
      <c r="A15" s="1" t="s">
        <v>37</v>
      </c>
      <c r="B15">
        <v>1</v>
      </c>
      <c r="C15">
        <v>3</v>
      </c>
      <c r="D15" s="1">
        <f>B15*C15</f>
        <v>3</v>
      </c>
    </row>
    <row r="16" spans="1:5" x14ac:dyDescent="0.3">
      <c r="A16" s="1" t="s">
        <v>23</v>
      </c>
      <c r="B16">
        <v>1</v>
      </c>
      <c r="C16">
        <v>2</v>
      </c>
      <c r="D16" s="1">
        <f>B16*C16</f>
        <v>2</v>
      </c>
    </row>
    <row r="17" spans="1:5" ht="14.55" customHeight="1" x14ac:dyDescent="0.3">
      <c r="A17" s="1" t="s">
        <v>44</v>
      </c>
      <c r="B17">
        <v>1</v>
      </c>
      <c r="C17">
        <v>2</v>
      </c>
      <c r="D17" s="1">
        <f>B17*C17</f>
        <v>2</v>
      </c>
    </row>
    <row r="18" spans="1:5" x14ac:dyDescent="0.3">
      <c r="A18" s="1" t="s">
        <v>42</v>
      </c>
      <c r="B18">
        <v>1</v>
      </c>
      <c r="C18">
        <v>2</v>
      </c>
      <c r="D18" s="1">
        <f>B18*C18</f>
        <v>2</v>
      </c>
    </row>
    <row r="19" spans="1:5" ht="32.549999999999997" customHeight="1" x14ac:dyDescent="0.3">
      <c r="A19" s="1" t="s">
        <v>21</v>
      </c>
      <c r="B19">
        <v>1</v>
      </c>
      <c r="C19">
        <v>5</v>
      </c>
      <c r="D19" s="1">
        <f t="shared" si="1"/>
        <v>5</v>
      </c>
    </row>
    <row r="20" spans="1:5" x14ac:dyDescent="0.3">
      <c r="A20" s="1" t="s">
        <v>22</v>
      </c>
      <c r="B20">
        <v>1</v>
      </c>
      <c r="C20">
        <v>1</v>
      </c>
      <c r="D20" s="1">
        <f t="shared" si="1"/>
        <v>1</v>
      </c>
    </row>
    <row r="21" spans="1:5" x14ac:dyDescent="0.3">
      <c r="A21" s="6" t="s">
        <v>24</v>
      </c>
      <c r="B21" s="3"/>
      <c r="C21" s="3"/>
      <c r="D21" s="3"/>
    </row>
    <row r="22" spans="1:5" x14ac:dyDescent="0.3">
      <c r="A22" s="2" t="s">
        <v>25</v>
      </c>
      <c r="B22">
        <v>1</v>
      </c>
      <c r="C22">
        <v>1</v>
      </c>
      <c r="D22" s="1">
        <f t="shared" ref="D22:D32" si="2">B22*C22</f>
        <v>1</v>
      </c>
    </row>
    <row r="23" spans="1:5" ht="43.2" x14ac:dyDescent="0.3">
      <c r="A23" s="2" t="s">
        <v>26</v>
      </c>
      <c r="B23">
        <v>1</v>
      </c>
      <c r="C23">
        <v>5</v>
      </c>
      <c r="D23" s="1">
        <f t="shared" si="2"/>
        <v>5</v>
      </c>
    </row>
    <row r="24" spans="1:5" x14ac:dyDescent="0.3">
      <c r="A24" s="2" t="s">
        <v>27</v>
      </c>
      <c r="B24">
        <v>1</v>
      </c>
      <c r="C24">
        <v>5</v>
      </c>
      <c r="D24" s="1">
        <f t="shared" si="2"/>
        <v>5</v>
      </c>
    </row>
    <row r="25" spans="1:5" ht="28.8" x14ac:dyDescent="0.3">
      <c r="A25" s="2" t="s">
        <v>28</v>
      </c>
      <c r="B25">
        <v>0.7</v>
      </c>
      <c r="C25">
        <v>5</v>
      </c>
      <c r="D25" s="1">
        <f t="shared" si="2"/>
        <v>3.5</v>
      </c>
      <c r="E25" t="s">
        <v>52</v>
      </c>
    </row>
    <row r="26" spans="1:5" ht="27.45" customHeight="1" x14ac:dyDescent="0.3">
      <c r="A26" s="2" t="s">
        <v>29</v>
      </c>
      <c r="B26">
        <v>1</v>
      </c>
      <c r="C26">
        <v>5</v>
      </c>
      <c r="D26" s="1">
        <f t="shared" si="2"/>
        <v>5</v>
      </c>
    </row>
    <row r="27" spans="1:5" x14ac:dyDescent="0.3">
      <c r="A27" s="6" t="s">
        <v>30</v>
      </c>
      <c r="B27" s="3"/>
      <c r="C27" s="3"/>
      <c r="D27" s="3"/>
    </row>
    <row r="28" spans="1:5" x14ac:dyDescent="0.3">
      <c r="A28" s="2" t="s">
        <v>39</v>
      </c>
      <c r="B28">
        <v>1</v>
      </c>
      <c r="C28">
        <v>1</v>
      </c>
      <c r="D28" s="1">
        <f t="shared" si="2"/>
        <v>1</v>
      </c>
    </row>
    <row r="29" spans="1:5" ht="43.2" x14ac:dyDescent="0.3">
      <c r="A29" s="2" t="s">
        <v>31</v>
      </c>
      <c r="B29">
        <v>1</v>
      </c>
      <c r="C29">
        <v>3</v>
      </c>
      <c r="D29" s="1">
        <f t="shared" si="2"/>
        <v>3</v>
      </c>
    </row>
    <row r="30" spans="1:5" ht="28.8" x14ac:dyDescent="0.3">
      <c r="A30" s="2" t="s">
        <v>32</v>
      </c>
      <c r="B30">
        <v>1</v>
      </c>
      <c r="C30">
        <v>2</v>
      </c>
      <c r="D30" s="1">
        <f t="shared" si="2"/>
        <v>2</v>
      </c>
    </row>
    <row r="31" spans="1:5" ht="28.8" x14ac:dyDescent="0.3">
      <c r="A31" s="2" t="s">
        <v>33</v>
      </c>
      <c r="B31">
        <v>1</v>
      </c>
      <c r="C31">
        <v>2</v>
      </c>
      <c r="D31" s="1">
        <f t="shared" si="2"/>
        <v>2</v>
      </c>
    </row>
    <row r="32" spans="1:5" ht="28.8" x14ac:dyDescent="0.3">
      <c r="A32" s="2" t="s">
        <v>34</v>
      </c>
      <c r="B32">
        <v>1</v>
      </c>
      <c r="C32">
        <v>2</v>
      </c>
      <c r="D32" s="1">
        <f t="shared" si="2"/>
        <v>2</v>
      </c>
    </row>
    <row r="33" spans="1:5" x14ac:dyDescent="0.3">
      <c r="A33" s="6" t="s">
        <v>10</v>
      </c>
      <c r="B33" s="3"/>
      <c r="C33" s="3"/>
      <c r="D33" s="3"/>
    </row>
    <row r="34" spans="1:5" ht="43.2" x14ac:dyDescent="0.3">
      <c r="A34" s="2" t="s">
        <v>45</v>
      </c>
      <c r="B34">
        <v>1</v>
      </c>
      <c r="C34">
        <v>3</v>
      </c>
      <c r="D34" s="1">
        <f>B34*C34</f>
        <v>3</v>
      </c>
    </row>
    <row r="35" spans="1:5" ht="28.8" x14ac:dyDescent="0.3">
      <c r="A35" s="2" t="s">
        <v>36</v>
      </c>
      <c r="B35">
        <v>1</v>
      </c>
      <c r="C35">
        <v>1</v>
      </c>
      <c r="D35" s="1">
        <f t="shared" ref="D35" si="3">B35*C35</f>
        <v>1</v>
      </c>
      <c r="E35" t="s">
        <v>48</v>
      </c>
    </row>
    <row r="36" spans="1:5" x14ac:dyDescent="0.3">
      <c r="A36" s="6" t="s">
        <v>35</v>
      </c>
      <c r="B36" s="7"/>
      <c r="C36" s="7"/>
      <c r="D36" s="7"/>
    </row>
    <row r="37" spans="1:5" ht="43.8" thickBot="1" x14ac:dyDescent="0.35">
      <c r="A37" s="1" t="s">
        <v>46</v>
      </c>
      <c r="B37" s="4">
        <v>1</v>
      </c>
      <c r="C37" s="4">
        <v>3</v>
      </c>
      <c r="D37" s="4">
        <f>B37*C37</f>
        <v>3</v>
      </c>
    </row>
    <row r="38" spans="1:5" x14ac:dyDescent="0.3">
      <c r="A38" s="8" t="s">
        <v>7</v>
      </c>
      <c r="B38">
        <f>SUM(B2:B37)</f>
        <v>28.7</v>
      </c>
      <c r="C38">
        <f>SUM(C2:C37)</f>
        <v>75</v>
      </c>
      <c r="D38">
        <f>SUM(D2:D37)</f>
        <v>72</v>
      </c>
    </row>
    <row r="39" spans="1:5" x14ac:dyDescent="0.3">
      <c r="A39" s="8"/>
    </row>
    <row r="40" spans="1:5" ht="43.2" x14ac:dyDescent="0.3">
      <c r="A40" s="2" t="s">
        <v>6</v>
      </c>
      <c r="E40" t="s">
        <v>38</v>
      </c>
    </row>
    <row r="41" spans="1:5" ht="22.95" customHeight="1" x14ac:dyDescent="0.3">
      <c r="B41">
        <v>5</v>
      </c>
      <c r="C41">
        <v>2</v>
      </c>
      <c r="D41">
        <f>B41*C41</f>
        <v>10</v>
      </c>
    </row>
    <row r="42" spans="1:5" ht="28.8" x14ac:dyDescent="0.3">
      <c r="A42" s="2" t="s">
        <v>5</v>
      </c>
      <c r="E42" t="s">
        <v>47</v>
      </c>
    </row>
    <row r="43" spans="1:5" ht="25.5" customHeight="1" x14ac:dyDescent="0.3">
      <c r="B43">
        <v>5</v>
      </c>
      <c r="C43">
        <v>3</v>
      </c>
      <c r="D43">
        <f>B43*C43</f>
        <v>15</v>
      </c>
    </row>
    <row r="46" spans="1:5" x14ac:dyDescent="0.3">
      <c r="A46" s="5" t="s">
        <v>4</v>
      </c>
      <c r="D46">
        <f t="shared" ref="D46" si="4">SUM(D38:D43)</f>
        <v>97</v>
      </c>
    </row>
    <row r="48" spans="1:5" x14ac:dyDescent="0.3">
      <c r="A48" s="10" t="s">
        <v>9</v>
      </c>
      <c r="B48" s="10">
        <v>0</v>
      </c>
      <c r="C48" s="10"/>
      <c r="D48" s="10">
        <f>-10*B48</f>
        <v>0</v>
      </c>
    </row>
    <row r="50" spans="1:5" x14ac:dyDescent="0.3">
      <c r="A50" s="9" t="s">
        <v>8</v>
      </c>
      <c r="B50" s="9"/>
      <c r="C50" s="9"/>
      <c r="D50" s="9">
        <f>D46+D48</f>
        <v>97</v>
      </c>
      <c r="E50" t="s">
        <v>53</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0</xdr:col>
                    <xdr:colOff>91440</xdr:colOff>
                    <xdr:row>40</xdr:row>
                    <xdr:rowOff>22860</xdr:rowOff>
                  </from>
                  <to>
                    <xdr:col>0</xdr:col>
                    <xdr:colOff>1127760</xdr:colOff>
                    <xdr:row>40</xdr:row>
                    <xdr:rowOff>251460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0</xdr:col>
                    <xdr:colOff>1242060</xdr:colOff>
                    <xdr:row>40</xdr:row>
                    <xdr:rowOff>22860</xdr:rowOff>
                  </from>
                  <to>
                    <xdr:col>0</xdr:col>
                    <xdr:colOff>2148840</xdr:colOff>
                    <xdr:row>40</xdr:row>
                    <xdr:rowOff>236220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0</xdr:col>
                    <xdr:colOff>2011680</xdr:colOff>
                    <xdr:row>40</xdr:row>
                    <xdr:rowOff>22860</xdr:rowOff>
                  </from>
                  <to>
                    <xdr:col>0</xdr:col>
                    <xdr:colOff>3299460</xdr:colOff>
                    <xdr:row>40</xdr:row>
                    <xdr:rowOff>243840</xdr:rowOff>
                  </to>
                </anchor>
              </controlPr>
            </control>
          </mc:Choice>
        </mc:AlternateContent>
        <mc:AlternateContent xmlns:mc="http://schemas.openxmlformats.org/markup-compatibility/2006">
          <mc:Choice Requires="x14">
            <control shapeId="1028" r:id="rId7" name="Option Button 4">
              <controlPr defaultSize="0" autoFill="0" autoLine="0" autoPict="0">
                <anchor moveWithCells="1">
                  <from>
                    <xdr:col>0</xdr:col>
                    <xdr:colOff>3467100</xdr:colOff>
                    <xdr:row>40</xdr:row>
                    <xdr:rowOff>22860</xdr:rowOff>
                  </from>
                  <to>
                    <xdr:col>0</xdr:col>
                    <xdr:colOff>4373880</xdr:colOff>
                    <xdr:row>40</xdr:row>
                    <xdr:rowOff>236220</xdr:rowOff>
                  </to>
                </anchor>
              </controlPr>
            </control>
          </mc:Choice>
        </mc:AlternateContent>
        <mc:AlternateContent xmlns:mc="http://schemas.openxmlformats.org/markup-compatibility/2006">
          <mc:Choice Requires="x14">
            <control shapeId="1029" r:id="rId8" name="Option Button 5">
              <controlPr defaultSize="0" autoFill="0" autoLine="0" autoPict="0">
                <anchor moveWithCells="1">
                  <from>
                    <xdr:col>0</xdr:col>
                    <xdr:colOff>4130040</xdr:colOff>
                    <xdr:row>40</xdr:row>
                    <xdr:rowOff>22860</xdr:rowOff>
                  </from>
                  <to>
                    <xdr:col>0</xdr:col>
                    <xdr:colOff>5036820</xdr:colOff>
                    <xdr:row>40</xdr:row>
                    <xdr:rowOff>236220</xdr:rowOff>
                  </to>
                </anchor>
              </controlPr>
            </control>
          </mc:Choice>
        </mc:AlternateContent>
        <mc:AlternateContent xmlns:mc="http://schemas.openxmlformats.org/markup-compatibility/2006">
          <mc:Choice Requires="x14">
            <control shapeId="1030" r:id="rId9" name="Option Button 6">
              <controlPr defaultSize="0" autoFill="0" autoLine="0" autoPict="0">
                <anchor moveWithCells="1">
                  <from>
                    <xdr:col>0</xdr:col>
                    <xdr:colOff>91440</xdr:colOff>
                    <xdr:row>42</xdr:row>
                    <xdr:rowOff>22860</xdr:rowOff>
                  </from>
                  <to>
                    <xdr:col>0</xdr:col>
                    <xdr:colOff>1127760</xdr:colOff>
                    <xdr:row>42</xdr:row>
                    <xdr:rowOff>251460</xdr:rowOff>
                  </to>
                </anchor>
              </controlPr>
            </control>
          </mc:Choice>
        </mc:AlternateContent>
        <mc:AlternateContent xmlns:mc="http://schemas.openxmlformats.org/markup-compatibility/2006">
          <mc:Choice Requires="x14">
            <control shapeId="1031" r:id="rId10" name="Option Button 7">
              <controlPr defaultSize="0" autoFill="0" autoLine="0" autoPict="0">
                <anchor moveWithCells="1">
                  <from>
                    <xdr:col>0</xdr:col>
                    <xdr:colOff>1242060</xdr:colOff>
                    <xdr:row>42</xdr:row>
                    <xdr:rowOff>22860</xdr:rowOff>
                  </from>
                  <to>
                    <xdr:col>0</xdr:col>
                    <xdr:colOff>2148840</xdr:colOff>
                    <xdr:row>42</xdr:row>
                    <xdr:rowOff>236220</xdr:rowOff>
                  </to>
                </anchor>
              </controlPr>
            </control>
          </mc:Choice>
        </mc:AlternateContent>
        <mc:AlternateContent xmlns:mc="http://schemas.openxmlformats.org/markup-compatibility/2006">
          <mc:Choice Requires="x14">
            <control shapeId="1032" r:id="rId11" name="Option Button 8">
              <controlPr defaultSize="0" autoFill="0" autoLine="0" autoPict="0">
                <anchor moveWithCells="1">
                  <from>
                    <xdr:col>0</xdr:col>
                    <xdr:colOff>2011680</xdr:colOff>
                    <xdr:row>42</xdr:row>
                    <xdr:rowOff>22860</xdr:rowOff>
                  </from>
                  <to>
                    <xdr:col>0</xdr:col>
                    <xdr:colOff>3299460</xdr:colOff>
                    <xdr:row>42</xdr:row>
                    <xdr:rowOff>243840</xdr:rowOff>
                  </to>
                </anchor>
              </controlPr>
            </control>
          </mc:Choice>
        </mc:AlternateContent>
        <mc:AlternateContent xmlns:mc="http://schemas.openxmlformats.org/markup-compatibility/2006">
          <mc:Choice Requires="x14">
            <control shapeId="1033" r:id="rId12" name="Option Button 9">
              <controlPr defaultSize="0" autoFill="0" autoLine="0" autoPict="0">
                <anchor moveWithCells="1">
                  <from>
                    <xdr:col>0</xdr:col>
                    <xdr:colOff>3467100</xdr:colOff>
                    <xdr:row>42</xdr:row>
                    <xdr:rowOff>22860</xdr:rowOff>
                  </from>
                  <to>
                    <xdr:col>0</xdr:col>
                    <xdr:colOff>4373880</xdr:colOff>
                    <xdr:row>42</xdr:row>
                    <xdr:rowOff>236220</xdr:rowOff>
                  </to>
                </anchor>
              </controlPr>
            </control>
          </mc:Choice>
        </mc:AlternateContent>
        <mc:AlternateContent xmlns:mc="http://schemas.openxmlformats.org/markup-compatibility/2006">
          <mc:Choice Requires="x14">
            <control shapeId="1034" r:id="rId13" name="Option Button 10">
              <controlPr defaultSize="0" autoFill="0" autoLine="0" autoPict="0">
                <anchor moveWithCells="1">
                  <from>
                    <xdr:col>0</xdr:col>
                    <xdr:colOff>4130040</xdr:colOff>
                    <xdr:row>42</xdr:row>
                    <xdr:rowOff>22860</xdr:rowOff>
                  </from>
                  <to>
                    <xdr:col>0</xdr:col>
                    <xdr:colOff>5036820</xdr:colOff>
                    <xdr:row>42</xdr:row>
                    <xdr:rowOff>236220</xdr:rowOff>
                  </to>
                </anchor>
              </controlPr>
            </control>
          </mc:Choice>
        </mc:AlternateContent>
        <mc:AlternateContent xmlns:mc="http://schemas.openxmlformats.org/markup-compatibility/2006">
          <mc:Choice Requires="x14">
            <control shapeId="1035" r:id="rId14" name="Group Box 11">
              <controlPr defaultSize="0" autoFill="0" autoPict="0">
                <anchor moveWithCells="1">
                  <from>
                    <xdr:col>0</xdr:col>
                    <xdr:colOff>68580</xdr:colOff>
                    <xdr:row>40</xdr:row>
                    <xdr:rowOff>7620</xdr:rowOff>
                  </from>
                  <to>
                    <xdr:col>0</xdr:col>
                    <xdr:colOff>5242560</xdr:colOff>
                    <xdr:row>40</xdr:row>
                    <xdr:rowOff>266700</xdr:rowOff>
                  </to>
                </anchor>
              </controlPr>
            </control>
          </mc:Choice>
        </mc:AlternateContent>
        <mc:AlternateContent xmlns:mc="http://schemas.openxmlformats.org/markup-compatibility/2006">
          <mc:Choice Requires="x14">
            <control shapeId="1036" r:id="rId15" name="Group Box 12">
              <controlPr defaultSize="0" autoFill="0" autoPict="0">
                <anchor moveWithCells="1">
                  <from>
                    <xdr:col>0</xdr:col>
                    <xdr:colOff>53340</xdr:colOff>
                    <xdr:row>42</xdr:row>
                    <xdr:rowOff>7620</xdr:rowOff>
                  </from>
                  <to>
                    <xdr:col>0</xdr:col>
                    <xdr:colOff>5318760</xdr:colOff>
                    <xdr:row>42</xdr:row>
                    <xdr:rowOff>266700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Sabalowsky, Andrew</dc:creator>
  <cp:lastModifiedBy>Sabalowsky, Andrew</cp:lastModifiedBy>
  <dcterms:created xsi:type="dcterms:W3CDTF">2023-01-30T15:07:52Z</dcterms:created>
  <dcterms:modified xsi:type="dcterms:W3CDTF">2024-11-22T04:37:44Z</dcterms:modified>
</cp:coreProperties>
</file>